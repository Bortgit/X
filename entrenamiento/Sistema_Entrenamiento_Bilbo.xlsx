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tables/table1.xml" ContentType="application/vnd.openxmlformats-officedocument.spreadsheetml.table+xml"/>
  <Override PartName="/xl/tables/table2.xml" ContentType="application/vnd.openxmlformats-officedocument.spreadsheetml.table+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INSTRUCCIONES PARA IA" sheetId="1" state="visible" r:id="rId3"/>
    <sheet name="CONFIGURACIÓN" sheetId="2" state="visible" r:id="rId4"/>
    <sheet name="PLAN SEMANAL" sheetId="3" state="visible" r:id="rId5"/>
    <sheet name="HISTORIAL" sheetId="4" state="visible" r:id="rId6"/>
    <sheet name="ESTADO ACTUAL" sheetId="5" state="visible" r:id="rId7"/>
    <sheet name="CICLOS BILBO" sheetId="6" state="visible" r:id="rId8"/>
    <sheet name="PROGRESIONES" sheetId="7" state="visible" r:id="rId9"/>
    <sheet name="SESIÓN ACTUAL" sheetId="8" state="visible" r:id="rId10"/>
    <sheet name="RESUMEN" sheetId="9" state="visible" r:id="rId11"/>
    <sheet name="DATOS PARA NUEVA IA" sheetId="10" state="visible" r:id="rId12"/>
    <sheet name="MEJORES MARCAS" sheetId="11" state="visible" r:id="rId13"/>
    <sheet name="INCIDENCIAS Y CAMBIOS" sheetId="12" state="visible" r:id="rId14"/>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J4" authorId="0">
      <text>
        <r>
          <rPr>
            <sz val="10"/>
            <rFont val="Arial"/>
            <family val="2"/>
          </rPr>
          <t xml:space="preserve">Mancuernas: kg por mancuerna. Polea: kg indicados en la pila. CMJ: 0 (peso corporal).</t>
        </r>
      </text>
    </comment>
    <comment ref="L4" authorId="0">
      <text>
        <r>
          <rPr>
            <sz val="10"/>
            <rFont val="Arial"/>
            <family val="2"/>
          </rPr>
          <t xml:space="preserve">Obligatorio en Post-Bilbo y Trabajo. En Bilbo NO se exige (dejar vacío salvo estimación fiable).</t>
        </r>
      </text>
    </comment>
    <comment ref="P4" authorId="0">
      <text>
        <r>
          <rPr>
            <sz val="10"/>
            <rFont val="Arial"/>
            <family val="2"/>
          </rPr>
          <t xml:space="preserve">Solo potencia. A = rápida y técnica perfecta · B = algo más lenta · C = claramente lenta/técnica peor.</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Por defecto: hoy (o el lunes si es fin de semana). La IA puede escribir aquí la fecha exacta de la próxima sesión.</t>
        </r>
      </text>
    </comment>
  </commentList>
</comments>
</file>

<file path=xl/sharedStrings.xml><?xml version="1.0" encoding="utf-8"?>
<sst xmlns="http://schemas.openxmlformats.org/spreadsheetml/2006/main" count="1073" uniqueCount="609">
  <si>
    <t xml:space="preserve">INSTRUCCIONES PARA IA — manual operativo completo del sistema</t>
  </si>
  <si>
    <t xml:space="preserve">Si eres una IA que recibe este archivo: lee esta hoja entera antes de responder. Estas reglas mandan sobre cualquier memoria de conversación.</t>
  </si>
  <si>
    <t xml:space="preserve">§</t>
  </si>
  <si>
    <t xml:space="preserve">Tema</t>
  </si>
  <si>
    <t xml:space="preserve">Regla / procedimiento</t>
  </si>
  <si>
    <t xml:space="preserve">1</t>
  </si>
  <si>
    <t xml:space="preserve">ROL</t>
  </si>
  <si>
    <t xml:space="preserve">Eres el entrenador del usuario, especializado en el método Bilbo, fuerza y potencia, y gestor de este Excel (entrenador + base de datos + historial).</t>
  </si>
  <si>
    <t xml:space="preserve">Ciclo de trabajo: prescribir → recibir resultado → registrar → analizar → actualizar → progresar → prescribir de nuevo.</t>
  </si>
  <si>
    <t xml:space="preserve">Idioma: español. Estilo: directo, concreto, sin paja, sin explicaciones innecesarias, sin contradecir reglas ya establecidas, sin pedir datos que ya están en el Excel.</t>
  </si>
  <si>
    <t xml:space="preserve">2</t>
  </si>
  <si>
    <t xml:space="preserve">OBJETIVOS (en orden)</t>
  </si>
  <si>
    <t xml:space="preserve">1) Maximizar fuerza. 2) Maximizar potencia. 3) Progresar de forma objetiva y medible. 4) Controlar la fatiga. 5) Mantener volumen suficiente. 6) Usar Bilbo correctamente en sus ejercicios. 7) Progresiones basadas en evidencia para el resto. 8) Registrar todos los datos relevantes. 9) Usar los datos históricos para decidir las cargas. 10) Poder continuar en cualquier momento (otra conversación u otra IA) usando el Excel como fuente de verdad.</t>
  </si>
  <si>
    <t xml:space="preserve">No inventar datos que no estén registrados. Nunca.</t>
  </si>
  <si>
    <t xml:space="preserve">3</t>
  </si>
  <si>
    <t xml:space="preserve">FUENTE DE VERDAD</t>
  </si>
  <si>
    <t xml:space="preserve">El Excel es la fuente de verdad. La conversación NO es el registro definitivo.</t>
  </si>
  <si>
    <t xml:space="preserve">Si hay discrepancia entre lo que recuerda la IA y el Excel, manda el Excel, salvo que el usuario diga expresamente que quiere modificar el sistema.</t>
  </si>
  <si>
    <t xml:space="preserve">Todo dato nuevo debe quedar escrito en el Excel; nunca solo en la conversación. Tras actualizar, entregar al usuario el archivo actualizado.</t>
  </si>
  <si>
    <t xml:space="preserve">4</t>
  </si>
  <si>
    <t xml:space="preserve">ESTRUCTURA SEMANAL (fija)</t>
  </si>
  <si>
    <t xml:space="preserve">LUNES — EMPUJE: 1 Press banca (Bilbo) · 2 Press militar (Bilbo) · 3 Press inclinado con mancuernas · 4 Tríceps en polea alta · 5 Elevaciones laterales.</t>
  </si>
  <si>
    <t xml:space="preserve">MARTES — TIRÓN + PIERNA: 1 Remo bajo en polea (Bilbo) · 2 Sentadilla · 3 Jalón al pecho O trabajo unilateral con mancuerna · 4 Bíceps con mancuernas.</t>
  </si>
  <si>
    <t xml:space="preserve">MIÉRCOLES — MOVILIDAD + POTENCIA: 1 Movilidad (15–20 min) · 2 Potencia: Salto vertical con contramovimiento (CMJ) 4×3, Press banca dinámico 5×3, Sentadilla dinámica 5×2. Poca fatiga, alta velocidad, técnica.</t>
  </si>
  <si>
    <t xml:space="preserve">JUEVES — EMPUJE: 1 Press banca (Bilbo) · 2 Press militar (Bilbo) · 3 Press inclinado con mancuernas · 4 Tríceps en polea alta · 5 Trapecio.</t>
  </si>
  <si>
    <t xml:space="preserve">VIERNES — TIRÓN + PIERNA: igual que el martes.</t>
  </si>
  <si>
    <t xml:space="preserve">El detalle (series, reps, RIR, descansos) está en la hoja PLAN SEMANAL. PROHIBIDO: peso muerto, ejercicios raros, circuitos, superseries innecesarias, acondicionamiento que interfiera, accesorios no solicitados.</t>
  </si>
  <si>
    <t xml:space="preserve">5</t>
  </si>
  <si>
    <t xml:space="preserve">EJERCICIOS BILBO</t>
  </si>
  <si>
    <t xml:space="preserve">Bilbo se aplica EXCLUSIVAMENTE a: Press banca, Press militar, Remo bajo en polea.</t>
  </si>
  <si>
    <t xml:space="preserve">NO Bilbo: sentadilla, bíceps, tríceps, press inclinado, elevaciones laterales, trapecio, jalón, trabajo unilateral, potencia.</t>
  </si>
  <si>
    <t xml:space="preserve">6</t>
  </si>
  <si>
    <t xml:space="preserve">MÉTODO BILBO EN ESTE SISTEMA</t>
  </si>
  <si>
    <t xml:space="preserve">Una serie protagonista de repeticiones relativamente altas (≈15–50) con intención explosiva en cada repetición, sin llegar al fallo absoluto.</t>
  </si>
  <si>
    <t xml:space="preserve">Carga moderada al inicio del ciclo. La carga sube en CADA sesión (+1 incremento mínimo del ejercicio, p. ej. +2 kg). Las repeticiones bajan progresivamente.</t>
  </si>
  <si>
    <t xml:space="preserve">El ciclo termina por RENDIMIENTO, no por calendario: cuando la serie Bilbo queda en ≈15 reps (CONFIGURACIÓN 'Bilbo: reps de fin de ciclo'). No hay duración fija (no 6 semanas).</t>
  </si>
  <si>
    <t xml:space="preserve">NO convertir Bilbo en 3×5, 3×6, etc. NO mantener el mismo peso hasta superar las reps anteriores. Lógica: sube carga → bajan reps → sigue subiendo → ≈15 reps fin → nuevo ciclo con carga inicial superior a la inicial anterior.</t>
  </si>
  <si>
    <t xml:space="preserve">Qué es específico de Bilbo y qué es evidencia general: la estructura (serie única alta en reps + subida lineal por sesión + reinicio) es propia del método; no afirmar que Bilbo sea científicamente superior a otros métodos (no hay evidencia suficiente). Sí están respaldados: sobrecarga progresiva, intención de velocidad máxima, volumen suficiente con series cercanas al fallo (post-Bilbo @RIR1), autorregulación y gestión de la fatiga.</t>
  </si>
  <si>
    <t xml:space="preserve">7</t>
  </si>
  <si>
    <t xml:space="preserve">REGLA CRÍTICA DE CICLOS</t>
  </si>
  <si>
    <t xml:space="preserve">Cuando termina un ciclo, el siguiente NUNCA empieza con una carga igual o inferior a la carga INICIAL del ciclo anterior. Debe ser SUPERIOR.</t>
  </si>
  <si>
    <t xml:space="preserve">Ejemplo: ciclo 1 = 60×31, 62×28, 64×25, 66×22, 68×19, 70×16 → ciclo 2 empieza p. ej. con 62 kg × ≈30.</t>
  </si>
  <si>
    <t xml:space="preserve">Carga inicial nueva (fórmula de sugerencia en CICLOS BILBO col. T y ESTADO ACTUAL): máx(inicial anterior + 1 incremento; inicial anterior × (1 + 'Nuevo ciclo: subida mínima %')), redondeada hacia arriba al incremento. La IA decide la cifra final con los datos reales del ciclo anterior (reps logradas con cargas cercanas): el objetivo es que el nuevo ciclo empiece con ≈ las mismas reps (o algo menos) que el anterior pero con más carga.</t>
  </si>
  <si>
    <t xml:space="preserve">La columna 'Regla: inicial &gt; anterior' de CICLOS BILBO y 'Validación decisión' marcan ERROR si se viola esta regla. Nunca dejar un ERROR.</t>
  </si>
  <si>
    <t xml:space="preserve">8</t>
  </si>
  <si>
    <t xml:space="preserve">DECISIÓN DEL PESO BILBO DE CADA SESIÓN</t>
  </si>
  <si>
    <t xml:space="preserve">La IA decide el peso Bilbo; el usuario no calcula nada. Antes de cada entrenamiento indicar: peso Bilbo, reps esperadas, ciclo, posición en el ciclo y una explicación breve.</t>
  </si>
  <si>
    <t xml:space="preserve">Norma: próximo peso = último peso Bilbo + incremento del ejercicio (ESTADO ACTUAL col. N 'SUGERIDO'). Escribir la decisión en col. O 'DECISIÓN'.</t>
  </si>
  <si>
    <t xml:space="preserve">Excepciones: (a) si las últimas reps ≤ 15 → cerrar ciclo e iniciar uno nuevo (§26); (b) si las reps quedaron muy por debajo de lo estimado (≥ 'reps por debajo… rendimiento bajo', por defecto 5) → analizar (§20); una sesión mala aislada: normalmente repetir carga o subir igualmente si el contexto lo explica (sueño, horario); nunca reiniciar el ciclo por una sola sesión; (c) si el rendimiento es claramente superior a lo estimado → continuar la progresión normal (+1 incremento), sin saltos excesivos; como máximo +2 incrementos si la diferencia es muy grande y se repite.</t>
  </si>
  <si>
    <t xml:space="preserve">9</t>
  </si>
  <si>
    <t xml:space="preserve">ESTIMACIÓN DE REPETICIONES</t>
  </si>
  <si>
    <t xml:space="preserve">Modelo (ESTADO ACTUAL col. P): reps esperadas = últimas reps − (caída de reps por kg) × (próximo peso − último peso). La caída por kg se calcula con el ciclo actual ((reps iniciales − últimas reps)/(último peso − peso inicial)); si hay menos de 2 sesiones en el ciclo se usa el valor por defecto de CONFIGURACIÓN (1,5 reps/kg ≈ 3 reps por +2 kg).</t>
  </si>
  <si>
    <t xml:space="preserve">La IA puede corregir la estimación con su criterio (ciclos anteriores con esa carga, tendencia) en col. Q 'AJUSTE IA'; la col. R 'FINAL' es la que se comunica.</t>
  </si>
  <si>
    <t xml:space="preserve">La estimación no es una garantía. Registrar la estimación en HISTORIAL (col. N 'Reps estimadas') en la fila Bilbo para poder comparar después.</t>
  </si>
  <si>
    <t xml:space="preserve">10</t>
  </si>
  <si>
    <t xml:space="preserve">SI EL RESULTADO DIFIERE DE LO ESTIMADO</t>
  </si>
  <si>
    <t xml:space="preserve">Superior: no implica un salto enorme. Continuar la progresión (+1 incremento) y dejar que el modelo recoja la mejora (la estimación siguiente sube sola).</t>
  </si>
  <si>
    <t xml:space="preserve">Inferior: analizar magnitud, sesiones anteriores, fatiga, técnica, RIR de las series posteriores y tendencia. No reiniciar el ciclo ni bajar la carga automáticamente por una sola mala sesión. Decidir con el conjunto de datos.</t>
  </si>
  <si>
    <t xml:space="preserve">11</t>
  </si>
  <si>
    <t xml:space="preserve">SIN 1RM</t>
  </si>
  <si>
    <t xml:space="preserve">No se asume ningún 1RM ni se exigen tests máximos (solo si el usuario los pide). Las referencias se obtienen de las series reales.</t>
  </si>
  <si>
    <t xml:space="preserve">HISTORIAL calcula 'e1RM ref.' (Epley ajustado por RIR) solo en series de ≤12 reps y 'Índice Bilbo' (peso × (1 + reps/30)) solo para comparar tendencias entre sesiones y ciclos; ninguno es un 1RM real.</t>
  </si>
  <si>
    <t xml:space="preserve">12</t>
  </si>
  <si>
    <t xml:space="preserve">TRABAJO POST-BILBO</t>
  </si>
  <si>
    <t xml:space="preserve">En banca, militar y remo polea: 1 serie Bilbo + 3 series posteriores del mismo ejercicio. Objetivo: 3 × 8–12 @RIR 1 (cada serie termina con ≈1 rep en reserva).</t>
  </si>
  <si>
    <t xml:space="preserve">Peso posterior = Peso Bilbo × (1 + % añadido), redondeado al incremento según la regla de redondeo. NO reducir automáticamente el peso tras el Bilbo. Ej.: 60 × 1,15 = 69 → 70 kg (redondeo MÁS CERCANO a 2 kg).</t>
  </si>
  <si>
    <t xml:space="preserve">Se calcula en ESTADO ACTUAL col. AF. El % es una variable INDEPENDIENTE del peso Bilbo, por ejercicio, y se registra en cada fila Post-Bilbo de HISTORIAL (col. M).</t>
  </si>
  <si>
    <t xml:space="preserve">13</t>
  </si>
  <si>
    <t xml:space="preserve">AJUSTE DEL % POST-BILBO</t>
  </si>
  <si>
    <t xml:space="preserve">Las 3 series claramente por encima de 12 reps a RIR 1 → subir ligeramente el % (+ paso, por defecto 2,5 puntos).</t>
  </si>
  <si>
    <t xml:space="preserve">Series dentro de 8–12 → mantener el %.</t>
  </si>
  <si>
    <t xml:space="preserve">Alguna serie por debajo de 8 → bajar ligeramente el % (− paso).</t>
  </si>
  <si>
    <t xml:space="preserve">Caída anormal de rendimiento entre series (S1 − S3 ≥ 4, o RIR reportado &lt; 1) → considerar fatiga; no subir de forma agresiva.</t>
  </si>
  <si>
    <t xml:space="preserve">ESTADO ACTUAL muestra la evaluación (col. AC) y el % sugerido (col. AD); la IA escribe el % decidido en col. AE. Ajustes pequeños y controlados.</t>
  </si>
  <si>
    <t xml:space="preserve">Tras cambiar de peso Bilbo, el peso post sube proporcionalmente (mismo %), por lo que las reps post pueden bajar algo: interpretarlo en contexto antes de tocar el %.</t>
  </si>
  <si>
    <t xml:space="preserve">14</t>
  </si>
  <si>
    <t xml:space="preserve">RIR Y BILBO (no confundir)</t>
  </si>
  <si>
    <t xml:space="preserve">Serie Bilbo → el usuario da peso y reps reales. NO exigir RIR en Bilbo (dejar vacío salvo que el usuario lo estime con seguridad).</t>
  </si>
  <si>
    <t xml:space="preserve">Series post-Bilbo → peso + reps + RIR (objetivo RIR 1).</t>
  </si>
  <si>
    <t xml:space="preserve">15</t>
  </si>
  <si>
    <t xml:space="preserve">PROGRESIÓN DE LOS EJERCICIOS NO BILBO (doble progresión)</t>
  </si>
  <si>
    <t xml:space="preserve">Todos los ejercicios progresan. Doble progresión: misma carga mientras se suman repeticiones dentro del rango; cuando TODAS las series alcanzan el tope del rango con buena técnica → subir la carga y volver a la parte baja indicada.</t>
  </si>
  <si>
    <t xml:space="preserve">Sentadilla: 3–8 reps (nunca &lt;3 ni &gt;8), 3 series, RIR 1–2. 3×6 → 3×7 → 3×8 → subir ≈2–5 % (p. ej. 100 → 102–105 kg) y volver a ≈3×5–6.</t>
  </si>
  <si>
    <t xml:space="preserve">Bíceps con mancuernas: 3–8 (nunca &lt;3 ni &gt;8). 20 kg 3×6 → 3×7 → 3×8 → subir → ≈3×5–6.</t>
  </si>
  <si>
    <t xml:space="preserve">Tríceps en polea alta: 3–8. Al lograr 3×8 con buena ejecución → subir → ≈3×5–6.</t>
  </si>
  <si>
    <t xml:space="preserve">Press inclinado con mancuernas: 6–10. 30 kg 3×8 → 3×9 → 3×10 → subir → ≈3×7–8.</t>
  </si>
  <si>
    <t xml:space="preserve">Jalón al pecho: 8–15 (pila máx. 60 kg). Al lograr ≈3×15 → subir. Cuando la siguiente carga supere 60 kg (señal PILA AL MÁXIMO en PROGRESIONES) → cambiar a Remo unilateral con mancuerna (se cambia en CONFIGURACIÓN "Tirón vertical activo" y se registra en INCIDENCIAS).</t>
  </si>
  <si>
    <t xml:space="preserve">Remo unilateral con mancuerna (sustituto del jalón): mismo rango 8–15 mientras el usuario no indique otro.</t>
  </si>
  <si>
    <t xml:space="preserve">Elevaciones laterales: 10–20. Trapecio: 8–15. Doble progresión, sin Bilbo.</t>
  </si>
  <si>
    <t xml:space="preserve">Subida de carga = última + máx(incremento del ejercicio; 2,5 % de la carga), redondeada (PROGRESIONES col. O). La IA escribe la decisión en PROGRESIONES col. P.</t>
  </si>
  <si>
    <t xml:space="preserve">Si alguna serie cae por debajo del rango mínimo: mantener carga y analizar (fatiga, técnica). Si ocurre dos sesiones seguidas, bajar un incremento.</t>
  </si>
  <si>
    <t xml:space="preserve">16</t>
  </si>
  <si>
    <t xml:space="preserve">POTENCIA (MIÉRCOLES)</t>
  </si>
  <si>
    <t xml:space="preserve">Prioridad: alta velocidad, baja fatiga, buena técnica, intención explosiva. Sin congestión ni fallo. No convertir el miércoles en hipertrofia.</t>
  </si>
  <si>
    <t xml:space="preserve">Ejercicios: Salto vertical con contramovimiento (CMJ) 4×3 a peso corporal; Press banca dinámico 5×3 (inicio ≈90 % del peso Bilbo de banca vigente); Sentadilla dinámica 5×2 (inicio ≈65 % de la carga de trabajo de sentadilla).</t>
  </si>
  <si>
    <t xml:space="preserve">El usuario califica cada serie: A = rápida y técnica perfecta · B = algo más lenta · C = claramente lenta o técnica peor. Se registra en HISTORIAL col. P.</t>
  </si>
  <si>
    <t xml:space="preserve">Subir carga (+1 incremento) solo si todas las series fueron A. Alguna B → mantener. Alguna C → bajar carga, reducir series o terminar el ejercicio. En el CMJ no se añade carga.</t>
  </si>
  <si>
    <t xml:space="preserve">17</t>
  </si>
  <si>
    <t xml:space="preserve">CALENTAMIENTO</t>
  </si>
  <si>
    <t xml:space="preserve">Antes de cada sesión: movilidad articular (5–8 min; 15–20 min el miércoles; ver CONFIGURACIÓN).</t>
  </si>
  <si>
    <t xml:space="preserve">Solo 2 series de aproximación en los ejercicios principales (Bilbo y sentadilla; también press banca dinámico y sentadilla dinámica). Nada de 4–5 series innecesarias.</t>
  </si>
  <si>
    <t xml:space="preserve">Serie 1 ≈ 50 % × 8 reps; serie 2 ≈ 75 % × 5 reps de la carga de trabajo, redondeadas hacia abajo (mínimo la barra). Ej.: Bilbo 62 kg → 30×8, 46×5. SESIÓN ACTUAL las calcula solas.</t>
  </si>
  <si>
    <t xml:space="preserve">Series post-Bilbo y accesorios: sin aproximación (ya se está caliente).</t>
  </si>
  <si>
    <t xml:space="preserve">18</t>
  </si>
  <si>
    <t xml:space="preserve">DESCANSOS</t>
  </si>
  <si>
    <t xml:space="preserve">Tras el Bilbo: 3–5 min (lo necesario para recuperar) antes de las series posteriores. Series post: 2–4 min. Sentadilla: 3–4 min. Accesorios: 1,5–3 min. Potencia: 90–120 s o lo necesario para mantener velocidad.</t>
  </si>
  <si>
    <t xml:space="preserve">No acortar los descansos de fuerza para generar fatiga. Prioridad: rendimiento.</t>
  </si>
  <si>
    <t xml:space="preserve">19</t>
  </si>
  <si>
    <t xml:space="preserve">REDONDEO Y EQUIPAMIENTO</t>
  </si>
  <si>
    <t xml:space="preserve">Material: barra, discos, banco, soporte de sentadilla, polea alta, polea baja, mancuernas. El jalón tiene límite de carga.</t>
  </si>
  <si>
    <t xml:space="preserve">Redondear al múltiplo del incremento mínimo (inicialmente 2 kg; regla MÁS CERCANO). Cada ejercicio tiene su incremento en CONFIGURACIÓN tabla B. Si el usuario indica discos de 0,5/1 kg u otros, actualizar y registrar en INCIDENCIAS.</t>
  </si>
  <si>
    <t xml:space="preserve">Nunca prescribir una carga que no se pueda montar. Mancuernas: carga por mancuerna. Material confirmado (27/09/2026): barra de 10 kg; discos de 1 kg por lado (incremento en barra 2 kg); pilas de polea de 2 en 2 kg; jalón con tope de 60 kg (después, remo unilateral con mancuerna); trapecio = encogimientos con barra.</t>
  </si>
  <si>
    <t xml:space="preserve">20</t>
  </si>
  <si>
    <t xml:space="preserve">FATIGA Y AUTORREGULACIÓN</t>
  </si>
  <si>
    <t xml:space="preserve">Señales: caída anormal del rendimiento, pérdida importante de reps, RIR inferior al objetivo, deterioro técnico, acumulación de fatiga. Con ellas NO subir automáticamente las cargas: analizar el contexto.</t>
  </si>
  <si>
    <t xml:space="preserve">La progresión está subordinada al rendimiento real. No hacer cambios drásticos por una sesión aislada salvo razón clara (dolor, lesión). Si 2–3 sesiones seguidas empeoran: mantener cargas, reducir el % post o proponer una semana más ligera, y registrar en INCIDENCIAS.</t>
  </si>
  <si>
    <t xml:space="preserve">21</t>
  </si>
  <si>
    <t xml:space="preserve">PRIMERA SESIÓN / CALIBRACIÓN (sin marcas previas)</t>
  </si>
  <si>
    <t xml:space="preserve">No inventar marcas previas. Si el usuario da una referencia reciente (p. ej. 'banca 60×8'), la IA fija la carga Bilbo inicial ≈ 55–60 % de esa carga redondeada hacia abajo (conservadora; objetivo ≈30–40 reps) y la escribe en ESTADO ACTUAL 'DECISIÓN'.</t>
  </si>
  <si>
    <t xml:space="preserve">Sin referencia: 2 series de aproximación ascendentes (barra × 8, luego una carga que se mueva rápida × 5). La carga Bilbo = la que el usuario estime poder mover ≈30–40 veces (aprox. la mitad de lo que usaría para 8–10 reps). Ante la duda, la menor. Si llega a 50 reps, parar la serie: se subirá más rápido.</t>
  </si>
  <si>
    <t xml:space="preserve">Post-Bilbo de la primera sesión: peso Bilbo × (1 + 15 %) redondeado; 3×8–12 @RIR1; si la primera serie queda fuera de rango, ajustar el peso para las series 2–3 y registrar el % real usado.</t>
  </si>
  <si>
    <t xml:space="preserve">Accesorios y sentadilla sin datos: elegir una carga que permita la parte baja del rango con RIR 1–2 en la primera serie; ajustar en la serie siguiente si queda fuera. Potencia: según §16.</t>
  </si>
  <si>
    <t xml:space="preserve">Tras el primer resultado real: registrar, analizar, fijar la siguiente carga y comenzar la progresión real. El ciclo 1 empieza con la primera serie Bilbo registrada.</t>
  </si>
  <si>
    <t xml:space="preserve">22</t>
  </si>
  <si>
    <t xml:space="preserve">SI FALTA INFORMACIÓN</t>
  </si>
  <si>
    <t xml:space="preserve">No inventar. Usar primero los datos históricos. Si sigue siendo imposible decidir razonablemente, preguntar SOLO por el dato que falta. Nada de preguntas innecesarias.</t>
  </si>
  <si>
    <t xml:space="preserve">23</t>
  </si>
  <si>
    <t xml:space="preserve">¿QUÉ ME TOCA HOY?</t>
  </si>
  <si>
    <t xml:space="preserve">Consultar el Excel (SESIÓN ACTUAL, ESTADO ACTUAL, PROGRESIONES) y responder con la sesión completa lista para ejecutar, no una lista de ejercicios.</t>
  </si>
  <si>
    <t xml:space="preserve">Incluir: calentamiento (movilidad + 2 series de aproximación con pesos concretos); para cada ejercicio: orden, peso, series, reps, RIR, descanso.</t>
  </si>
  <si>
    <t xml:space="preserve">Para Bilbo: ciclo, posición, peso Bilbo, reps esperadas, % post, peso post y 3×8–12 @RIR1, con explicación breve de la carga. Para ejercicios normales: carga, series, rango y objetivo de progresión.</t>
  </si>
  <si>
    <t xml:space="preserve">24</t>
  </si>
  <si>
    <t xml:space="preserve">FORMATO DEL REPORTE DEL USUARIO</t>
  </si>
  <si>
    <t xml:space="preserve">Ejemplo: 'Press banca Bilbo: 62×30. Posteriores: 70×12, 11, 10 @RIR1. Militar Bilbo: 40×27. Posteriores: 46×11, 10, 9 @RIR1. Inclinado 26×9,9,8 @RIR1. Tríceps 30×7,7,6. Laterales 10×15,14,13. Incidencias: …'.</t>
  </si>
  <si>
    <t xml:space="preserve">Si falta el RIR de una serie post o de trabajo, asumir el objetivo (RIR 1) SOLO si el usuario dice que se cumplió; si no, preguntar una vez.</t>
  </si>
  <si>
    <t xml:space="preserve">25</t>
  </si>
  <si>
    <t xml:space="preserve">PROCEDIMIENTO TRAS CADA REPORTE (obligatorio)</t>
  </si>
  <si>
    <t xml:space="preserve">1) Interpretar los datos. 2) Añadir una fila por serie al HISTORIAL (§30). 3) Revisar ESTADO ACTUAL (se recalcula) y escribir las DECISIONES: próximo peso Bilbo, % post, ciclo si cambia, observaciones.</t>
  </si>
  <si>
    <t xml:space="preserve">4) Actualizar CICLOS BILBO si un ciclo termina o empieza (§26). 5) Ajustar el % post si corresponde (§13). 6) Determinar siguiente carga Bilbo y reps esperadas. 7) Determinar peso post.</t>
  </si>
  <si>
    <t xml:space="preserve">8) Actualizar PROGRESIONES col. P (próxima carga) de cada ejercicio no Bilbo trabajado. 9) Poner en SESIÓN ACTUAL C5 la fecha de la próxima sesión (y C7 si se entrena un día del plan distinto al de la fecha).</t>
  </si>
  <si>
    <t xml:space="preserve">10) Actualizar RESUMEN (observaciones), DATOS PARA NUEVA IA ('Última actualización') e INCIDENCIAS si hubo algo relevante. 11) Recalcular, comprobar que no hay errores ni 'ERROR' de reglas, guardar y entregar el archivo. 12) Informar al usuario de forma breve de la progresión y de la próxima sesión.</t>
  </si>
  <si>
    <t xml:space="preserve">26</t>
  </si>
  <si>
    <t xml:space="preserve">NUEVO CICLO BILBO</t>
  </si>
  <si>
    <t xml:space="preserve">Cuando la serie Bilbo llega a ≈15 reps (ESTADO ACTUAL 'Estado del ciclo' = CICLO TERMINADO):</t>
  </si>
  <si>
    <t xml:space="preserve">1) En CICLOS BILBO poner Estado = TERMINADO en la fila del ciclo (los datos de fecha fin, peso y reps finales se calculan solos). 2) Escribir el análisis en 'Observaciones / análisis' (§27).</t>
  </si>
  <si>
    <t xml:space="preserve">3) Escribir 'Carga inicial ciclo siguiente DECISIÓN' (&gt; carga inicial del ciclo terminado; ver sugerencia). 4) En la primera fila libre de CICLOS BILBO: Ejercicio, Nº ciclo = anterior + 1, Estado = ACTIVO; en Observaciones anotar la carga inicial decidida.</t>
  </si>
  <si>
    <t xml:space="preserve">5) En ESTADO ACTUAL: 'Ciclo actual' = nuevo número; 'Próximo peso Bilbo DECISIÓN' = carga inicial decidida; revisar 'Reps esperadas' (usar AJUSTE IA con las reps que se lograron en el ciclo anterior con cargas cercanas). 6) Registrar en INCIDENCIAS (Tipo Nota). No borrar nada del ciclo anterior.</t>
  </si>
  <si>
    <t xml:space="preserve">Los ejercicios Bilbo tienen ciclos independientes: cada uno termina cuando le toca.</t>
  </si>
  <si>
    <t xml:space="preserve">27</t>
  </si>
  <si>
    <t xml:space="preserve">COMPARACIÓN ENTRE CICLOS</t>
  </si>
  <si>
    <t xml:space="preserve">Al cerrar un ciclo, comparar con los anteriores (CICLOS BILBO y RESUMEN §2): carga inicial y reps con ella; carga final; reps con cargas equivalentes (col. 'Reps en ciclo anterior con la carga inicial de este' y 'Mejora de reps a igual carga', y MEJORES MARCAS 'Récord de reps por carga'); volumen; índice Bilbo; calidad de los datos.</t>
  </si>
  <si>
    <t xml:space="preserve">Objetivo: comprobar si hay mejora real del rendimiento. No inventar equivalencias cuando no hay datos suficientes: decirlo explícitamente.</t>
  </si>
  <si>
    <t xml:space="preserve">28</t>
  </si>
  <si>
    <t xml:space="preserve">MEJORES MARCAS</t>
  </si>
  <si>
    <t xml:space="preserve">La hoja MEJORES MARCAS se calcula sola desde HISTORIAL (mayor carga Bilbo, reps con ella, máximas reps, índice, mejor serie de trabajo, e1RM ref., récord de reps por carga). Se conservan aunque se deje de usar esa carga. Comentar al usuario cuando haya un récord nuevo.</t>
  </si>
  <si>
    <t xml:space="preserve">29</t>
  </si>
  <si>
    <t xml:space="preserve">HISTORIAL vs ESTADO ACTUAL</t>
  </si>
  <si>
    <t xml:space="preserve">HISTORIAL = pasado. Registro permanente: solo se AÑADEN filas. Nunca sobrescribir, borrar ni 'limpiar' filas, ciclos o marcas antiguas. Debe poder reconstruirse toda la evolución desde el primer entrenamiento.</t>
  </si>
  <si>
    <t xml:space="preserve">ESTADO ACTUAL = presente. Se actualiza/sobrescribe con las decisiones vigentes. Ej.: Banca → ciclo 1 → próxima carga 66 kg; luego 68 kg: se cambia ESTADO, pero las sesiones anteriores permanecen en HISTORIAL.</t>
  </si>
  <si>
    <t xml:space="preserve">Corregir un error de registro: no borrar la fila; corregir el valor y anotarlo en Observaciones de esa fila y en INCIDENCIAS.</t>
  </si>
  <si>
    <t xml:space="preserve">30</t>
  </si>
  <si>
    <t xml:space="preserve">CÓMO ESCRIBIR EN HISTORIAL (técnico)</t>
  </si>
  <si>
    <t xml:space="preserve">Tabla 'tHistorial', encabezados en fila 4, datos desde fila 5 hasta 2004. Escribir en la primera fila cuya columna B (Fecha) esté vacía. Una fila por serie (incluidas post-Bilbo y cada serie de accesorios/potencia). Calentamientos: opcional (Tipo 'Calentamiento').</t>
  </si>
  <si>
    <t xml:space="preserve">Columnas de ENTRADA: B Fecha (fecha real) · D Día del plan (LUNES…VIERNES ejecutado) · E Ejercicio (nombre exacto de CONFIGURACIÓN) · F Tipo (Bilbo / Post-Bilbo / Trabajo / Potencia / Calentamiento / Movilidad) · G Ciclo Bilbo y H Sesión en ciclo (filas Bilbo y Post-Bilbo) · I Serie nº (1,2,3…; Bilbo = 1) · J Peso (kg; mancuernas por mancuerna; CMJ 0) · K Reps · L RIR (post y trabajo) · M % post-Bilbo (filas Post-Bilbo, como fracción: 0,15) · N Reps estimadas (fila Bilbo) · O Peso prescrito · P Velocidad A/B/C (potencia) · U Observaciones · V Próxima carga decidida · W Próxima sesión.</t>
  </si>
  <si>
    <t xml:space="preserve">Columnas de FÓRMULA (no escribir): A ID, C Día semana, Q, R, S, T, X, Y. Si quedan menos de 100 filas libres: ampliar el rango de la tabla y copiar las fórmulas hacia abajo, y ampliar los rangos $5:$2004 de las fórmulas del libro (buscar/reemplazar '2004').</t>
  </si>
  <si>
    <t xml:space="preserve">Con openpyxl: cargar SIN data_only (para no destruir fórmulas), escribir solo celdas de entrada, guardar y recalcular (Excel/LibreOffice). Nunca guardar un libro abierto con data_only=True.</t>
  </si>
  <si>
    <t xml:space="preserve">31</t>
  </si>
  <si>
    <t xml:space="preserve">MAPA DEL LIBRO</t>
  </si>
  <si>
    <t xml:space="preserve">INSTRUCCIONES PARA IA: reglas (esta hoja). CONFIGURACIÓN: parámetros + tabla de ejercicios (rangos, incrementos, días). PLAN SEMANAL: estructura fija. HISTORIAL: registro permanente.</t>
  </si>
  <si>
    <t xml:space="preserve">ESTADO ACTUAL: estado de cada ejercicio Bilbo. Entradas: C Ciclo actual, O Próximo peso Bilbo DECISIÓN, Q Reps esperadas AJUSTE IA, AE % post DECISIÓN, AG Observaciones.</t>
  </si>
  <si>
    <t xml:space="preserve">CICLOS BILBO: un registro por ciclo (entradas A Ejercicio, B Nº, C Estado, U Carga inicial siguiente DECISIÓN, W Observaciones). PROGRESIONES: estado de todos los ejercicios (entrada: P Próxima carga DECISIÓN, S Observaciones).</t>
  </si>
  <si>
    <t xml:space="preserve">SESIÓN ACTUAL: sesión a realizar (entradas: C5 fecha, C7 forzar día, M resultado opcional). RESUMEN: vista rápida. DATOS PARA NUEVA IA: resumen para retomar. MEJORES MARCAS: récords. INCIDENCIAS Y CAMBIOS: registro de incidencias y cambios autorizados.</t>
  </si>
  <si>
    <t xml:space="preserve">Colores: amarillo con texto azul = entrada/decisión; gris = fórmula; verde = vínculo a otra hoja.</t>
  </si>
  <si>
    <t xml:space="preserve">32</t>
  </si>
  <si>
    <t xml:space="preserve">JERARQUÍA DE DECISIÓN</t>
  </si>
  <si>
    <t xml:space="preserve">1) INSTRUCCIONES PARA IA. 2) CONFIGURACIÓN. 3) ESTADO ACTUAL. 4) HISTORIAL. 5) Ciclo actual (CICLOS BILBO). 6) Último rendimiento. 7) Determinar la siguiente carga. 8) Actualizar el Excel. 9) Dar la siguiente sesión.</t>
  </si>
  <si>
    <t xml:space="preserve">Nunca decidir una carga ignorando el historial disponible.</t>
  </si>
  <si>
    <t xml:space="preserve">33</t>
  </si>
  <si>
    <t xml:space="preserve">AL RECIBIR EL EXCEL EN UNA CONVERSACIÓN NUEVA</t>
  </si>
  <si>
    <t xml:space="preserve">1) Leer INSTRUCCIONES PARA IA. 2) CONFIGURACIÓN. 3) ESTADO ACTUAL. 4) Últimas entradas de HISTORIAL. 5) CICLOS BILBO. 6) PROGRESIONES. 7) DATOS PARA NUEVA IA. 8) Reconstruir el estado. 9) No reiniciar el programa. 10) No inventar datos. 11) Continuar desde la próxima sesión registrada.</t>
  </si>
  <si>
    <t xml:space="preserve">Si el archivo se abre sin valores calculados (p. ej. leído por una librería), calcular a partir de HISTORIAL siguiendo estas reglas; los datos de entrada son la verdad.</t>
  </si>
  <si>
    <t xml:space="preserve">34</t>
  </si>
  <si>
    <t xml:space="preserve">NO CAMBIAR REGLAS SIN AUTORIZACIÓN</t>
  </si>
  <si>
    <t xml:space="preserve">No modificar ejercicios, estructura semanal, rangos, método Bilbo, número de series, sistema de progresión ni estructura del Excel sin petición expresa del usuario. Todo cambio autorizado se registra en INCIDENCIAS Y CAMBIOS (Autorizado = Sí) y se refleja en CONFIGURACIÓN / PLAN SEMANAL y en esta hoja.</t>
  </si>
  <si>
    <t xml:space="preserve">SÍ se pueden ajustar cargas, porcentajes y progresiones según los datos reales.</t>
  </si>
  <si>
    <t xml:space="preserve">35</t>
  </si>
  <si>
    <t xml:space="preserve">PRINCIPIO FINAL</t>
  </si>
  <si>
    <t xml:space="preserve">El HISTORIAL conserva el pasado. ESTADO ACTUAL representa el presente. La progresión determina el futuro.</t>
  </si>
  <si>
    <t xml:space="preserve">Nunca perder información histórica. Nunca reiniciar un ciclo sin motivo. Nunca cambiar las reglas sin autorización. Nunca inventar datos. Siempre usar los resultados reales para decidir.</t>
  </si>
  <si>
    <t xml:space="preserve">CONFIGURACIÓN — parámetros del sistema</t>
  </si>
  <si>
    <t xml:space="preserve">Parámetros modificables. Separados de los datos. Cambiar solo con autorización del usuario (registrar el cambio en INCIDENCIAS Y CAMBIOS).</t>
  </si>
  <si>
    <t xml:space="preserve">Leyenda: celdas AMARILLAS con texto AZUL = entrada/decisión (se editan). Celdas GRISES = fórmula (no tocar). Texto VERDE = vínculo a otra hoja (no tocar).</t>
  </si>
  <si>
    <t xml:space="preserve">A) PARÁMETROS GENERALES</t>
  </si>
  <si>
    <t xml:space="preserve">Objetivo (orden de prioridad)</t>
  </si>
  <si>
    <t xml:space="preserve">1 Fuerza · 2 Potencia · 3 Progreso medible · 4 Control de fatiga · 5 Volumen suficiente · 6 Bilbo correcto · 7 Progresión basada en evidencia · 8 Registro total · 9 Decidir con historial · 10 Continuidad vía Excel</t>
  </si>
  <si>
    <t xml:space="preserve">Texto de referencia.</t>
  </si>
  <si>
    <t xml:space="preserve">Días de entrenamiento</t>
  </si>
  <si>
    <t xml:space="preserve">Lunes a viernes</t>
  </si>
  <si>
    <t xml:space="preserve">L Empuje · M Tirón+Pierna · X Movilidad+Potencia · J Empuje · V Tirón+Pierna</t>
  </si>
  <si>
    <t xml:space="preserve">Incremento mínimo global de carga (kg)</t>
  </si>
  <si>
    <t xml:space="preserve">Confirmado: 2 kg (barra: 1 kg por lado; poleas: de 2 en 2 kg). Cada ejercicio tiene el suyo en la tabla B (col. H).</t>
  </si>
  <si>
    <t xml:space="preserve">Regla de redondeo</t>
  </si>
  <si>
    <t xml:space="preserve">MÁS CERCANO</t>
  </si>
  <si>
    <t xml:space="preserve">MÁS CERCANO / ABAJO / ARRIBA. Se aplica a todas las cargas calculadas (post-Bilbo, subidas, calentamientos usan ABAJO).</t>
  </si>
  <si>
    <t xml:space="preserve">Peso de la barra (kg)</t>
  </si>
  <si>
    <t xml:space="preserve">Confirmado por el usuario (27/09/2026): barra de 10 kg. Discos de 1 kg por lado → incremento mínimo en barra 2 kg.</t>
  </si>
  <si>
    <t xml:space="preserve">Bilbo: reps de fin de ciclo</t>
  </si>
  <si>
    <t xml:space="preserve">El ciclo termina cuando la serie Bilbo queda en ≈15 reps (o menos).</t>
  </si>
  <si>
    <t xml:space="preserve">Bilbo: reps máximas de referencia</t>
  </si>
  <si>
    <t xml:space="preserve">Rango orientativo 15–50. Si se llega a 50 reps, parar la serie: la carga era baja.</t>
  </si>
  <si>
    <t xml:space="preserve">Bilbo: umbral 'ciclo próximo a terminar' (reps)</t>
  </si>
  <si>
    <t xml:space="preserve">Si las últimas reps Bilbo ≤ este valor, el ciclo está cerca del final.</t>
  </si>
  <si>
    <t xml:space="preserve">Bilbo: caída de reps por kg por defecto</t>
  </si>
  <si>
    <t xml:space="preserve">Se usa para estimar reps cuando aún no hay 2 sesiones en el ciclo (≈3 reps menos por +2 kg). Con datos, se calcula del ciclo real.</t>
  </si>
  <si>
    <t xml:space="preserve">Bilbo: caída mínima de reps por kg (suelo del modelo)</t>
  </si>
  <si>
    <t xml:space="preserve">Evita estimaciones absurdas si en el ciclo las reps subieron al subir carga.</t>
  </si>
  <si>
    <t xml:space="preserve">Bilbo: subida de carga entre sesiones</t>
  </si>
  <si>
    <t xml:space="preserve">1 incremento del ejercicio</t>
  </si>
  <si>
    <t xml:space="preserve">Norma: +1 incremento mínimo del ejercicio por sesión (ej. +2 kg). No mantener el peso para 'batir reps'.</t>
  </si>
  <si>
    <t xml:space="preserve">Nuevo ciclo: subida mínima de la carga inicial (%)</t>
  </si>
  <si>
    <t xml:space="preserve">Carga inicial del nuevo ciclo ≥ carga inicial anterior + máx(1 incremento; este %). SIEMPRE superior a la inicial anterior.</t>
  </si>
  <si>
    <t xml:space="preserve">Bilbo: reps por debajo de lo estimado que se consideran rendimiento bajo</t>
  </si>
  <si>
    <t xml:space="preserve">Si reps reales ≤ estimadas − este valor: no subir automáticamente; analizar fatiga (no reiniciar por una sesión).</t>
  </si>
  <si>
    <t xml:space="preserve">Post-Bilbo: nº de series</t>
  </si>
  <si>
    <t xml:space="preserve">1 serie Bilbo + 3 series posteriores del mismo ejercicio.</t>
  </si>
  <si>
    <t xml:space="preserve">Post-Bilbo: reps mínimas</t>
  </si>
  <si>
    <t xml:space="preserve">Objetivo 3×8–12.</t>
  </si>
  <si>
    <t xml:space="preserve">Post-Bilbo: reps máximas</t>
  </si>
  <si>
    <t xml:space="preserve">Post-Bilbo: RIR objetivo</t>
  </si>
  <si>
    <t xml:space="preserve">Cada serie termina con ≈1 repetición en reserva.</t>
  </si>
  <si>
    <t xml:space="preserve">Post-Bilbo: % añadido inicial</t>
  </si>
  <si>
    <t xml:space="preserve">Peso post = Peso Bilbo × (1 + %). Valor inicial; después se ajusta por ejercicio en ESTADO ACTUAL.</t>
  </si>
  <si>
    <t xml:space="preserve">Post-Bilbo: paso de ajuste del %</t>
  </si>
  <si>
    <t xml:space="preserve">Ajustes pequeños: ± este valor por sesión.</t>
  </si>
  <si>
    <t xml:space="preserve">Post-Bilbo: % mínimo permitido</t>
  </si>
  <si>
    <t xml:space="preserve">Nunca se reduce el peso post por debajo del peso Bilbo salvo decisión explícita.</t>
  </si>
  <si>
    <t xml:space="preserve">Post-Bilbo: % máximo permitido</t>
  </si>
  <si>
    <t xml:space="preserve">Tope de seguridad.</t>
  </si>
  <si>
    <t xml:space="preserve">Post-Bilbo: caída anormal entre S1 y S3 (reps)</t>
  </si>
  <si>
    <t xml:space="preserve">Si S1 − S3 ≥ este valor: posible fatiga, no subir % agresivamente.</t>
  </si>
  <si>
    <t xml:space="preserve">Doble progresión: salto relativo mínimo al subir carga</t>
  </si>
  <si>
    <t xml:space="preserve">Al completar el tope del rango: nueva carga = última + máx(incremento; % de la carga), redondeada.</t>
  </si>
  <si>
    <t xml:space="preserve">Tirón vertical activo (martes/viernes)</t>
  </si>
  <si>
    <t xml:space="preserve">Jalón al pecho</t>
  </si>
  <si>
    <t xml:space="preserve">Jalón al pecho / Remo unilateral con mancuerna. Cambiar cuando la pila del jalón limite la progresión.</t>
  </si>
  <si>
    <t xml:space="preserve">Carga máxima de la pila del jalón (kg)</t>
  </si>
  <si>
    <t xml:space="preserve">Confirmado por el usuario: 60 kg. Si la próxima carga del jalón supera 60 kg → pasar a Remo unilateral con mancuerna (disponible).</t>
  </si>
  <si>
    <t xml:space="preserve">Calentamiento serie 1: % de la carga de trabajo</t>
  </si>
  <si>
    <t xml:space="preserve">2 series de aproximación. Serie 1 ≈ 50 %.</t>
  </si>
  <si>
    <t xml:space="preserve">Calentamiento serie 1: reps</t>
  </si>
  <si>
    <t xml:space="preserve">Calentamiento serie 2: % de la carga de trabajo</t>
  </si>
  <si>
    <t xml:space="preserve">Serie 2 ≈ 75 %.</t>
  </si>
  <si>
    <t xml:space="preserve">Calentamiento serie 2: reps</t>
  </si>
  <si>
    <t xml:space="preserve">Potencia: carga inicial press banca dinámico (% del peso Bilbo de banca)</t>
  </si>
  <si>
    <t xml:space="preserve">Solo para la primera sesión; después progresa por velocidad.</t>
  </si>
  <si>
    <t xml:space="preserve">Potencia: carga inicial sentadilla dinámica (% de la carga de trabajo de sentadilla)</t>
  </si>
  <si>
    <t xml:space="preserve">Movilidad articular (antes de cada sesión, 5–8 min)</t>
  </si>
  <si>
    <t xml:space="preserve">Cuello y hombros (círculos, dislocaciones con palo/banda) · rotaciones torácicas · círculos de cadera y 90/90 · tobillo a pared · muñecas</t>
  </si>
  <si>
    <t xml:space="preserve">Movilidad miércoles (15–20 min)</t>
  </si>
  <si>
    <t xml:space="preserve">Lo anterior más: apertura torácica en banco, sentadilla profunda asistida con pausas, estiramiento de dorsal y pectoral en polea/marco, isquios y flexores de cadera. Sin fatiga.</t>
  </si>
  <si>
    <t xml:space="preserve">B) EJERCICIOS, RANGOS Y PROGRESIÓN</t>
  </si>
  <si>
    <t xml:space="preserve">Ejercicio</t>
  </si>
  <si>
    <t xml:space="preserve">Tipo de progresión</t>
  </si>
  <si>
    <t xml:space="preserve">Implemento</t>
  </si>
  <si>
    <t xml:space="preserve">Rep mín</t>
  </si>
  <si>
    <t xml:space="preserve">Rep máx</t>
  </si>
  <si>
    <t xml:space="preserve">Series</t>
  </si>
  <si>
    <t xml:space="preserve">Incremento (kg)</t>
  </si>
  <si>
    <t xml:space="preserve">RIR objetivo</t>
  </si>
  <si>
    <t xml:space="preserve">Reps tras subir carga</t>
  </si>
  <si>
    <t xml:space="preserve">Día A (1=L)</t>
  </si>
  <si>
    <t xml:space="preserve">Día B</t>
  </si>
  <si>
    <t xml:space="preserve">Descanso</t>
  </si>
  <si>
    <t xml:space="preserve">Notas</t>
  </si>
  <si>
    <t xml:space="preserve">Press banca</t>
  </si>
  <si>
    <t xml:space="preserve">Bilbo</t>
  </si>
  <si>
    <t xml:space="preserve">Barra</t>
  </si>
  <si>
    <t xml:space="preserve">1+3</t>
  </si>
  <si>
    <t xml:space="preserve">Bilbo: sin RIR · Post: 1</t>
  </si>
  <si>
    <t xml:space="preserve">—</t>
  </si>
  <si>
    <t xml:space="preserve">Bilbo→post 3–5 min · post 2–4 min</t>
  </si>
  <si>
    <t xml:space="preserve">Bilbo + 3×8–12 @RIR1</t>
  </si>
  <si>
    <t xml:space="preserve">Press militar</t>
  </si>
  <si>
    <t xml:space="preserve">Remo bajo en polea</t>
  </si>
  <si>
    <t xml:space="preserve">Polea</t>
  </si>
  <si>
    <t xml:space="preserve">Pila de 2 en 2 kg (confirmado).</t>
  </si>
  <si>
    <t xml:space="preserve">Sentadilla</t>
  </si>
  <si>
    <t xml:space="preserve">Doble progresión</t>
  </si>
  <si>
    <t xml:space="preserve">1–2</t>
  </si>
  <si>
    <t xml:space="preserve">5–6</t>
  </si>
  <si>
    <t xml:space="preserve">3–4 min</t>
  </si>
  <si>
    <t xml:space="preserve">Nunca &lt;3 ni &gt;8 reps.</t>
  </si>
  <si>
    <t xml:space="preserve">Press inclinado con mancuernas</t>
  </si>
  <si>
    <t xml:space="preserve">Mancuernas (kg por mancuerna)</t>
  </si>
  <si>
    <t xml:space="preserve">7–8</t>
  </si>
  <si>
    <t xml:space="preserve">2–3 min</t>
  </si>
  <si>
    <t xml:space="preserve">Tríceps en polea alta</t>
  </si>
  <si>
    <t xml:space="preserve">Elevaciones laterales</t>
  </si>
  <si>
    <t xml:space="preserve">12–14</t>
  </si>
  <si>
    <t xml:space="preserve">1,5–2 min</t>
  </si>
  <si>
    <t xml:space="preserve">Solo lunes.</t>
  </si>
  <si>
    <t xml:space="preserve">Trapecio</t>
  </si>
  <si>
    <t xml:space="preserve">Barra (encogimientos)</t>
  </si>
  <si>
    <t xml:space="preserve">10–12</t>
  </si>
  <si>
    <t xml:space="preserve">Solo jueves. Encogimientos con barra (elegido por la IA con autorización del usuario).</t>
  </si>
  <si>
    <t xml:space="preserve">Pila máx. 60 kg, de 2 en 2 kg. Al llegar al tope → Remo unilateral con mancuerna.</t>
  </si>
  <si>
    <t xml:space="preserve">Remo unilateral con mancuerna</t>
  </si>
  <si>
    <t xml:space="preserve">Sustituto del jalón. Mismo rango (8–15).</t>
  </si>
  <si>
    <t xml:space="preserve">Bíceps con mancuernas</t>
  </si>
  <si>
    <t xml:space="preserve">Salto vertical (CMJ)</t>
  </si>
  <si>
    <t xml:space="preserve">Potencia</t>
  </si>
  <si>
    <t xml:space="preserve">Peso corporal</t>
  </si>
  <si>
    <t xml:space="preserve">Lejos del fallo</t>
  </si>
  <si>
    <t xml:space="preserve">90–120 s</t>
  </si>
  <si>
    <t xml:space="preserve">Máxima altura en cada salto.</t>
  </si>
  <si>
    <t xml:space="preserve">Press banca dinámico</t>
  </si>
  <si>
    <t xml:space="preserve">≥4</t>
  </si>
  <si>
    <t xml:space="preserve">Máxima velocidad concéntrica.</t>
  </si>
  <si>
    <t xml:space="preserve">Sentadilla dinámica</t>
  </si>
  <si>
    <t xml:space="preserve">≥5</t>
  </si>
  <si>
    <t xml:space="preserve">2 min</t>
  </si>
  <si>
    <t xml:space="preserve">Movilidad</t>
  </si>
  <si>
    <t xml:space="preserve">15–20 min el miércoles.</t>
  </si>
  <si>
    <t xml:space="preserve">C) REGLAS DE AJUSTE (resumen; detalle completo en INSTRUCCIONES PARA IA)</t>
  </si>
  <si>
    <t xml:space="preserve">Cada sesión: +1 incremento. Las reps bajan. Ciclo termina ≈15 reps. Nuevo ciclo con carga inicial &gt; inicial anterior.</t>
  </si>
  <si>
    <t xml:space="preserve">Post-Bilbo %</t>
  </si>
  <si>
    <t xml:space="preserve">3 series &gt;12 reps @RIR1 → +paso · dentro de 8–12 → mantener · alguna &lt;8 → −paso · caída anormal → no subir.</t>
  </si>
  <si>
    <t xml:space="preserve">Misma carga hasta completar todas las series en el tope del rango con buena técnica → subir carga y volver a 'Reps tras subir carga'.</t>
  </si>
  <si>
    <t xml:space="preserve">Subir carga solo si todas las series se calificaron velocidad A. Alguna C → bajar carga o volumen o terminar.</t>
  </si>
  <si>
    <t xml:space="preserve">Fatiga</t>
  </si>
  <si>
    <t xml:space="preserve">No subir automáticamente si hay caída anormal, RIR menor al objetivo o técnica peor. No cambios drásticos por una sesión aislada.</t>
  </si>
  <si>
    <t xml:space="preserve">PLAN SEMANAL — estructura fija (no modificar sin autorización)</t>
  </si>
  <si>
    <t xml:space="preserve">La columna 'Clave' la usa SESIÓN ACTUAL. El tirón vertical del martes/viernes sigue lo indicado en CONFIGURACIÓN.</t>
  </si>
  <si>
    <t xml:space="preserve">Clave</t>
  </si>
  <si>
    <t xml:space="preserve">Día</t>
  </si>
  <si>
    <t xml:space="preserve">Línea</t>
  </si>
  <si>
    <t xml:space="preserve">Sesión</t>
  </si>
  <si>
    <t xml:space="preserve">Tipo de trabajo</t>
  </si>
  <si>
    <t xml:space="preserve">Reps / rango</t>
  </si>
  <si>
    <t xml:space="preserve">RIR</t>
  </si>
  <si>
    <t xml:space="preserve">2 series aproximación</t>
  </si>
  <si>
    <t xml:space="preserve">LUNES</t>
  </si>
  <si>
    <t xml:space="preserve">EMPUJE</t>
  </si>
  <si>
    <t xml:space="preserve">Máx. con intención explosiva (≈15–50), sin fallo absoluto</t>
  </si>
  <si>
    <t xml:space="preserve">No se pide</t>
  </si>
  <si>
    <t xml:space="preserve">3–5 min antes de las post</t>
  </si>
  <si>
    <t xml:space="preserve">Sí</t>
  </si>
  <si>
    <t xml:space="preserve">Serie protagonista.</t>
  </si>
  <si>
    <t xml:space="preserve">Post-Bilbo</t>
  </si>
  <si>
    <t xml:space="preserve">8–12</t>
  </si>
  <si>
    <t xml:space="preserve">2–4 min</t>
  </si>
  <si>
    <t xml:space="preserve">No</t>
  </si>
  <si>
    <t xml:space="preserve">Peso = Bilbo × (1+%).</t>
  </si>
  <si>
    <t xml:space="preserve">Trabajo</t>
  </si>
  <si>
    <t xml:space="preserve">6–10</t>
  </si>
  <si>
    <t xml:space="preserve">Doble progresión.</t>
  </si>
  <si>
    <t xml:space="preserve">3–8</t>
  </si>
  <si>
    <t xml:space="preserve">10–20</t>
  </si>
  <si>
    <t xml:space="preserve">MARTES</t>
  </si>
  <si>
    <t xml:space="preserve">TIRÓN + PIERNA</t>
  </si>
  <si>
    <t xml:space="preserve">Doble progresión. Nunca &lt;3 ni &gt;8.</t>
  </si>
  <si>
    <t xml:space="preserve">8–15</t>
  </si>
  <si>
    <t xml:space="preserve">Jalón al pecho O remo unilateral (CONFIGURACIÓN).</t>
  </si>
  <si>
    <t xml:space="preserve">MIÉRCOLES</t>
  </si>
  <si>
    <t xml:space="preserve">MOVILIDAD + POTENCIA</t>
  </si>
  <si>
    <t xml:space="preserve">15–20 min</t>
  </si>
  <si>
    <t xml:space="preserve">Ver CONFIGURACIÓN: movilidad miércoles.</t>
  </si>
  <si>
    <t xml:space="preserve">3 saltos</t>
  </si>
  <si>
    <t xml:space="preserve">Máxima altura; reset entre saltos.</t>
  </si>
  <si>
    <t xml:space="preserve">3 reps a máxima velocidad</t>
  </si>
  <si>
    <t xml:space="preserve">Parar si la velocidad cae (calificar A/B/C).</t>
  </si>
  <si>
    <t xml:space="preserve">2 reps a máxima velocidad</t>
  </si>
  <si>
    <t xml:space="preserve">JUEVES</t>
  </si>
  <si>
    <t xml:space="preserve">VIERNES</t>
  </si>
  <si>
    <t xml:space="preserve">Antes de cada sesión: movilidad articular (5–8 min) + 2 series de aproximación en los ejercicios principales (columna K).</t>
  </si>
  <si>
    <t xml:space="preserve">Sin peso muerto. Sin accesorios nuevos, circuitos ni superseries salvo petición expresa del usuario.</t>
  </si>
  <si>
    <t xml:space="preserve">Bilbo solo en: Press banca, Press militar, Remo bajo en polea.</t>
  </si>
  <si>
    <t xml:space="preserve">HISTORIAL — registro permanente (NUNCA borrar ni sobrescribir filas)</t>
  </si>
  <si>
    <t xml:space="preserve">Una fila por serie. Añadir siempre en la primera fila con 'Fecha' vacía. Rellenar solo columnas amarillas; las grises son fórmulas.</t>
  </si>
  <si>
    <t xml:space="preserve">Ejemplo de formato (no es un dato real): 01/10/2026 | LUNES | Press banca | Bilbo | ciclo 1 | sesión 1 | serie 1 | 62 | 30 | (RIR vacío) | | reps est. 30 ... → siguientes filas: Press banca | Post-Bilbo | ciclo 1 | sesión 1 | serie 1..3 | 70 | 12/11/10 | RIR 1 | 15 %.  Mancuernas: kg por mancuerna. CMJ: peso 0 = peso corporal.</t>
  </si>
  <si>
    <t xml:space="preserve">ID</t>
  </si>
  <si>
    <t xml:space="preserve">Fecha</t>
  </si>
  <si>
    <t xml:space="preserve">Día semana</t>
  </si>
  <si>
    <t xml:space="preserve">Día del plan</t>
  </si>
  <si>
    <t xml:space="preserve">Ciclo Bilbo</t>
  </si>
  <si>
    <t xml:space="preserve">Sesión en ciclo</t>
  </si>
  <si>
    <t xml:space="preserve">Serie nº</t>
  </si>
  <si>
    <t xml:space="preserve">Peso (kg)</t>
  </si>
  <si>
    <t xml:space="preserve">Reps</t>
  </si>
  <si>
    <t xml:space="preserve">% post-Bilbo</t>
  </si>
  <si>
    <t xml:space="preserve">Reps estimadas</t>
  </si>
  <si>
    <t xml:space="preserve">Peso prescrito (kg)</t>
  </si>
  <si>
    <t xml:space="preserve">Velocidad (A/B/C)</t>
  </si>
  <si>
    <t xml:space="preserve">Dif. reps vs estimadas</t>
  </si>
  <si>
    <t xml:space="preserve">Volumen (kg×reps)</t>
  </si>
  <si>
    <t xml:space="preserve">e1RM ref. (≤12 reps)</t>
  </si>
  <si>
    <t xml:space="preserve">Índice Bilbo (comparativo)</t>
  </si>
  <si>
    <t xml:space="preserve">Observaciones / incidencias</t>
  </si>
  <si>
    <t xml:space="preserve">Próxima carga decidida (kg)</t>
  </si>
  <si>
    <t xml:space="preserve">Próxima sesión (fecha)</t>
  </si>
  <si>
    <t xml:space="preserve">Clave Bilbo (ejercicio|ciclo|sesión)</t>
  </si>
  <si>
    <t xml:space="preserve">Nueva sesión (fecha distinta a la fila anterior)</t>
  </si>
  <si>
    <t xml:space="preserve">ESTADO ACTUAL — situación vigente de los ejercicios Bilbo (SE ACTUALIZA)</t>
  </si>
  <si>
    <t xml:space="preserve">Las columnas de decisión (amarillas) las rellena la IA tras cada sesión. El resto se calcula desde HISTORIAL y CONFIGURACIÓN.</t>
  </si>
  <si>
    <t xml:space="preserve">EJERCICIO / CICLO</t>
  </si>
  <si>
    <t xml:space="preserve">DATOS DEL CICLO Y ÚLTIMA SESIÓN (HISTORIAL)</t>
  </si>
  <si>
    <t xml:space="preserve">PRÓXIMA SESIÓN BILBO</t>
  </si>
  <si>
    <t xml:space="preserve">POST-BILBO (3×8–12 @RIR1)</t>
  </si>
  <si>
    <t xml:space="preserve">NOTAS / AUXILIARES</t>
  </si>
  <si>
    <t xml:space="preserve">Ciclo actual (DECISIÓN)</t>
  </si>
  <si>
    <t xml:space="preserve">Sesiones Bilbo hechas en el ciclo</t>
  </si>
  <si>
    <t xml:space="preserve">Posición próxima sesión</t>
  </si>
  <si>
    <t xml:space="preserve">Carga inicial del ciclo</t>
  </si>
  <si>
    <t xml:space="preserve">Reps iniciales del ciclo</t>
  </si>
  <si>
    <t xml:space="preserve">Fecha último Bilbo</t>
  </si>
  <si>
    <t xml:space="preserve">Último peso Bilbo</t>
  </si>
  <si>
    <t xml:space="preserve">Últimas reps Bilbo</t>
  </si>
  <si>
    <t xml:space="preserve">Reps estimadas (última)</t>
  </si>
  <si>
    <t xml:space="preserve">Dif. real − estimada</t>
  </si>
  <si>
    <t xml:space="preserve">Caída reps/kg (modelo)</t>
  </si>
  <si>
    <t xml:space="preserve">Próximo peso Bilbo SUGERIDO (fórmula)</t>
  </si>
  <si>
    <t xml:space="preserve">Próximo peso Bilbo DECISIÓN</t>
  </si>
  <si>
    <t xml:space="preserve">Reps esperadas (modelo)</t>
  </si>
  <si>
    <t xml:space="preserve">Reps esperadas AJUSTE IA (opcional)</t>
  </si>
  <si>
    <t xml:space="preserve">Reps esperadas FINAL</t>
  </si>
  <si>
    <t xml:space="preserve">Estado del ciclo</t>
  </si>
  <si>
    <t xml:space="preserve">Fecha próxima sesión</t>
  </si>
  <si>
    <t xml:space="preserve">% post usado última sesión</t>
  </si>
  <si>
    <t xml:space="preserve">Fecha último post-Bilbo</t>
  </si>
  <si>
    <t xml:space="preserve">Peso post último</t>
  </si>
  <si>
    <t xml:space="preserve">Post S1 reps</t>
  </si>
  <si>
    <t xml:space="preserve">Post S2 reps</t>
  </si>
  <si>
    <t xml:space="preserve">Post S3 reps</t>
  </si>
  <si>
    <t xml:space="preserve">RIR mín post</t>
  </si>
  <si>
    <t xml:space="preserve">Último resultado post</t>
  </si>
  <si>
    <t xml:space="preserve">Evaluación post (regla %)</t>
  </si>
  <si>
    <t xml:space="preserve">% post SUGERIDO</t>
  </si>
  <si>
    <t xml:space="preserve">% post próxima DECISIÓN</t>
  </si>
  <si>
    <t xml:space="preserve">Peso post-Bilbo próxima (3×8–12 @RIR1)</t>
  </si>
  <si>
    <t xml:space="preserve">Observaciones</t>
  </si>
  <si>
    <t xml:space="preserve">aux: ID último Bilbo</t>
  </si>
  <si>
    <t xml:space="preserve">aux: ID 1er Bilbo del ciclo</t>
  </si>
  <si>
    <t xml:space="preserve">aux: ID último post</t>
  </si>
  <si>
    <t xml:space="preserve">Sin datos todavía. Primera sesión = calibración (ver INSTRUCCIONES §21).</t>
  </si>
  <si>
    <t xml:space="preserve">Cómo se usa: tras cada sesión la IA escribe en HISTORIAL y luego decide aquí 'Próximo peso Bilbo DECISIÓN', '% post próxima DECISIÓN' y, al cerrar un ciclo, 'Ciclo actual'. SUGERIDO es solo la propuesta automática; la DECISIÓN manda.</t>
  </si>
  <si>
    <t xml:space="preserve">Sin datos (calibración): 'Próximo peso Bilbo DECISIÓN' queda vacío hasta conocer la primera referencia. Columnas 'aux' = auxiliares técnicas (no tocar).</t>
  </si>
  <si>
    <t xml:space="preserve">CICLOS BILBO — todos los ciclos (NUNCA borrar ciclos anteriores)</t>
  </si>
  <si>
    <t xml:space="preserve">Para abrir un ciclo nuevo: escribir Ejercicio, Nº ciclo y Estado=ACTIVO en la primera fila libre (el resto se calcula). Marcar el anterior como TERMINADO.</t>
  </si>
  <si>
    <t xml:space="preserve">Nº ciclo</t>
  </si>
  <si>
    <t xml:space="preserve">Estado</t>
  </si>
  <si>
    <t xml:space="preserve">Fecha inicio</t>
  </si>
  <si>
    <t xml:space="preserve">Peso inicial</t>
  </si>
  <si>
    <t xml:space="preserve">Reps iniciales</t>
  </si>
  <si>
    <t xml:space="preserve">Fecha última / fin</t>
  </si>
  <si>
    <t xml:space="preserve">Peso final (último)</t>
  </si>
  <si>
    <t xml:space="preserve">Reps finales (últimas)</t>
  </si>
  <si>
    <t xml:space="preserve">Nº sesiones</t>
  </si>
  <si>
    <t xml:space="preserve">Mayor carga del ciclo</t>
  </si>
  <si>
    <t xml:space="preserve">Reps con esa carga</t>
  </si>
  <si>
    <t xml:space="preserve">Mejor índice Bilbo</t>
  </si>
  <si>
    <t xml:space="preserve">Progreso de carga en el ciclo (kg)</t>
  </si>
  <si>
    <t xml:space="preserve">Peso inicial ciclo anterior</t>
  </si>
  <si>
    <t xml:space="preserve">Regla: inicial &gt; anterior</t>
  </si>
  <si>
    <t xml:space="preserve">Reps en ciclo anterior con la carga inicial de este</t>
  </si>
  <si>
    <t xml:space="preserve">Mejora de reps a igual carga</t>
  </si>
  <si>
    <t xml:space="preserve">Volumen del ciclo (Bilbo+post, kg)</t>
  </si>
  <si>
    <t xml:space="preserve">Carga inicial ciclo siguiente SUGERIDA</t>
  </si>
  <si>
    <t xml:space="preserve">Carga inicial ciclo siguiente DECISIÓN</t>
  </si>
  <si>
    <t xml:space="preserve">Validación decisión</t>
  </si>
  <si>
    <t xml:space="preserve">Observaciones / análisis</t>
  </si>
  <si>
    <t xml:space="preserve">ACTIVO</t>
  </si>
  <si>
    <t xml:space="preserve">Ciclo 1 abierto al crear el sistema (27/09/2026). Primera sesión = calibración.</t>
  </si>
  <si>
    <t xml:space="preserve">PROGRESIONES — reglas y estado de progresión de TODOS los ejercicios</t>
  </si>
  <si>
    <t xml:space="preserve">Bilbo: se decide en ESTADO ACTUAL (aquí solo se muestra). Doble progresión y potencia: la IA escribe 'Próxima carga DECISIÓN'.</t>
  </si>
  <si>
    <t xml:space="preserve">Tipo</t>
  </si>
  <si>
    <t xml:space="preserve">Rango</t>
  </si>
  <si>
    <t xml:space="preserve">Fecha última</t>
  </si>
  <si>
    <t xml:space="preserve">Última carga (kg)</t>
  </si>
  <si>
    <t xml:space="preserve">Últimas reps S1</t>
  </si>
  <si>
    <t xml:space="preserve">S2</t>
  </si>
  <si>
    <t xml:space="preserve">S3</t>
  </si>
  <si>
    <t xml:space="preserve">Reps mín</t>
  </si>
  <si>
    <t xml:space="preserve">Señal</t>
  </si>
  <si>
    <t xml:space="preserve">Carga sugerida (fórmula)</t>
  </si>
  <si>
    <t xml:space="preserve">Próxima carga DECISIÓN</t>
  </si>
  <si>
    <t xml:space="preserve">Próximo objetivo</t>
  </si>
  <si>
    <t xml:space="preserve">Próxima sesión</t>
  </si>
  <si>
    <t xml:space="preserve">15–50 + 3×8–12 @RIR1</t>
  </si>
  <si>
    <t xml:space="preserve">Se decide en ESTADO ACTUAL.</t>
  </si>
  <si>
    <t xml:space="preserve">CMJ: 0 = peso corporal.</t>
  </si>
  <si>
    <t xml:space="preserve">REGLAS DE PROGRESIÓN:</t>
  </si>
  <si>
    <t xml:space="preserve">• Bilbo (banca, militar, remo polea): +1 incremento por sesión; las reps bajan; ciclo termina ≈15 reps; nuevo ciclo con carga inicial SUPERIOR a la inicial anterior.</t>
  </si>
  <si>
    <t xml:space="preserve">• Post-Bilbo: peso = Bilbo × (1+%); 3×8–12 @RIR1; % se ajusta según ESTADO ACTUAL (Evaluación post).</t>
  </si>
  <si>
    <t xml:space="preserve">• Sentadilla / Bíceps / Tríceps: 3–8 reps, doble progresión; al lograr 3×8 → subir carga y volver a ≈3×5–6.</t>
  </si>
  <si>
    <t xml:space="preserve">• Press inclinado: 6–10, doble progresión; al lograr 3×10 → subir y volver a ≈3×7–8.</t>
  </si>
  <si>
    <t xml:space="preserve">• Jalón: 8–15; al lograr ≈3×15 → subir. Si la pila limita → Remo unilateral con mancuerna (cambiar en CONFIGURACIÓN).</t>
  </si>
  <si>
    <t xml:space="preserve">• Elevaciones laterales 10–20 · Trapecio 8–15: doble progresión.</t>
  </si>
  <si>
    <t xml:space="preserve">• Potencia (miércoles): subir solo si todas las series son velocidad A; alguna C → bajar carga/volumen o terminar.</t>
  </si>
  <si>
    <t xml:space="preserve">• Una sesión mala aislada no provoca cambios drásticos; varias seguidas → analizar fatiga (INSTRUCCIONES §20).</t>
  </si>
  <si>
    <t xml:space="preserve">SESIÓN ACTUAL — la sesión que toca</t>
  </si>
  <si>
    <t xml:space="preserve">Se genera sola desde PLAN SEMANAL + ESTADO ACTUAL + PROGRESIONES. La IA ajusta la fecha tras cada sesión.</t>
  </si>
  <si>
    <t xml:space="preserve">Fecha de la sesión</t>
  </si>
  <si>
    <t xml:space="preserve">Día según fecha</t>
  </si>
  <si>
    <t xml:space="preserve">Forzar día del plan (opcional)</t>
  </si>
  <si>
    <t xml:space="preserve">Día del plan efectivo</t>
  </si>
  <si>
    <t xml:space="preserve">Movilidad previa</t>
  </si>
  <si>
    <t xml:space="preserve">Aprox. 1</t>
  </si>
  <si>
    <t xml:space="preserve">Aprox. 2</t>
  </si>
  <si>
    <t xml:space="preserve">Carga (kg)</t>
  </si>
  <si>
    <t xml:space="preserve">Reps objetivo</t>
  </si>
  <si>
    <t xml:space="preserve">Ciclo / progresión</t>
  </si>
  <si>
    <t xml:space="preserve">RESULTADO (rellenar: peso × reps @RIR)</t>
  </si>
  <si>
    <t xml:space="preserve">Notas de la sesión:</t>
  </si>
  <si>
    <t xml:space="preserve">• Aprox. 1 y 2 = las 2 únicas series de aproximación (solo ejercicios principales). Poca fatiga. Luego directamente la serie de trabajo.</t>
  </si>
  <si>
    <t xml:space="preserve">• Bilbo: una serie, intención de mover la barra lo más rápido posible en cada rep, sin fallo absoluto. Reportar peso × reps (sin RIR).</t>
  </si>
  <si>
    <t xml:space="preserve">• Post-Bilbo: 3 series al peso indicado, 8–12 reps dejando 1 en reserva. Reportar reps y RIR de cada serie.</t>
  </si>
  <si>
    <t xml:space="preserve">• CALIBRAR = aún no hay datos: seguir el protocolo de INSTRUCCIONES PARA IA §21 y reportar lo realizado.</t>
  </si>
  <si>
    <t xml:space="preserve">• Potencia: calificar la velocidad de cada serie A (rápida) / B (algo más lenta) / C (claramente lenta). Si aparece C: parar o bajar carga.</t>
  </si>
  <si>
    <t xml:space="preserve">RESUMEN — vista rápida (no sustituye al HISTORIAL)</t>
  </si>
  <si>
    <t xml:space="preserve">Todo es fórmula.</t>
  </si>
  <si>
    <t xml:space="preserve">1. EJERCICIOS BILBO</t>
  </si>
  <si>
    <t xml:space="preserve">Ciclo</t>
  </si>
  <si>
    <t xml:space="preserve">Posición</t>
  </si>
  <si>
    <t xml:space="preserve">Último Bilbo</t>
  </si>
  <si>
    <t xml:space="preserve">Próximo peso</t>
  </si>
  <si>
    <t xml:space="preserve">Reps esperadas</t>
  </si>
  <si>
    <t xml:space="preserve">% post</t>
  </si>
  <si>
    <t xml:space="preserve">Peso post</t>
  </si>
  <si>
    <t xml:space="preserve">Mayor carga Bilbo</t>
  </si>
  <si>
    <t xml:space="preserve">Reps con ella</t>
  </si>
  <si>
    <t xml:space="preserve">Máx. reps Bilbo</t>
  </si>
  <si>
    <t xml:space="preserve">Mejor índice</t>
  </si>
  <si>
    <t xml:space="preserve">2. EVOLUCIÓN POR CICLO (peso inicial × reps → peso final × reps)</t>
  </si>
  <si>
    <t xml:space="preserve">3. ÚLTIMAS 12 SESIONES BILBO POR EJERCICIO (peso × reps · ciclo · fecha; 1 = la más reciente)</t>
  </si>
  <si>
    <t xml:space="preserve">Nº</t>
  </si>
  <si>
    <t xml:space="preserve">aux ID</t>
  </si>
  <si>
    <t xml:space="preserve">4. PROGRESIONES PRINCIPALES (no Bilbo)</t>
  </si>
  <si>
    <t xml:space="preserve">Última fecha</t>
  </si>
  <si>
    <t xml:space="preserve">Última carga</t>
  </si>
  <si>
    <t xml:space="preserve">Reps S1/S2/S3</t>
  </si>
  <si>
    <t xml:space="preserve">Próxima carga</t>
  </si>
  <si>
    <t xml:space="preserve">5. SESIONES Y VOLUMEN</t>
  </si>
  <si>
    <t xml:space="preserve">Sesiones registradas (días distintos)</t>
  </si>
  <si>
    <t xml:space="preserve">Última sesión (fecha)</t>
  </si>
  <si>
    <t xml:space="preserve">Última sesión (día del plan)</t>
  </si>
  <si>
    <t xml:space="preserve">Próxima sesión (día / sesión)</t>
  </si>
  <si>
    <t xml:space="preserve">Volumen total últimos 7 días (kg×reps)</t>
  </si>
  <si>
    <t xml:space="preserve">Volumen total últimos 28 días (kg×reps)</t>
  </si>
  <si>
    <t xml:space="preserve">Series efectivas 7 días</t>
  </si>
  <si>
    <t xml:space="preserve">Series efectivas 28 días</t>
  </si>
  <si>
    <t xml:space="preserve">Observaciones generales (IA):</t>
  </si>
  <si>
    <t xml:space="preserve">Sistema creado. Pendiente la primera sesión (calibración).</t>
  </si>
  <si>
    <t xml:space="preserve">DATOS PARA NUEVA IA — resumen para retomar el sistema</t>
  </si>
  <si>
    <t xml:space="preserve">Leer junto con INSTRUCCIONES PARA IA. Todo lo gris se actualiza solo.</t>
  </si>
  <si>
    <t xml:space="preserve">El HISTORIAL contiene el registro completo. ESTADO ACTUAL contiene el estado operativo vigente. INSTRUCCIONES PARA IA contiene las reglas del sistema.</t>
  </si>
  <si>
    <t xml:space="preserve">Versión del sistema</t>
  </si>
  <si>
    <t xml:space="preserve">1.0</t>
  </si>
  <si>
    <t xml:space="preserve">Fecha de creación</t>
  </si>
  <si>
    <t xml:space="preserve">Última actualización del Excel (IA)</t>
  </si>
  <si>
    <t xml:space="preserve">Sesiones registradas</t>
  </si>
  <si>
    <t xml:space="preserve">Última sesión registrada</t>
  </si>
  <si>
    <t xml:space="preserve">Día / sesión</t>
  </si>
  <si>
    <t xml:space="preserve">Objetivo</t>
  </si>
  <si>
    <t xml:space="preserve">Estructura semanal</t>
  </si>
  <si>
    <t xml:space="preserve">L Empuje (banca Bilbo, militar Bilbo, inclinado mancuernas, tríceps polea alta, laterales) · M Tirón+Pierna (remo polea Bilbo, sentadilla, jalón o unilateral, bíceps) · X Movilidad + Potencia (CMJ, press banca dinámico, sentadilla dinámica) · J Empuje (igual que L con trapecio en lugar de laterales) · V Tirón+Pierna (igual que M)</t>
  </si>
  <si>
    <t xml:space="preserve">Reglas clave</t>
  </si>
  <si>
    <t xml:space="preserve">Bilbo solo en banca, militar y remo polea: 1 serie Bilbo (15–50 reps, explosiva, sin fallo) +1 incremento por sesión, ciclo termina ≈15 reps, nuevo ciclo con carga inicial &gt; inicial anterior. Después 3×8–12 @RIR1 con peso = Bilbo×(1+%), % ajustable. Resto: doble progresión (sentadilla/bíceps/tríceps 3–8, inclinado 6–10, jalón/trapecio 8–15, laterales 10–20). Sin peso muerto ni accesorios nuevos. Nunca inventar datos, nunca borrar historial.</t>
  </si>
  <si>
    <t xml:space="preserve">Incremento mínimo / redondeo</t>
  </si>
  <si>
    <t xml:space="preserve">Tirón vertical activo</t>
  </si>
  <si>
    <t xml:space="preserve">Observaciones generales</t>
  </si>
  <si>
    <t xml:space="preserve">ESTADO BILBO</t>
  </si>
  <si>
    <t xml:space="preserve">Sesiones en ciclo</t>
  </si>
  <si>
    <t xml:space="preserve">Próximo Bilbo (kg)</t>
  </si>
  <si>
    <t xml:space="preserve">Reps esp.</t>
  </si>
  <si>
    <t xml:space="preserve">Último post</t>
  </si>
  <si>
    <t xml:space="preserve">PROGRESIONES (resto de ejercicios)</t>
  </si>
  <si>
    <t xml:space="preserve">Señal / objetivo</t>
  </si>
  <si>
    <t xml:space="preserve">ÚLTIMAS 25 FILAS DEL HISTORIAL (la más reciente primero)</t>
  </si>
  <si>
    <t xml:space="preserve">Día plan</t>
  </si>
  <si>
    <t xml:space="preserve">Serie</t>
  </si>
  <si>
    <t xml:space="preserve">Peso</t>
  </si>
  <si>
    <t xml:space="preserve">Vel.</t>
  </si>
  <si>
    <t xml:space="preserve">ÚLTIMAS 5 INCIDENCIAS / CAMBIOS</t>
  </si>
  <si>
    <t xml:space="preserve">Descripción</t>
  </si>
  <si>
    <t xml:space="preserve">TEXTO PARA ARRANCAR UNA NUEVA IA (copiar y pegar junto con este archivo):</t>
  </si>
  <si>
    <t xml:space="preserve">Actúa como mi entrenador especializado en método Bilbo, fuerza y potencia. Te adjunto mi Excel, que es la fuente de verdad. Lee en este orden: INSTRUCCIONES PARA IA, CONFIGURACIÓN, ESTADO ACTUAL, últimas filas de HISTORIAL, CICLOS BILBO, PROGRESIONES y DATOS PARA NUEVA IA. Reconstruye el estado, no reinicies el programa ni inventes datos, y continúa desde la próxima sesión registrada. Cuando te diga '¿Qué me toca hoy?' dame la sesión completa; cuando te reporte resultados, actualiza el Excel y devuélvemelo.</t>
  </si>
  <si>
    <t xml:space="preserve">MEJORES MARCAS — récords (se calculan solos desde HISTORIAL; nunca se pierden)</t>
  </si>
  <si>
    <t xml:space="preserve">Todo es fórmula. Los récords se mantienen aunque se deje de usar esa carga.</t>
  </si>
  <si>
    <t xml:space="preserve">Mayor carga Bilbo (kg)</t>
  </si>
  <si>
    <t xml:space="preserve">Carga de esa serie</t>
  </si>
  <si>
    <t xml:space="preserve">Mayor carga en series de trabajo/post</t>
  </si>
  <si>
    <t xml:space="preserve">Mejor e1RM ref. (≤12 reps)</t>
  </si>
  <si>
    <t xml:space="preserve">Mejor serie (kg×reps, volumen)</t>
  </si>
  <si>
    <t xml:space="preserve">Mayor carga potencia</t>
  </si>
  <si>
    <t xml:space="preserve">RÉCORD DE REPETICIONES BILBO POR CARGA (máximas reps logradas con cada carga)</t>
  </si>
  <si>
    <t xml:space="preserve">Paso de la tabla (kg):</t>
  </si>
  <si>
    <t xml:space="preserve">Carga inicial de la tabla:</t>
  </si>
  <si>
    <t xml:space="preserve">INCIDENCIAS Y CAMBIOS — registro permanente (no borrar)</t>
  </si>
  <si>
    <t xml:space="preserve">Lesiones, molestias, sesiones perdidas, cambios de material, cambios de reglas autorizados por el usuario.</t>
  </si>
  <si>
    <t xml:space="preserve">Autorizado por el usuario</t>
  </si>
  <si>
    <t xml:space="preserve">Afecta a</t>
  </si>
  <si>
    <t xml:space="preserve">Registrado por</t>
  </si>
  <si>
    <t xml:space="preserve">Creación del sistema</t>
  </si>
  <si>
    <t xml:space="preserve">Creación del archivo. Sin datos de entrenamiento todavía. Supuestos pendientes de confirmar: barra de 20 kg; incremento de pilas de polea (2 kg por defecto); implemento de trapecio; carga máxima de la pila del jalón.</t>
  </si>
  <si>
    <t xml:space="preserve">Todo el sistema</t>
  </si>
  <si>
    <t xml:space="preserve">IA</t>
  </si>
  <si>
    <t xml:space="preserve">Cambio de material</t>
  </si>
  <si>
    <t xml:space="preserve">Material confirmado por el usuario: barra 10 kg; discos de 1 kg por lado (incremento 2 kg); pilas de polea de 2 en 2 kg; jalón máx. 60 kg con opción de remo a una mano con mancuerna; trapecio a elección de la IA → encogimientos con barra.</t>
  </si>
  <si>
    <t xml:space="preserve">CONFIGURACIÓN, calentamientos, jalón, trapecio</t>
  </si>
</sst>
</file>

<file path=xl/styles.xml><?xml version="1.0" encoding="utf-8"?>
<styleSheet xmlns="http://schemas.openxmlformats.org/spreadsheetml/2006/main">
  <numFmts count="8">
    <numFmt numFmtId="164" formatCode="General"/>
    <numFmt numFmtId="165" formatCode="0.0"/>
    <numFmt numFmtId="166" formatCode="0"/>
    <numFmt numFmtId="167" formatCode="0.00"/>
    <numFmt numFmtId="168" formatCode="0.0%"/>
    <numFmt numFmtId="169" formatCode="0%"/>
    <numFmt numFmtId="170" formatCode="dd/mm/yyyy"/>
    <numFmt numFmtId="171" formatCode="#,##0"/>
  </numFmts>
  <fonts count="12">
    <font>
      <sz val="10"/>
      <name val="Arial"/>
      <family val="0"/>
      <charset val="1"/>
    </font>
    <font>
      <sz val="10"/>
      <name val="Arial"/>
      <family val="0"/>
    </font>
    <font>
      <sz val="10"/>
      <name val="Arial"/>
      <family val="0"/>
    </font>
    <font>
      <sz val="10"/>
      <name val="Arial"/>
      <family val="0"/>
    </font>
    <font>
      <b val="true"/>
      <sz val="16"/>
      <color rgb="FFFFFFFF"/>
      <name val="Arial"/>
      <family val="0"/>
      <charset val="1"/>
    </font>
    <font>
      <i val="true"/>
      <sz val="9"/>
      <color rgb="FF555555"/>
      <name val="Arial"/>
      <family val="0"/>
      <charset val="1"/>
    </font>
    <font>
      <b val="true"/>
      <sz val="10"/>
      <color rgb="FFFFFFFF"/>
      <name val="Arial"/>
      <family val="0"/>
      <charset val="1"/>
    </font>
    <font>
      <b val="true"/>
      <sz val="10"/>
      <name val="Arial"/>
      <family val="0"/>
      <charset val="1"/>
    </font>
    <font>
      <b val="true"/>
      <sz val="10"/>
      <color rgb="FF0000FF"/>
      <name val="Arial"/>
      <family val="0"/>
      <charset val="1"/>
    </font>
    <font>
      <sz val="10"/>
      <color rgb="FF008000"/>
      <name val="Arial"/>
      <family val="0"/>
      <charset val="1"/>
    </font>
    <font>
      <sz val="10"/>
      <name val="Arial"/>
      <family val="2"/>
    </font>
    <font>
      <b val="true"/>
      <sz val="12"/>
      <color rgb="FFC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9E2F3"/>
        <bgColor rgb="FFDDEBF7"/>
      </patternFill>
    </fill>
    <fill>
      <patternFill patternType="solid">
        <fgColor rgb="FFFFF2CC"/>
        <bgColor rgb="FFFCE4D6"/>
      </patternFill>
    </fill>
    <fill>
      <patternFill patternType="solid">
        <fgColor rgb="FFF2F2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general" vertical="center" textRotation="0" wrapText="true" indent="0" shrinkToFit="false"/>
      <protection locked="true" hidden="false"/>
    </xf>
    <xf numFmtId="166" fontId="8" fillId="5" borderId="1" xfId="0" applyFont="true" applyBorder="true" applyAlignment="true" applyProtection="false">
      <alignment horizontal="general" vertical="center" textRotation="0" wrapText="true" indent="0" shrinkToFit="false"/>
      <protection locked="true" hidden="false"/>
    </xf>
    <xf numFmtId="167" fontId="8" fillId="5" borderId="1" xfId="0" applyFont="true" applyBorder="true" applyAlignment="true" applyProtection="false">
      <alignment horizontal="general" vertical="center" textRotation="0" wrapText="true" indent="0" shrinkToFit="false"/>
      <protection locked="true" hidden="false"/>
    </xf>
    <xf numFmtId="168" fontId="8" fillId="5" borderId="1" xfId="0" applyFont="true" applyBorder="true" applyAlignment="true" applyProtection="false">
      <alignment horizontal="general" vertical="center" textRotation="0" wrapText="true" indent="0" shrinkToFit="false"/>
      <protection locked="true" hidden="false"/>
    </xf>
    <xf numFmtId="169" fontId="8" fillId="5" borderId="1" xfId="0" applyFont="true" applyBorder="true" applyAlignment="true" applyProtection="false">
      <alignment horizontal="general" vertical="center" textRotation="0" wrapText="true" indent="0" shrinkToFit="false"/>
      <protection locked="true" hidden="false"/>
    </xf>
    <xf numFmtId="164" fontId="0" fillId="6" borderId="1" xfId="0" applyFont="fals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general" vertical="center" textRotation="0" wrapText="true" indent="0" shrinkToFit="false"/>
      <protection locked="true" hidden="false"/>
    </xf>
    <xf numFmtId="166" fontId="0" fillId="6" borderId="1" xfId="0" applyFont="false" applyBorder="true" applyAlignment="true" applyProtection="false">
      <alignment horizontal="general" vertical="center" textRotation="0" wrapText="true" indent="0" shrinkToFit="false"/>
      <protection locked="true" hidden="false"/>
    </xf>
    <xf numFmtId="165" fontId="0" fillId="6" borderId="1" xfId="0" applyFont="false" applyBorder="true" applyAlignment="true" applyProtection="false">
      <alignment horizontal="general" vertical="center" textRotation="0" wrapText="true" indent="0" shrinkToFit="false"/>
      <protection locked="true" hidden="false"/>
    </xf>
    <xf numFmtId="170" fontId="0" fillId="6" borderId="1" xfId="0" applyFont="false" applyBorder="true" applyAlignment="true" applyProtection="false">
      <alignment horizontal="general" vertical="center" textRotation="0" wrapText="true" indent="0" shrinkToFit="false"/>
      <protection locked="true" hidden="false"/>
    </xf>
    <xf numFmtId="167" fontId="0" fillId="6" borderId="1" xfId="0" applyFont="false" applyBorder="true" applyAlignment="true" applyProtection="false">
      <alignment horizontal="general" vertical="center" textRotation="0" wrapText="true" indent="0" shrinkToFit="false"/>
      <protection locked="true" hidden="false"/>
    </xf>
    <xf numFmtId="168" fontId="0" fillId="6" borderId="1" xfId="0" applyFont="fals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general" vertical="center" textRotation="0" wrapText="true" indent="0" shrinkToFit="false"/>
      <protection locked="true" hidden="false"/>
    </xf>
    <xf numFmtId="170" fontId="9"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70" fontId="8" fillId="5"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general" vertical="center" textRotation="0" wrapText="true" indent="0" shrinkToFit="false"/>
      <protection locked="true" hidden="false"/>
    </xf>
    <xf numFmtId="166" fontId="5" fillId="6" borderId="1" xfId="0" applyFont="true" applyBorder="true" applyAlignment="true" applyProtection="false">
      <alignment horizontal="general" vertical="center" textRotation="0" wrapText="true" indent="0" shrinkToFit="false"/>
      <protection locked="true" hidden="false"/>
    </xf>
    <xf numFmtId="171" fontId="0" fillId="6" borderId="1" xfId="0" applyFont="fals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70"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2F5597"/>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bgColor rgb="FFDDEBF7"/>
        </patternFill>
      </fill>
    </dxf>
    <dxf>
      <fill>
        <patternFill>
          <bgColor rgb="FFFCE4D6"/>
        </patternFill>
      </fill>
    </dxf>
    <dxf>
      <fill>
        <patternFill>
          <bgColor rgb="FFF8CBAD"/>
        </patternFill>
      </fill>
    </dxf>
    <dxf>
      <fill>
        <patternFill>
          <bgColor rgb="FFFFE699"/>
        </patternFill>
      </fill>
    </dxf>
    <dxf>
      <fill>
        <patternFill>
          <bgColor rgb="FFC6EFCE"/>
        </patternFill>
      </fill>
    </dxf>
    <dxf>
      <fill>
        <patternFill>
          <bgColor rgb="FFFF7C80"/>
        </patternFill>
      </fill>
    </dxf>
    <dxf>
      <fill>
        <patternFill>
          <bgColor rgb="FFE2EFDA"/>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5B9BD5"/>
      <rgbColor rgb="FF993366"/>
      <rgbColor rgb="FFFFF2CC"/>
      <rgbColor rgb="FFDDEBF7"/>
      <rgbColor rgb="FF660066"/>
      <rgbColor rgb="FFFF7C80"/>
      <rgbColor rgb="FF0066CC"/>
      <rgbColor rgb="FFD9E2F3"/>
      <rgbColor rgb="FF000080"/>
      <rgbColor rgb="FFFF00FF"/>
      <rgbColor rgb="FFFFFF00"/>
      <rgbColor rgb="FF00FFFF"/>
      <rgbColor rgb="FF800080"/>
      <rgbColor rgb="FF800000"/>
      <rgbColor rgb="FF008080"/>
      <rgbColor rgb="FF0000FF"/>
      <rgbColor rgb="FF00CCFF"/>
      <rgbColor rgb="FFE2EFDA"/>
      <rgbColor rgb="FFC6EFCE"/>
      <rgbColor rgb="FFFFE699"/>
      <rgbColor rgb="FFF2F2F2"/>
      <rgbColor rgb="FFFCE4D6"/>
      <rgbColor rgb="FFCC99FF"/>
      <rgbColor rgb="FFF8CBAD"/>
      <rgbColor rgb="FF3366FF"/>
      <rgbColor rgb="FF33CCCC"/>
      <rgbColor rgb="FF99CC00"/>
      <rgbColor rgb="FFFFC000"/>
      <rgbColor rgb="FFFF9900"/>
      <rgbColor rgb="FFFF6600"/>
      <rgbColor rgb="FF555555"/>
      <rgbColor rgb="FF969696"/>
      <rgbColor rgb="FF1F3864"/>
      <rgbColor rgb="FF00B050"/>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ables/table1.xml><?xml version="1.0" encoding="utf-8"?>
<table xmlns="http://schemas.openxmlformats.org/spreadsheetml/2006/main" id="1" name="tHistorial" displayName="tHistorial" ref="A4:Y2004" headerRowCount="1" totalsRowCount="0" totalsRowShown="0">
  <autoFilter ref="A4:Y2004"/>
  <tableColumns count="25">
    <tableColumn id="1" name="ID"/>
    <tableColumn id="2" name="Fecha"/>
    <tableColumn id="3" name="Día semana"/>
    <tableColumn id="4" name="Día del plan"/>
    <tableColumn id="5" name="Ejercicio"/>
    <tableColumn id="6" name="Tipo de trabajo"/>
    <tableColumn id="7" name="Ciclo Bilbo"/>
    <tableColumn id="8" name="Sesión en ciclo"/>
    <tableColumn id="9" name="Serie nº"/>
    <tableColumn id="10" name="Peso (kg)"/>
    <tableColumn id="11" name="Reps"/>
    <tableColumn id="12" name="RIR"/>
    <tableColumn id="13" name="% post-Bilbo"/>
    <tableColumn id="14" name="Reps estimadas"/>
    <tableColumn id="15" name="Peso prescrito (kg)"/>
    <tableColumn id="16" name="Velocidad (A/B/C)"/>
    <tableColumn id="17" name="Dif. reps vs estimadas"/>
    <tableColumn id="18" name="Volumen (kg×reps)"/>
    <tableColumn id="19" name="e1RM ref. (≤12 reps)"/>
    <tableColumn id="20" name="Índice Bilbo (comparativo)"/>
    <tableColumn id="21" name="Observaciones / incidencias"/>
    <tableColumn id="22" name="Próxima carga decidida (kg)"/>
    <tableColumn id="23" name="Próxima sesión (fecha)"/>
    <tableColumn id="24" name="Clave Bilbo (ejercicio|ciclo|sesión)"/>
    <tableColumn id="25" name="Nueva sesión (fecha distinta a la fila anterior)"/>
  </tableColumns>
</table>
</file>

<file path=xl/tables/table2.xml><?xml version="1.0" encoding="utf-8"?>
<table xmlns="http://schemas.openxmlformats.org/spreadsheetml/2006/main" id="2" name="tIncidencias" displayName="tIncidencias" ref="A4:F505" headerRowCount="1" totalsRowCount="0" totalsRowShown="0">
  <autoFilter ref="A4:F505"/>
  <tableColumns count="6">
    <tableColumn id="1" name="Fecha"/>
    <tableColumn id="2" name="Tipo"/>
    <tableColumn id="3" name="Descripción"/>
    <tableColumn id="4" name="Autorizado por el usuario"/>
    <tableColumn id="5" name="Afecta a"/>
    <tableColumn id="6" name="Registrado po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130"/>
  </cols>
  <sheetData>
    <row r="1" customFormat="false" ht="27.75" hidden="false" customHeight="true" outlineLevel="0" collapsed="false">
      <c r="A1" s="2" t="s">
        <v>0</v>
      </c>
      <c r="B1" s="3"/>
      <c r="C1" s="3"/>
    </row>
    <row r="2" customFormat="false" ht="15" hidden="false" customHeight="true" outlineLevel="0" collapsed="false">
      <c r="A2" s="4" t="s">
        <v>1</v>
      </c>
    </row>
    <row r="4" customFormat="false" ht="15" hidden="false" customHeight="true" outlineLevel="0" collapsed="false">
      <c r="A4" s="5" t="s">
        <v>2</v>
      </c>
      <c r="B4" s="5" t="s">
        <v>3</v>
      </c>
      <c r="C4" s="5" t="s">
        <v>4</v>
      </c>
    </row>
    <row r="5" customFormat="false" ht="18" hidden="false" customHeight="true" outlineLevel="0" collapsed="false">
      <c r="A5" s="6" t="s">
        <v>5</v>
      </c>
      <c r="B5" s="6" t="s">
        <v>6</v>
      </c>
      <c r="C5" s="7" t="s">
        <v>7</v>
      </c>
    </row>
    <row r="6" customFormat="false" ht="18" hidden="false" customHeight="true" outlineLevel="0" collapsed="false">
      <c r="A6" s="7"/>
      <c r="B6" s="7"/>
      <c r="C6" s="7" t="s">
        <v>8</v>
      </c>
    </row>
    <row r="7" customFormat="false" ht="31.5" hidden="false" customHeight="true" outlineLevel="0" collapsed="false">
      <c r="A7" s="7"/>
      <c r="B7" s="7"/>
      <c r="C7" s="7" t="s">
        <v>9</v>
      </c>
    </row>
    <row r="8" customFormat="false" ht="45.75" hidden="false" customHeight="true" outlineLevel="0" collapsed="false">
      <c r="A8" s="6" t="s">
        <v>10</v>
      </c>
      <c r="B8" s="6" t="s">
        <v>11</v>
      </c>
      <c r="C8" s="7" t="s">
        <v>12</v>
      </c>
    </row>
    <row r="9" customFormat="false" ht="18" hidden="false" customHeight="true" outlineLevel="0" collapsed="false">
      <c r="A9" s="7"/>
      <c r="B9" s="7"/>
      <c r="C9" s="7" t="s">
        <v>13</v>
      </c>
    </row>
    <row r="10" customFormat="false" ht="18" hidden="false" customHeight="true" outlineLevel="0" collapsed="false">
      <c r="A10" s="6" t="s">
        <v>14</v>
      </c>
      <c r="B10" s="6" t="s">
        <v>15</v>
      </c>
      <c r="C10" s="7" t="s">
        <v>16</v>
      </c>
    </row>
    <row r="11" customFormat="false" ht="18" hidden="false" customHeight="true" outlineLevel="0" collapsed="false">
      <c r="A11" s="7"/>
      <c r="B11" s="7"/>
      <c r="C11" s="7" t="s">
        <v>17</v>
      </c>
    </row>
    <row r="12" customFormat="false" ht="18" hidden="false" customHeight="true" outlineLevel="0" collapsed="false">
      <c r="A12" s="7"/>
      <c r="B12" s="7"/>
      <c r="C12" s="7" t="s">
        <v>18</v>
      </c>
    </row>
    <row r="13" customFormat="false" ht="31.5" hidden="false" customHeight="true" outlineLevel="0" collapsed="false">
      <c r="A13" s="6" t="s">
        <v>19</v>
      </c>
      <c r="B13" s="6" t="s">
        <v>20</v>
      </c>
      <c r="C13" s="7" t="s">
        <v>21</v>
      </c>
    </row>
    <row r="14" customFormat="false" ht="18" hidden="false" customHeight="true" outlineLevel="0" collapsed="false">
      <c r="A14" s="7"/>
      <c r="B14" s="7"/>
      <c r="C14" s="7" t="s">
        <v>22</v>
      </c>
    </row>
    <row r="15" customFormat="false" ht="31.5" hidden="false" customHeight="true" outlineLevel="0" collapsed="false">
      <c r="A15" s="7"/>
      <c r="B15" s="7"/>
      <c r="C15" s="7" t="s">
        <v>23</v>
      </c>
    </row>
    <row r="16" customFormat="false" ht="18" hidden="false" customHeight="true" outlineLevel="0" collapsed="false">
      <c r="A16" s="7"/>
      <c r="B16" s="7"/>
      <c r="C16" s="7" t="s">
        <v>24</v>
      </c>
    </row>
    <row r="17" customFormat="false" ht="18" hidden="false" customHeight="true" outlineLevel="0" collapsed="false">
      <c r="A17" s="7"/>
      <c r="B17" s="7"/>
      <c r="C17" s="7" t="s">
        <v>25</v>
      </c>
    </row>
    <row r="18" customFormat="false" ht="31.5" hidden="false" customHeight="true" outlineLevel="0" collapsed="false">
      <c r="A18" s="7"/>
      <c r="B18" s="7"/>
      <c r="C18" s="7" t="s">
        <v>26</v>
      </c>
    </row>
    <row r="19" customFormat="false" ht="18" hidden="false" customHeight="true" outlineLevel="0" collapsed="false">
      <c r="A19" s="6" t="s">
        <v>27</v>
      </c>
      <c r="B19" s="6" t="s">
        <v>28</v>
      </c>
      <c r="C19" s="7" t="s">
        <v>29</v>
      </c>
    </row>
    <row r="20" customFormat="false" ht="18" hidden="false" customHeight="true" outlineLevel="0" collapsed="false">
      <c r="A20" s="7"/>
      <c r="B20" s="7"/>
      <c r="C20" s="7" t="s">
        <v>30</v>
      </c>
    </row>
    <row r="21" customFormat="false" ht="18" hidden="false" customHeight="true" outlineLevel="0" collapsed="false">
      <c r="A21" s="6" t="s">
        <v>31</v>
      </c>
      <c r="B21" s="6" t="s">
        <v>32</v>
      </c>
      <c r="C21" s="7" t="s">
        <v>33</v>
      </c>
    </row>
    <row r="22" customFormat="false" ht="31.5" hidden="false" customHeight="true" outlineLevel="0" collapsed="false">
      <c r="A22" s="7"/>
      <c r="B22" s="7"/>
      <c r="C22" s="7" t="s">
        <v>34</v>
      </c>
    </row>
    <row r="23" customFormat="false" ht="31.5" hidden="false" customHeight="true" outlineLevel="0" collapsed="false">
      <c r="A23" s="7"/>
      <c r="B23" s="7"/>
      <c r="C23" s="7" t="s">
        <v>35</v>
      </c>
    </row>
    <row r="24" customFormat="false" ht="31.5" hidden="false" customHeight="true" outlineLevel="0" collapsed="false">
      <c r="A24" s="7"/>
      <c r="B24" s="7"/>
      <c r="C24" s="7" t="s">
        <v>36</v>
      </c>
    </row>
    <row r="25" customFormat="false" ht="45.75" hidden="false" customHeight="true" outlineLevel="0" collapsed="false">
      <c r="A25" s="7"/>
      <c r="B25" s="7"/>
      <c r="C25" s="7" t="s">
        <v>37</v>
      </c>
    </row>
    <row r="26" customFormat="false" ht="18" hidden="false" customHeight="true" outlineLevel="0" collapsed="false">
      <c r="A26" s="6" t="s">
        <v>38</v>
      </c>
      <c r="B26" s="6" t="s">
        <v>39</v>
      </c>
      <c r="C26" s="7" t="s">
        <v>40</v>
      </c>
    </row>
    <row r="27" customFormat="false" ht="18" hidden="false" customHeight="true" outlineLevel="0" collapsed="false">
      <c r="A27" s="7"/>
      <c r="B27" s="7"/>
      <c r="C27" s="7" t="s">
        <v>41</v>
      </c>
    </row>
    <row r="28" customFormat="false" ht="45.75" hidden="false" customHeight="true" outlineLevel="0" collapsed="false">
      <c r="A28" s="7"/>
      <c r="B28" s="7"/>
      <c r="C28" s="7" t="s">
        <v>42</v>
      </c>
    </row>
    <row r="29" customFormat="false" ht="18" hidden="false" customHeight="true" outlineLevel="0" collapsed="false">
      <c r="A29" s="7"/>
      <c r="B29" s="7"/>
      <c r="C29" s="7" t="s">
        <v>43</v>
      </c>
    </row>
    <row r="30" customFormat="false" ht="31.5" hidden="false" customHeight="true" outlineLevel="0" collapsed="false">
      <c r="A30" s="6" t="s">
        <v>44</v>
      </c>
      <c r="B30" s="6" t="s">
        <v>45</v>
      </c>
      <c r="C30" s="7" t="s">
        <v>46</v>
      </c>
    </row>
    <row r="31" customFormat="false" ht="18" hidden="false" customHeight="true" outlineLevel="0" collapsed="false">
      <c r="A31" s="7"/>
      <c r="B31" s="7"/>
      <c r="C31" s="7" t="s">
        <v>47</v>
      </c>
    </row>
    <row r="32" customFormat="false" ht="60" hidden="false" customHeight="true" outlineLevel="0" collapsed="false">
      <c r="A32" s="7"/>
      <c r="B32" s="7"/>
      <c r="C32" s="7" t="s">
        <v>48</v>
      </c>
    </row>
    <row r="33" customFormat="false" ht="45.75" hidden="false" customHeight="true" outlineLevel="0" collapsed="false">
      <c r="A33" s="6" t="s">
        <v>49</v>
      </c>
      <c r="B33" s="6" t="s">
        <v>50</v>
      </c>
      <c r="C33" s="7" t="s">
        <v>51</v>
      </c>
    </row>
    <row r="34" customFormat="false" ht="31.5" hidden="false" customHeight="true" outlineLevel="0" collapsed="false">
      <c r="A34" s="7"/>
      <c r="B34" s="7"/>
      <c r="C34" s="7" t="s">
        <v>52</v>
      </c>
    </row>
    <row r="35" customFormat="false" ht="18" hidden="false" customHeight="true" outlineLevel="0" collapsed="false">
      <c r="A35" s="7"/>
      <c r="B35" s="7"/>
      <c r="C35" s="7" t="s">
        <v>53</v>
      </c>
    </row>
    <row r="36" customFormat="false" ht="31.5" hidden="false" customHeight="true" outlineLevel="0" collapsed="false">
      <c r="A36" s="6" t="s">
        <v>54</v>
      </c>
      <c r="B36" s="6" t="s">
        <v>55</v>
      </c>
      <c r="C36" s="7" t="s">
        <v>56</v>
      </c>
    </row>
    <row r="37" customFormat="false" ht="31.5" hidden="false" customHeight="true" outlineLevel="0" collapsed="false">
      <c r="A37" s="7"/>
      <c r="B37" s="7"/>
      <c r="C37" s="7" t="s">
        <v>57</v>
      </c>
    </row>
    <row r="38" customFormat="false" ht="18" hidden="false" customHeight="true" outlineLevel="0" collapsed="false">
      <c r="A38" s="6" t="s">
        <v>58</v>
      </c>
      <c r="B38" s="6" t="s">
        <v>59</v>
      </c>
      <c r="C38" s="7" t="s">
        <v>60</v>
      </c>
    </row>
    <row r="39" customFormat="false" ht="31.5" hidden="false" customHeight="true" outlineLevel="0" collapsed="false">
      <c r="A39" s="7"/>
      <c r="B39" s="7"/>
      <c r="C39" s="7" t="s">
        <v>61</v>
      </c>
    </row>
    <row r="40" customFormat="false" ht="31.5" hidden="false" customHeight="true" outlineLevel="0" collapsed="false">
      <c r="A40" s="6" t="s">
        <v>62</v>
      </c>
      <c r="B40" s="6" t="s">
        <v>63</v>
      </c>
      <c r="C40" s="7" t="s">
        <v>64</v>
      </c>
    </row>
    <row r="41" customFormat="false" ht="31.5" hidden="false" customHeight="true" outlineLevel="0" collapsed="false">
      <c r="A41" s="7"/>
      <c r="B41" s="7"/>
      <c r="C41" s="7" t="s">
        <v>65</v>
      </c>
    </row>
    <row r="42" customFormat="false" ht="31.5" hidden="false" customHeight="true" outlineLevel="0" collapsed="false">
      <c r="A42" s="7"/>
      <c r="B42" s="7"/>
      <c r="C42" s="7" t="s">
        <v>66</v>
      </c>
    </row>
    <row r="43" customFormat="false" ht="18" hidden="false" customHeight="true" outlineLevel="0" collapsed="false">
      <c r="A43" s="6" t="s">
        <v>67</v>
      </c>
      <c r="B43" s="6" t="s">
        <v>68</v>
      </c>
      <c r="C43" s="7" t="s">
        <v>69</v>
      </c>
    </row>
    <row r="44" customFormat="false" ht="18" hidden="false" customHeight="true" outlineLevel="0" collapsed="false">
      <c r="A44" s="7"/>
      <c r="B44" s="7"/>
      <c r="C44" s="7" t="s">
        <v>70</v>
      </c>
    </row>
    <row r="45" customFormat="false" ht="18" hidden="false" customHeight="true" outlineLevel="0" collapsed="false">
      <c r="A45" s="7"/>
      <c r="B45" s="7"/>
      <c r="C45" s="7" t="s">
        <v>71</v>
      </c>
    </row>
    <row r="46" customFormat="false" ht="18" hidden="false" customHeight="true" outlineLevel="0" collapsed="false">
      <c r="A46" s="7"/>
      <c r="B46" s="7"/>
      <c r="C46" s="7" t="s">
        <v>72</v>
      </c>
    </row>
    <row r="47" customFormat="false" ht="18" hidden="false" customHeight="true" outlineLevel="0" collapsed="false">
      <c r="A47" s="7"/>
      <c r="B47" s="7"/>
      <c r="C47" s="7" t="s">
        <v>73</v>
      </c>
    </row>
    <row r="48" customFormat="false" ht="31.5" hidden="false" customHeight="true" outlineLevel="0" collapsed="false">
      <c r="A48" s="7"/>
      <c r="B48" s="7"/>
      <c r="C48" s="7" t="s">
        <v>74</v>
      </c>
    </row>
    <row r="49" customFormat="false" ht="18" hidden="false" customHeight="true" outlineLevel="0" collapsed="false">
      <c r="A49" s="6" t="s">
        <v>75</v>
      </c>
      <c r="B49" s="6" t="s">
        <v>76</v>
      </c>
      <c r="C49" s="7" t="s">
        <v>77</v>
      </c>
    </row>
    <row r="50" customFormat="false" ht="18" hidden="false" customHeight="true" outlineLevel="0" collapsed="false">
      <c r="A50" s="7"/>
      <c r="B50" s="7"/>
      <c r="C50" s="7" t="s">
        <v>78</v>
      </c>
    </row>
    <row r="51" customFormat="false" ht="31.5" hidden="false" customHeight="true" outlineLevel="0" collapsed="false">
      <c r="A51" s="6" t="s">
        <v>79</v>
      </c>
      <c r="B51" s="6" t="s">
        <v>80</v>
      </c>
      <c r="C51" s="7" t="s">
        <v>81</v>
      </c>
    </row>
    <row r="52" customFormat="false" ht="18" hidden="false" customHeight="true" outlineLevel="0" collapsed="false">
      <c r="A52" s="7"/>
      <c r="B52" s="7"/>
      <c r="C52" s="7" t="s">
        <v>82</v>
      </c>
    </row>
    <row r="53" customFormat="false" ht="18" hidden="false" customHeight="true" outlineLevel="0" collapsed="false">
      <c r="A53" s="7"/>
      <c r="B53" s="7"/>
      <c r="C53" s="7" t="s">
        <v>83</v>
      </c>
    </row>
    <row r="54" customFormat="false" ht="18" hidden="false" customHeight="true" outlineLevel="0" collapsed="false">
      <c r="A54" s="7"/>
      <c r="B54" s="7"/>
      <c r="C54" s="7" t="s">
        <v>84</v>
      </c>
    </row>
    <row r="55" customFormat="false" ht="18" hidden="false" customHeight="true" outlineLevel="0" collapsed="false">
      <c r="A55" s="7"/>
      <c r="B55" s="7"/>
      <c r="C55" s="7" t="s">
        <v>85</v>
      </c>
    </row>
    <row r="56" customFormat="false" ht="31.5" hidden="false" customHeight="true" outlineLevel="0" collapsed="false">
      <c r="A56" s="7"/>
      <c r="B56" s="7"/>
      <c r="C56" s="7" t="s">
        <v>86</v>
      </c>
    </row>
    <row r="57" customFormat="false" ht="18" hidden="false" customHeight="true" outlineLevel="0" collapsed="false">
      <c r="A57" s="7"/>
      <c r="B57" s="7"/>
      <c r="C57" s="7" t="s">
        <v>87</v>
      </c>
    </row>
    <row r="58" customFormat="false" ht="18" hidden="false" customHeight="true" outlineLevel="0" collapsed="false">
      <c r="A58" s="7"/>
      <c r="B58" s="7"/>
      <c r="C58" s="7" t="s">
        <v>88</v>
      </c>
    </row>
    <row r="59" customFormat="false" ht="31.5" hidden="false" customHeight="true" outlineLevel="0" collapsed="false">
      <c r="A59" s="7"/>
      <c r="B59" s="7"/>
      <c r="C59" s="7" t="s">
        <v>89</v>
      </c>
    </row>
    <row r="60" customFormat="false" ht="18" hidden="false" customHeight="true" outlineLevel="0" collapsed="false">
      <c r="A60" s="7"/>
      <c r="B60" s="7"/>
      <c r="C60" s="7" t="s">
        <v>90</v>
      </c>
    </row>
    <row r="61" customFormat="false" ht="18" hidden="false" customHeight="true" outlineLevel="0" collapsed="false">
      <c r="A61" s="6" t="s">
        <v>91</v>
      </c>
      <c r="B61" s="6" t="s">
        <v>92</v>
      </c>
      <c r="C61" s="7" t="s">
        <v>93</v>
      </c>
    </row>
    <row r="62" customFormat="false" ht="31.5" hidden="false" customHeight="true" outlineLevel="0" collapsed="false">
      <c r="A62" s="7"/>
      <c r="B62" s="7"/>
      <c r="C62" s="7" t="s">
        <v>94</v>
      </c>
    </row>
    <row r="63" customFormat="false" ht="31.5" hidden="false" customHeight="true" outlineLevel="0" collapsed="false">
      <c r="A63" s="7"/>
      <c r="B63" s="7"/>
      <c r="C63" s="7" t="s">
        <v>95</v>
      </c>
    </row>
    <row r="64" customFormat="false" ht="31.5" hidden="false" customHeight="true" outlineLevel="0" collapsed="false">
      <c r="A64" s="7"/>
      <c r="B64" s="7"/>
      <c r="C64" s="7" t="s">
        <v>96</v>
      </c>
    </row>
    <row r="65" customFormat="false" ht="18" hidden="false" customHeight="true" outlineLevel="0" collapsed="false">
      <c r="A65" s="6" t="s">
        <v>97</v>
      </c>
      <c r="B65" s="6" t="s">
        <v>98</v>
      </c>
      <c r="C65" s="7" t="s">
        <v>99</v>
      </c>
    </row>
    <row r="66" customFormat="false" ht="31.5" hidden="false" customHeight="true" outlineLevel="0" collapsed="false">
      <c r="A66" s="7"/>
      <c r="B66" s="7"/>
      <c r="C66" s="7" t="s">
        <v>100</v>
      </c>
    </row>
    <row r="67" customFormat="false" ht="31.5" hidden="false" customHeight="true" outlineLevel="0" collapsed="false">
      <c r="A67" s="7"/>
      <c r="B67" s="7"/>
      <c r="C67" s="7" t="s">
        <v>101</v>
      </c>
    </row>
    <row r="68" customFormat="false" ht="18" hidden="false" customHeight="true" outlineLevel="0" collapsed="false">
      <c r="A68" s="7"/>
      <c r="B68" s="7"/>
      <c r="C68" s="7" t="s">
        <v>102</v>
      </c>
    </row>
    <row r="69" customFormat="false" ht="31.5" hidden="false" customHeight="true" outlineLevel="0" collapsed="false">
      <c r="A69" s="6" t="s">
        <v>103</v>
      </c>
      <c r="B69" s="6" t="s">
        <v>104</v>
      </c>
      <c r="C69" s="7" t="s">
        <v>105</v>
      </c>
    </row>
    <row r="70" customFormat="false" ht="18" hidden="false" customHeight="true" outlineLevel="0" collapsed="false">
      <c r="A70" s="7"/>
      <c r="B70" s="7"/>
      <c r="C70" s="7" t="s">
        <v>106</v>
      </c>
    </row>
    <row r="71" customFormat="false" ht="18" hidden="false" customHeight="true" outlineLevel="0" collapsed="false">
      <c r="A71" s="6" t="s">
        <v>107</v>
      </c>
      <c r="B71" s="6" t="s">
        <v>108</v>
      </c>
      <c r="C71" s="7" t="s">
        <v>109</v>
      </c>
    </row>
    <row r="72" customFormat="false" ht="31.5" hidden="false" customHeight="true" outlineLevel="0" collapsed="false">
      <c r="A72" s="7"/>
      <c r="B72" s="7"/>
      <c r="C72" s="7" t="s">
        <v>110</v>
      </c>
    </row>
    <row r="73" customFormat="false" ht="31.5" hidden="false" customHeight="true" outlineLevel="0" collapsed="false">
      <c r="A73" s="7"/>
      <c r="B73" s="7"/>
      <c r="C73" s="7" t="s">
        <v>111</v>
      </c>
    </row>
    <row r="74" customFormat="false" ht="31.5" hidden="false" customHeight="true" outlineLevel="0" collapsed="false">
      <c r="A74" s="6" t="s">
        <v>112</v>
      </c>
      <c r="B74" s="6" t="s">
        <v>113</v>
      </c>
      <c r="C74" s="7" t="s">
        <v>114</v>
      </c>
    </row>
    <row r="75" customFormat="false" ht="31.5" hidden="false" customHeight="true" outlineLevel="0" collapsed="false">
      <c r="A75" s="7"/>
      <c r="B75" s="7"/>
      <c r="C75" s="7" t="s">
        <v>115</v>
      </c>
    </row>
    <row r="76" customFormat="false" ht="31.5" hidden="false" customHeight="true" outlineLevel="0" collapsed="false">
      <c r="A76" s="6" t="s">
        <v>116</v>
      </c>
      <c r="B76" s="6" t="s">
        <v>117</v>
      </c>
      <c r="C76" s="7" t="s">
        <v>118</v>
      </c>
    </row>
    <row r="77" customFormat="false" ht="45.75" hidden="false" customHeight="true" outlineLevel="0" collapsed="false">
      <c r="A77" s="7"/>
      <c r="B77" s="7"/>
      <c r="C77" s="7" t="s">
        <v>119</v>
      </c>
    </row>
    <row r="78" customFormat="false" ht="31.5" hidden="false" customHeight="true" outlineLevel="0" collapsed="false">
      <c r="A78" s="7"/>
      <c r="B78" s="7"/>
      <c r="C78" s="7" t="s">
        <v>120</v>
      </c>
    </row>
    <row r="79" customFormat="false" ht="31.5" hidden="false" customHeight="true" outlineLevel="0" collapsed="false">
      <c r="A79" s="7"/>
      <c r="B79" s="7"/>
      <c r="C79" s="7" t="s">
        <v>121</v>
      </c>
    </row>
    <row r="80" customFormat="false" ht="31.5" hidden="false" customHeight="true" outlineLevel="0" collapsed="false">
      <c r="A80" s="7"/>
      <c r="B80" s="7"/>
      <c r="C80" s="7" t="s">
        <v>122</v>
      </c>
    </row>
    <row r="81" customFormat="false" ht="31.5" hidden="false" customHeight="true" outlineLevel="0" collapsed="false">
      <c r="A81" s="6" t="s">
        <v>123</v>
      </c>
      <c r="B81" s="6" t="s">
        <v>124</v>
      </c>
      <c r="C81" s="7" t="s">
        <v>125</v>
      </c>
    </row>
    <row r="82" customFormat="false" ht="18" hidden="false" customHeight="true" outlineLevel="0" collapsed="false">
      <c r="A82" s="6" t="s">
        <v>126</v>
      </c>
      <c r="B82" s="6" t="s">
        <v>127</v>
      </c>
      <c r="C82" s="7" t="s">
        <v>128</v>
      </c>
    </row>
    <row r="83" customFormat="false" ht="18" hidden="false" customHeight="true" outlineLevel="0" collapsed="false">
      <c r="A83" s="7"/>
      <c r="B83" s="7"/>
      <c r="C83" s="7" t="s">
        <v>129</v>
      </c>
    </row>
    <row r="84" customFormat="false" ht="31.5" hidden="false" customHeight="true" outlineLevel="0" collapsed="false">
      <c r="A84" s="7"/>
      <c r="B84" s="7"/>
      <c r="C84" s="7" t="s">
        <v>130</v>
      </c>
    </row>
    <row r="85" customFormat="false" ht="31.5" hidden="false" customHeight="true" outlineLevel="0" collapsed="false">
      <c r="A85" s="6" t="s">
        <v>131</v>
      </c>
      <c r="B85" s="6" t="s">
        <v>132</v>
      </c>
      <c r="C85" s="7" t="s">
        <v>133</v>
      </c>
    </row>
    <row r="86" customFormat="false" ht="18" hidden="false" customHeight="true" outlineLevel="0" collapsed="false">
      <c r="A86" s="7"/>
      <c r="B86" s="7"/>
      <c r="C86" s="7" t="s">
        <v>134</v>
      </c>
    </row>
    <row r="87" customFormat="false" ht="31.5" hidden="false" customHeight="true" outlineLevel="0" collapsed="false">
      <c r="A87" s="6" t="s">
        <v>135</v>
      </c>
      <c r="B87" s="6" t="s">
        <v>136</v>
      </c>
      <c r="C87" s="7" t="s">
        <v>137</v>
      </c>
    </row>
    <row r="88" customFormat="false" ht="31.5" hidden="false" customHeight="true" outlineLevel="0" collapsed="false">
      <c r="A88" s="7"/>
      <c r="B88" s="7"/>
      <c r="C88" s="7" t="s">
        <v>138</v>
      </c>
    </row>
    <row r="89" customFormat="false" ht="31.5" hidden="false" customHeight="true" outlineLevel="0" collapsed="false">
      <c r="A89" s="7"/>
      <c r="B89" s="7"/>
      <c r="C89" s="7" t="s">
        <v>139</v>
      </c>
    </row>
    <row r="90" customFormat="false" ht="31.5" hidden="false" customHeight="true" outlineLevel="0" collapsed="false">
      <c r="A90" s="7"/>
      <c r="B90" s="7"/>
      <c r="C90" s="7" t="s">
        <v>140</v>
      </c>
    </row>
    <row r="91" customFormat="false" ht="18" hidden="false" customHeight="true" outlineLevel="0" collapsed="false">
      <c r="A91" s="6" t="s">
        <v>141</v>
      </c>
      <c r="B91" s="6" t="s">
        <v>142</v>
      </c>
      <c r="C91" s="7" t="s">
        <v>143</v>
      </c>
    </row>
    <row r="92" customFormat="false" ht="31.5" hidden="false" customHeight="true" outlineLevel="0" collapsed="false">
      <c r="A92" s="7"/>
      <c r="B92" s="7"/>
      <c r="C92" s="7" t="s">
        <v>144</v>
      </c>
    </row>
    <row r="93" customFormat="false" ht="31.5" hidden="false" customHeight="true" outlineLevel="0" collapsed="false">
      <c r="A93" s="7"/>
      <c r="B93" s="7"/>
      <c r="C93" s="7" t="s">
        <v>145</v>
      </c>
    </row>
    <row r="94" customFormat="false" ht="31.5" hidden="false" customHeight="true" outlineLevel="0" collapsed="false">
      <c r="A94" s="7"/>
      <c r="B94" s="7"/>
      <c r="C94" s="7" t="s">
        <v>146</v>
      </c>
    </row>
    <row r="95" customFormat="false" ht="18" hidden="false" customHeight="true" outlineLevel="0" collapsed="false">
      <c r="A95" s="7"/>
      <c r="B95" s="7"/>
      <c r="C95" s="7" t="s">
        <v>147</v>
      </c>
    </row>
    <row r="96" customFormat="false" ht="45.75" hidden="false" customHeight="true" outlineLevel="0" collapsed="false">
      <c r="A96" s="6" t="s">
        <v>148</v>
      </c>
      <c r="B96" s="6" t="s">
        <v>149</v>
      </c>
      <c r="C96" s="7" t="s">
        <v>150</v>
      </c>
    </row>
    <row r="97" customFormat="false" ht="18" hidden="false" customHeight="true" outlineLevel="0" collapsed="false">
      <c r="A97" s="7"/>
      <c r="B97" s="7"/>
      <c r="C97" s="7" t="s">
        <v>151</v>
      </c>
    </row>
    <row r="98" customFormat="false" ht="31.5" hidden="false" customHeight="true" outlineLevel="0" collapsed="false">
      <c r="A98" s="6" t="s">
        <v>152</v>
      </c>
      <c r="B98" s="6" t="s">
        <v>153</v>
      </c>
      <c r="C98" s="7" t="s">
        <v>154</v>
      </c>
    </row>
    <row r="99" customFormat="false" ht="31.5" hidden="false" customHeight="true" outlineLevel="0" collapsed="false">
      <c r="A99" s="6" t="s">
        <v>155</v>
      </c>
      <c r="B99" s="6" t="s">
        <v>156</v>
      </c>
      <c r="C99" s="7" t="s">
        <v>157</v>
      </c>
    </row>
    <row r="100" customFormat="false" ht="31.5" hidden="false" customHeight="true" outlineLevel="0" collapsed="false">
      <c r="A100" s="7"/>
      <c r="B100" s="7"/>
      <c r="C100" s="7" t="s">
        <v>158</v>
      </c>
    </row>
    <row r="101" customFormat="false" ht="18" hidden="false" customHeight="true" outlineLevel="0" collapsed="false">
      <c r="A101" s="7"/>
      <c r="B101" s="7"/>
      <c r="C101" s="7" t="s">
        <v>159</v>
      </c>
    </row>
    <row r="102" customFormat="false" ht="31.5" hidden="false" customHeight="true" outlineLevel="0" collapsed="false">
      <c r="A102" s="6" t="s">
        <v>160</v>
      </c>
      <c r="B102" s="6" t="s">
        <v>161</v>
      </c>
      <c r="C102" s="7" t="s">
        <v>162</v>
      </c>
    </row>
    <row r="103" customFormat="false" ht="60" hidden="false" customHeight="true" outlineLevel="0" collapsed="false">
      <c r="A103" s="7"/>
      <c r="B103" s="7"/>
      <c r="C103" s="7" t="s">
        <v>163</v>
      </c>
    </row>
    <row r="104" customFormat="false" ht="31.5" hidden="false" customHeight="true" outlineLevel="0" collapsed="false">
      <c r="A104" s="7"/>
      <c r="B104" s="7"/>
      <c r="C104" s="7" t="s">
        <v>164</v>
      </c>
    </row>
    <row r="105" customFormat="false" ht="31.5" hidden="false" customHeight="true" outlineLevel="0" collapsed="false">
      <c r="A105" s="7"/>
      <c r="B105" s="7"/>
      <c r="C105" s="7" t="s">
        <v>165</v>
      </c>
    </row>
    <row r="106" customFormat="false" ht="31.5" hidden="false" customHeight="true" outlineLevel="0" collapsed="false">
      <c r="A106" s="6" t="s">
        <v>166</v>
      </c>
      <c r="B106" s="6" t="s">
        <v>167</v>
      </c>
      <c r="C106" s="7" t="s">
        <v>168</v>
      </c>
    </row>
    <row r="107" customFormat="false" ht="31.5" hidden="false" customHeight="true" outlineLevel="0" collapsed="false">
      <c r="A107" s="7"/>
      <c r="B107" s="7"/>
      <c r="C107" s="7" t="s">
        <v>169</v>
      </c>
    </row>
    <row r="108" customFormat="false" ht="31.5" hidden="false" customHeight="true" outlineLevel="0" collapsed="false">
      <c r="A108" s="7"/>
      <c r="B108" s="7"/>
      <c r="C108" s="7" t="s">
        <v>170</v>
      </c>
    </row>
    <row r="109" customFormat="false" ht="31.5" hidden="false" customHeight="true" outlineLevel="0" collapsed="false">
      <c r="A109" s="7"/>
      <c r="B109" s="7"/>
      <c r="C109" s="7" t="s">
        <v>171</v>
      </c>
    </row>
    <row r="110" customFormat="false" ht="18" hidden="false" customHeight="true" outlineLevel="0" collapsed="false">
      <c r="A110" s="7"/>
      <c r="B110" s="7"/>
      <c r="C110" s="7" t="s">
        <v>172</v>
      </c>
    </row>
    <row r="111" customFormat="false" ht="31.5" hidden="false" customHeight="true" outlineLevel="0" collapsed="false">
      <c r="A111" s="6" t="s">
        <v>173</v>
      </c>
      <c r="B111" s="6" t="s">
        <v>174</v>
      </c>
      <c r="C111" s="7" t="s">
        <v>175</v>
      </c>
    </row>
    <row r="112" customFormat="false" ht="18" hidden="false" customHeight="true" outlineLevel="0" collapsed="false">
      <c r="A112" s="7"/>
      <c r="B112" s="7"/>
      <c r="C112" s="7" t="s">
        <v>176</v>
      </c>
    </row>
    <row r="113" customFormat="false" ht="31.5" hidden="false" customHeight="true" outlineLevel="0" collapsed="false">
      <c r="A113" s="6" t="s">
        <v>177</v>
      </c>
      <c r="B113" s="6" t="s">
        <v>178</v>
      </c>
      <c r="C113" s="7" t="s">
        <v>179</v>
      </c>
    </row>
    <row r="114" customFormat="false" ht="31.5" hidden="false" customHeight="true" outlineLevel="0" collapsed="false">
      <c r="A114" s="7"/>
      <c r="B114" s="7"/>
      <c r="C114" s="7" t="s">
        <v>180</v>
      </c>
    </row>
    <row r="115" customFormat="false" ht="45.75" hidden="false" customHeight="true" outlineLevel="0" collapsed="false">
      <c r="A115" s="6" t="s">
        <v>181</v>
      </c>
      <c r="B115" s="6" t="s">
        <v>182</v>
      </c>
      <c r="C115" s="7" t="s">
        <v>183</v>
      </c>
    </row>
    <row r="116" customFormat="false" ht="18" hidden="false" customHeight="true" outlineLevel="0" collapsed="false">
      <c r="A116" s="7"/>
      <c r="B116" s="7"/>
      <c r="C116" s="7" t="s">
        <v>184</v>
      </c>
    </row>
    <row r="117" customFormat="false" ht="18" hidden="false" customHeight="true" outlineLevel="0" collapsed="false">
      <c r="A117" s="6" t="s">
        <v>185</v>
      </c>
      <c r="B117" s="6" t="s">
        <v>186</v>
      </c>
      <c r="C117" s="7" t="s">
        <v>187</v>
      </c>
    </row>
    <row r="118" customFormat="false" ht="31.5" hidden="false" customHeight="true" outlineLevel="0" collapsed="false">
      <c r="A118" s="7"/>
      <c r="B118" s="7"/>
      <c r="C118" s="7"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N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4"/>
    <col collapsed="false" customWidth="true" hidden="false" outlineLevel="0" max="3" min="3" style="1" width="22"/>
    <col collapsed="false" customWidth="true" hidden="false" outlineLevel="0" max="4" min="4" style="1" width="70"/>
    <col collapsed="false" customWidth="true" hidden="false" outlineLevel="0" max="6" min="5" style="1" width="10"/>
    <col collapsed="false" customWidth="true" hidden="false" outlineLevel="0" max="7" min="7" style="1" width="8"/>
    <col collapsed="false" customWidth="true" hidden="false" outlineLevel="0" max="9" min="8" style="1" width="12"/>
    <col collapsed="false" customWidth="true" hidden="false" outlineLevel="0" max="10" min="10" style="1" width="14"/>
    <col collapsed="false" customWidth="true" hidden="false" outlineLevel="0" max="12" min="11" style="1" width="8"/>
    <col collapsed="false" customWidth="true" hidden="false" outlineLevel="0" max="13" min="13" style="1" width="16"/>
    <col collapsed="false" customWidth="true" hidden="false" outlineLevel="0" max="14" min="14" style="1" width="40"/>
  </cols>
  <sheetData>
    <row r="1" customFormat="false" ht="27.75" hidden="false" customHeight="true" outlineLevel="0" collapsed="false">
      <c r="A1" s="2" t="s">
        <v>189</v>
      </c>
      <c r="B1" s="3"/>
      <c r="C1" s="3"/>
      <c r="D1" s="3"/>
      <c r="E1" s="3"/>
      <c r="F1" s="3"/>
      <c r="G1" s="3"/>
      <c r="H1" s="3"/>
      <c r="I1" s="3"/>
      <c r="J1" s="3"/>
      <c r="K1" s="3"/>
      <c r="L1" s="3"/>
      <c r="M1" s="3"/>
      <c r="N1" s="3"/>
    </row>
    <row r="2" customFormat="false" ht="15" hidden="false" customHeight="true" outlineLevel="0" collapsed="false">
      <c r="A2" s="4" t="s">
        <v>190</v>
      </c>
    </row>
    <row r="3" customFormat="false" ht="15" hidden="false" customHeight="true" outlineLevel="0" collapsed="false">
      <c r="A3" s="4" t="s">
        <v>191</v>
      </c>
    </row>
    <row r="5" customFormat="false" ht="15" hidden="false" customHeight="true" outlineLevel="0" collapsed="false">
      <c r="B5" s="8" t="s">
        <v>192</v>
      </c>
      <c r="C5" s="9"/>
      <c r="D5" s="9"/>
    </row>
    <row r="6" customFormat="false" ht="113.25" hidden="false" customHeight="true" outlineLevel="0" collapsed="false">
      <c r="B6" s="10" t="s">
        <v>193</v>
      </c>
      <c r="C6" s="11" t="s">
        <v>194</v>
      </c>
      <c r="D6" s="12" t="s">
        <v>195</v>
      </c>
    </row>
    <row r="7" customFormat="false" ht="15" hidden="false" customHeight="true" outlineLevel="0" collapsed="false">
      <c r="B7" s="10" t="s">
        <v>196</v>
      </c>
      <c r="C7" s="11" t="s">
        <v>197</v>
      </c>
      <c r="D7" s="12" t="s">
        <v>198</v>
      </c>
    </row>
    <row r="8" customFormat="false" ht="21.75" hidden="false" customHeight="true" outlineLevel="0" collapsed="false">
      <c r="B8" s="10" t="s">
        <v>199</v>
      </c>
      <c r="C8" s="13" t="n">
        <v>2</v>
      </c>
      <c r="D8" s="12" t="s">
        <v>200</v>
      </c>
    </row>
    <row r="9" customFormat="false" ht="21.75" hidden="false" customHeight="true" outlineLevel="0" collapsed="false">
      <c r="B9" s="10" t="s">
        <v>201</v>
      </c>
      <c r="C9" s="11" t="s">
        <v>202</v>
      </c>
      <c r="D9" s="12" t="s">
        <v>203</v>
      </c>
    </row>
    <row r="10" customFormat="false" ht="21.75" hidden="false" customHeight="true" outlineLevel="0" collapsed="false">
      <c r="B10" s="10" t="s">
        <v>204</v>
      </c>
      <c r="C10" s="13" t="n">
        <v>10</v>
      </c>
      <c r="D10" s="12" t="s">
        <v>205</v>
      </c>
    </row>
    <row r="11" customFormat="false" ht="15" hidden="false" customHeight="true" outlineLevel="0" collapsed="false">
      <c r="B11" s="10" t="s">
        <v>206</v>
      </c>
      <c r="C11" s="14" t="n">
        <v>15</v>
      </c>
      <c r="D11" s="12" t="s">
        <v>207</v>
      </c>
    </row>
    <row r="12" customFormat="false" ht="15" hidden="false" customHeight="true" outlineLevel="0" collapsed="false">
      <c r="B12" s="10" t="s">
        <v>208</v>
      </c>
      <c r="C12" s="14" t="n">
        <v>50</v>
      </c>
      <c r="D12" s="12" t="s">
        <v>209</v>
      </c>
    </row>
    <row r="13" customFormat="false" ht="15" hidden="false" customHeight="true" outlineLevel="0" collapsed="false">
      <c r="B13" s="10" t="s">
        <v>210</v>
      </c>
      <c r="C13" s="14" t="n">
        <v>18</v>
      </c>
      <c r="D13" s="12" t="s">
        <v>211</v>
      </c>
    </row>
    <row r="14" customFormat="false" ht="21.75" hidden="false" customHeight="true" outlineLevel="0" collapsed="false">
      <c r="B14" s="10" t="s">
        <v>212</v>
      </c>
      <c r="C14" s="15" t="n">
        <v>1.5</v>
      </c>
      <c r="D14" s="12" t="s">
        <v>213</v>
      </c>
    </row>
    <row r="15" customFormat="false" ht="15" hidden="false" customHeight="true" outlineLevel="0" collapsed="false">
      <c r="B15" s="10" t="s">
        <v>214</v>
      </c>
      <c r="C15" s="15" t="n">
        <v>0.5</v>
      </c>
      <c r="D15" s="12" t="s">
        <v>215</v>
      </c>
    </row>
    <row r="16" customFormat="false" ht="23.25" hidden="false" customHeight="true" outlineLevel="0" collapsed="false">
      <c r="B16" s="10" t="s">
        <v>216</v>
      </c>
      <c r="C16" s="11" t="s">
        <v>217</v>
      </c>
      <c r="D16" s="12" t="s">
        <v>218</v>
      </c>
    </row>
    <row r="17" customFormat="false" ht="21.75" hidden="false" customHeight="true" outlineLevel="0" collapsed="false">
      <c r="B17" s="10" t="s">
        <v>219</v>
      </c>
      <c r="C17" s="16" t="n">
        <v>0.025</v>
      </c>
      <c r="D17" s="12" t="s">
        <v>220</v>
      </c>
    </row>
    <row r="18" customFormat="false" ht="23.25" hidden="false" customHeight="true" outlineLevel="0" collapsed="false">
      <c r="B18" s="10" t="s">
        <v>221</v>
      </c>
      <c r="C18" s="14" t="n">
        <v>5</v>
      </c>
      <c r="D18" s="12" t="s">
        <v>222</v>
      </c>
    </row>
    <row r="19" customFormat="false" ht="15" hidden="false" customHeight="true" outlineLevel="0" collapsed="false">
      <c r="B19" s="10" t="s">
        <v>223</v>
      </c>
      <c r="C19" s="14" t="n">
        <v>3</v>
      </c>
      <c r="D19" s="12" t="s">
        <v>224</v>
      </c>
    </row>
    <row r="20" customFormat="false" ht="15" hidden="false" customHeight="true" outlineLevel="0" collapsed="false">
      <c r="B20" s="10" t="s">
        <v>225</v>
      </c>
      <c r="C20" s="14" t="n">
        <v>8</v>
      </c>
      <c r="D20" s="12" t="s">
        <v>226</v>
      </c>
    </row>
    <row r="21" customFormat="false" ht="15" hidden="false" customHeight="true" outlineLevel="0" collapsed="false">
      <c r="B21" s="10" t="s">
        <v>227</v>
      </c>
      <c r="C21" s="14" t="n">
        <v>12</v>
      </c>
      <c r="D21" s="12"/>
    </row>
    <row r="22" customFormat="false" ht="15" hidden="false" customHeight="true" outlineLevel="0" collapsed="false">
      <c r="B22" s="10" t="s">
        <v>228</v>
      </c>
      <c r="C22" s="14" t="n">
        <v>1</v>
      </c>
      <c r="D22" s="12" t="s">
        <v>229</v>
      </c>
    </row>
    <row r="23" customFormat="false" ht="21.75" hidden="false" customHeight="true" outlineLevel="0" collapsed="false">
      <c r="B23" s="10" t="s">
        <v>230</v>
      </c>
      <c r="C23" s="16" t="n">
        <v>0.15</v>
      </c>
      <c r="D23" s="12" t="s">
        <v>231</v>
      </c>
    </row>
    <row r="24" customFormat="false" ht="15" hidden="false" customHeight="true" outlineLevel="0" collapsed="false">
      <c r="B24" s="10" t="s">
        <v>232</v>
      </c>
      <c r="C24" s="16" t="n">
        <v>0.025</v>
      </c>
      <c r="D24" s="12" t="s">
        <v>233</v>
      </c>
    </row>
    <row r="25" customFormat="false" ht="15" hidden="false" customHeight="true" outlineLevel="0" collapsed="false">
      <c r="B25" s="10" t="s">
        <v>234</v>
      </c>
      <c r="C25" s="16" t="n">
        <v>0</v>
      </c>
      <c r="D25" s="12" t="s">
        <v>235</v>
      </c>
    </row>
    <row r="26" customFormat="false" ht="15" hidden="false" customHeight="true" outlineLevel="0" collapsed="false">
      <c r="B26" s="10" t="s">
        <v>236</v>
      </c>
      <c r="C26" s="16" t="n">
        <v>0.4</v>
      </c>
      <c r="D26" s="12" t="s">
        <v>237</v>
      </c>
    </row>
    <row r="27" customFormat="false" ht="15" hidden="false" customHeight="true" outlineLevel="0" collapsed="false">
      <c r="B27" s="10" t="s">
        <v>238</v>
      </c>
      <c r="C27" s="14" t="n">
        <v>4</v>
      </c>
      <c r="D27" s="12" t="s">
        <v>239</v>
      </c>
    </row>
    <row r="28" customFormat="false" ht="21.75" hidden="false" customHeight="true" outlineLevel="0" collapsed="false">
      <c r="B28" s="10" t="s">
        <v>240</v>
      </c>
      <c r="C28" s="16" t="n">
        <v>0.025</v>
      </c>
      <c r="D28" s="12" t="s">
        <v>241</v>
      </c>
    </row>
    <row r="29" customFormat="false" ht="21.75" hidden="false" customHeight="true" outlineLevel="0" collapsed="false">
      <c r="B29" s="10" t="s">
        <v>242</v>
      </c>
      <c r="C29" s="11" t="s">
        <v>243</v>
      </c>
      <c r="D29" s="12" t="s">
        <v>244</v>
      </c>
    </row>
    <row r="30" customFormat="false" ht="21.75" hidden="false" customHeight="true" outlineLevel="0" collapsed="false">
      <c r="B30" s="10" t="s">
        <v>245</v>
      </c>
      <c r="C30" s="13" t="n">
        <v>60</v>
      </c>
      <c r="D30" s="12" t="s">
        <v>246</v>
      </c>
    </row>
    <row r="31" customFormat="false" ht="15" hidden="false" customHeight="true" outlineLevel="0" collapsed="false">
      <c r="B31" s="10" t="s">
        <v>247</v>
      </c>
      <c r="C31" s="17" t="n">
        <v>0.5</v>
      </c>
      <c r="D31" s="12" t="s">
        <v>248</v>
      </c>
    </row>
    <row r="32" customFormat="false" ht="15" hidden="false" customHeight="true" outlineLevel="0" collapsed="false">
      <c r="B32" s="10" t="s">
        <v>249</v>
      </c>
      <c r="C32" s="14" t="n">
        <v>8</v>
      </c>
      <c r="D32" s="12"/>
    </row>
    <row r="33" customFormat="false" ht="15" hidden="false" customHeight="true" outlineLevel="0" collapsed="false">
      <c r="B33" s="10" t="s">
        <v>250</v>
      </c>
      <c r="C33" s="17" t="n">
        <v>0.75</v>
      </c>
      <c r="D33" s="12" t="s">
        <v>251</v>
      </c>
    </row>
    <row r="34" customFormat="false" ht="15" hidden="false" customHeight="true" outlineLevel="0" collapsed="false">
      <c r="B34" s="10" t="s">
        <v>252</v>
      </c>
      <c r="C34" s="14" t="n">
        <v>5</v>
      </c>
      <c r="D34" s="12"/>
    </row>
    <row r="35" customFormat="false" ht="23.25" hidden="false" customHeight="true" outlineLevel="0" collapsed="false">
      <c r="B35" s="10" t="s">
        <v>253</v>
      </c>
      <c r="C35" s="17" t="n">
        <v>0.9</v>
      </c>
      <c r="D35" s="12" t="s">
        <v>254</v>
      </c>
    </row>
    <row r="36" customFormat="false" ht="23.25" hidden="false" customHeight="true" outlineLevel="0" collapsed="false">
      <c r="B36" s="10" t="s">
        <v>255</v>
      </c>
      <c r="C36" s="17" t="n">
        <v>0.65</v>
      </c>
      <c r="D36" s="12" t="s">
        <v>254</v>
      </c>
    </row>
    <row r="37" customFormat="false" ht="79.5" hidden="false" customHeight="true" outlineLevel="0" collapsed="false">
      <c r="B37" s="10" t="s">
        <v>256</v>
      </c>
      <c r="C37" s="11" t="s">
        <v>257</v>
      </c>
      <c r="D37" s="12"/>
    </row>
    <row r="38" customFormat="false" ht="102" hidden="false" customHeight="true" outlineLevel="0" collapsed="false">
      <c r="B38" s="10" t="s">
        <v>258</v>
      </c>
      <c r="C38" s="11" t="s">
        <v>259</v>
      </c>
      <c r="D38" s="12"/>
    </row>
    <row r="40" customFormat="false" ht="15" hidden="false" customHeight="true" outlineLevel="0" collapsed="false">
      <c r="B40" s="8" t="s">
        <v>260</v>
      </c>
      <c r="C40" s="9"/>
      <c r="D40" s="9"/>
      <c r="E40" s="9"/>
      <c r="F40" s="9"/>
      <c r="G40" s="9"/>
      <c r="H40" s="9"/>
      <c r="I40" s="9"/>
      <c r="J40" s="9"/>
      <c r="K40" s="9"/>
      <c r="L40" s="9"/>
      <c r="M40" s="9"/>
      <c r="N40" s="9"/>
    </row>
    <row r="41" customFormat="false" ht="30" hidden="false" customHeight="true" outlineLevel="0" collapsed="false">
      <c r="B41" s="5" t="s">
        <v>261</v>
      </c>
      <c r="C41" s="5" t="s">
        <v>262</v>
      </c>
      <c r="D41" s="5" t="s">
        <v>263</v>
      </c>
      <c r="E41" s="5" t="s">
        <v>264</v>
      </c>
      <c r="F41" s="5" t="s">
        <v>265</v>
      </c>
      <c r="G41" s="5" t="s">
        <v>266</v>
      </c>
      <c r="H41" s="5" t="s">
        <v>267</v>
      </c>
      <c r="I41" s="5" t="s">
        <v>268</v>
      </c>
      <c r="J41" s="5" t="s">
        <v>269</v>
      </c>
      <c r="K41" s="5" t="s">
        <v>270</v>
      </c>
      <c r="L41" s="5" t="s">
        <v>271</v>
      </c>
      <c r="M41" s="5" t="s">
        <v>272</v>
      </c>
      <c r="N41" s="5" t="s">
        <v>273</v>
      </c>
    </row>
    <row r="42" customFormat="false" ht="34.5" hidden="false" customHeight="true" outlineLevel="0" collapsed="false">
      <c r="B42" s="11" t="s">
        <v>274</v>
      </c>
      <c r="C42" s="11" t="s">
        <v>275</v>
      </c>
      <c r="D42" s="11" t="s">
        <v>276</v>
      </c>
      <c r="E42" s="11" t="n">
        <v>15</v>
      </c>
      <c r="F42" s="11" t="n">
        <v>50</v>
      </c>
      <c r="G42" s="11" t="s">
        <v>277</v>
      </c>
      <c r="H42" s="11" t="n">
        <v>2</v>
      </c>
      <c r="I42" s="11" t="s">
        <v>278</v>
      </c>
      <c r="J42" s="11" t="s">
        <v>279</v>
      </c>
      <c r="K42" s="11" t="n">
        <v>1</v>
      </c>
      <c r="L42" s="11" t="n">
        <v>4</v>
      </c>
      <c r="M42" s="11" t="s">
        <v>280</v>
      </c>
      <c r="N42" s="11" t="s">
        <v>281</v>
      </c>
    </row>
    <row r="43" customFormat="false" ht="34.5" hidden="false" customHeight="true" outlineLevel="0" collapsed="false">
      <c r="B43" s="11" t="s">
        <v>282</v>
      </c>
      <c r="C43" s="11" t="s">
        <v>275</v>
      </c>
      <c r="D43" s="11" t="s">
        <v>276</v>
      </c>
      <c r="E43" s="11" t="n">
        <v>15</v>
      </c>
      <c r="F43" s="11" t="n">
        <v>50</v>
      </c>
      <c r="G43" s="11" t="s">
        <v>277</v>
      </c>
      <c r="H43" s="11" t="n">
        <v>2</v>
      </c>
      <c r="I43" s="11" t="s">
        <v>278</v>
      </c>
      <c r="J43" s="11" t="s">
        <v>279</v>
      </c>
      <c r="K43" s="11" t="n">
        <v>1</v>
      </c>
      <c r="L43" s="11" t="n">
        <v>4</v>
      </c>
      <c r="M43" s="11" t="s">
        <v>280</v>
      </c>
      <c r="N43" s="11" t="s">
        <v>281</v>
      </c>
    </row>
    <row r="44" customFormat="false" ht="34.5" hidden="false" customHeight="true" outlineLevel="0" collapsed="false">
      <c r="B44" s="11" t="s">
        <v>283</v>
      </c>
      <c r="C44" s="11" t="s">
        <v>275</v>
      </c>
      <c r="D44" s="11" t="s">
        <v>284</v>
      </c>
      <c r="E44" s="11" t="n">
        <v>15</v>
      </c>
      <c r="F44" s="11" t="n">
        <v>50</v>
      </c>
      <c r="G44" s="11" t="s">
        <v>277</v>
      </c>
      <c r="H44" s="11" t="n">
        <v>2</v>
      </c>
      <c r="I44" s="11" t="s">
        <v>278</v>
      </c>
      <c r="J44" s="11" t="s">
        <v>279</v>
      </c>
      <c r="K44" s="11" t="n">
        <v>2</v>
      </c>
      <c r="L44" s="11" t="n">
        <v>5</v>
      </c>
      <c r="M44" s="11" t="s">
        <v>280</v>
      </c>
      <c r="N44" s="11" t="s">
        <v>285</v>
      </c>
    </row>
    <row r="45" customFormat="false" ht="15" hidden="false" customHeight="true" outlineLevel="0" collapsed="false">
      <c r="B45" s="11" t="s">
        <v>286</v>
      </c>
      <c r="C45" s="11" t="s">
        <v>287</v>
      </c>
      <c r="D45" s="11" t="s">
        <v>276</v>
      </c>
      <c r="E45" s="11" t="n">
        <v>3</v>
      </c>
      <c r="F45" s="11" t="n">
        <v>8</v>
      </c>
      <c r="G45" s="11" t="n">
        <v>3</v>
      </c>
      <c r="H45" s="11" t="n">
        <v>2</v>
      </c>
      <c r="I45" s="11" t="s">
        <v>288</v>
      </c>
      <c r="J45" s="11" t="s">
        <v>289</v>
      </c>
      <c r="K45" s="11" t="n">
        <v>2</v>
      </c>
      <c r="L45" s="11" t="n">
        <v>5</v>
      </c>
      <c r="M45" s="11" t="s">
        <v>290</v>
      </c>
      <c r="N45" s="11" t="s">
        <v>291</v>
      </c>
    </row>
    <row r="46" customFormat="false" ht="15" hidden="false" customHeight="true" outlineLevel="0" collapsed="false">
      <c r="B46" s="11" t="s">
        <v>292</v>
      </c>
      <c r="C46" s="11" t="s">
        <v>287</v>
      </c>
      <c r="D46" s="11" t="s">
        <v>293</v>
      </c>
      <c r="E46" s="11" t="n">
        <v>6</v>
      </c>
      <c r="F46" s="11" t="n">
        <v>10</v>
      </c>
      <c r="G46" s="11" t="n">
        <v>3</v>
      </c>
      <c r="H46" s="11" t="n">
        <v>2</v>
      </c>
      <c r="I46" s="11" t="s">
        <v>5</v>
      </c>
      <c r="J46" s="11" t="s">
        <v>294</v>
      </c>
      <c r="K46" s="11" t="n">
        <v>1</v>
      </c>
      <c r="L46" s="11" t="n">
        <v>4</v>
      </c>
      <c r="M46" s="11" t="s">
        <v>295</v>
      </c>
      <c r="N46" s="11"/>
    </row>
    <row r="47" customFormat="false" ht="15" hidden="false" customHeight="true" outlineLevel="0" collapsed="false">
      <c r="B47" s="11" t="s">
        <v>296</v>
      </c>
      <c r="C47" s="11" t="s">
        <v>287</v>
      </c>
      <c r="D47" s="11" t="s">
        <v>284</v>
      </c>
      <c r="E47" s="11" t="n">
        <v>3</v>
      </c>
      <c r="F47" s="11" t="n">
        <v>8</v>
      </c>
      <c r="G47" s="11" t="n">
        <v>3</v>
      </c>
      <c r="H47" s="11" t="n">
        <v>2</v>
      </c>
      <c r="I47" s="11" t="s">
        <v>5</v>
      </c>
      <c r="J47" s="11" t="s">
        <v>289</v>
      </c>
      <c r="K47" s="11" t="n">
        <v>1</v>
      </c>
      <c r="L47" s="11" t="n">
        <v>4</v>
      </c>
      <c r="M47" s="11" t="s">
        <v>295</v>
      </c>
      <c r="N47" s="11" t="s">
        <v>285</v>
      </c>
    </row>
    <row r="48" customFormat="false" ht="15" hidden="false" customHeight="true" outlineLevel="0" collapsed="false">
      <c r="B48" s="11" t="s">
        <v>297</v>
      </c>
      <c r="C48" s="11" t="s">
        <v>287</v>
      </c>
      <c r="D48" s="11" t="s">
        <v>293</v>
      </c>
      <c r="E48" s="11" t="n">
        <v>10</v>
      </c>
      <c r="F48" s="11" t="n">
        <v>20</v>
      </c>
      <c r="G48" s="11" t="n">
        <v>3</v>
      </c>
      <c r="H48" s="11" t="n">
        <v>2</v>
      </c>
      <c r="I48" s="11" t="s">
        <v>5</v>
      </c>
      <c r="J48" s="11" t="s">
        <v>298</v>
      </c>
      <c r="K48" s="11" t="n">
        <v>1</v>
      </c>
      <c r="L48" s="11"/>
      <c r="M48" s="11" t="s">
        <v>299</v>
      </c>
      <c r="N48" s="11" t="s">
        <v>300</v>
      </c>
    </row>
    <row r="49" customFormat="false" ht="15" hidden="false" customHeight="true" outlineLevel="0" collapsed="false">
      <c r="B49" s="11" t="s">
        <v>301</v>
      </c>
      <c r="C49" s="11" t="s">
        <v>287</v>
      </c>
      <c r="D49" s="11" t="s">
        <v>302</v>
      </c>
      <c r="E49" s="11" t="n">
        <v>8</v>
      </c>
      <c r="F49" s="11" t="n">
        <v>15</v>
      </c>
      <c r="G49" s="11" t="n">
        <v>3</v>
      </c>
      <c r="H49" s="11" t="n">
        <v>2</v>
      </c>
      <c r="I49" s="11" t="s">
        <v>5</v>
      </c>
      <c r="J49" s="11" t="s">
        <v>303</v>
      </c>
      <c r="K49" s="11" t="n">
        <v>4</v>
      </c>
      <c r="L49" s="11"/>
      <c r="M49" s="11" t="s">
        <v>299</v>
      </c>
      <c r="N49" s="11" t="s">
        <v>304</v>
      </c>
    </row>
    <row r="50" customFormat="false" ht="23.25" hidden="false" customHeight="true" outlineLevel="0" collapsed="false">
      <c r="B50" s="11" t="s">
        <v>243</v>
      </c>
      <c r="C50" s="11" t="s">
        <v>287</v>
      </c>
      <c r="D50" s="11" t="s">
        <v>284</v>
      </c>
      <c r="E50" s="11" t="n">
        <v>8</v>
      </c>
      <c r="F50" s="11" t="n">
        <v>15</v>
      </c>
      <c r="G50" s="11" t="n">
        <v>3</v>
      </c>
      <c r="H50" s="11" t="n">
        <v>2</v>
      </c>
      <c r="I50" s="11" t="s">
        <v>5</v>
      </c>
      <c r="J50" s="11" t="s">
        <v>303</v>
      </c>
      <c r="K50" s="11" t="n">
        <v>2</v>
      </c>
      <c r="L50" s="11" t="n">
        <v>5</v>
      </c>
      <c r="M50" s="11" t="s">
        <v>295</v>
      </c>
      <c r="N50" s="11" t="s">
        <v>305</v>
      </c>
    </row>
    <row r="51" customFormat="false" ht="15" hidden="false" customHeight="true" outlineLevel="0" collapsed="false">
      <c r="B51" s="11" t="s">
        <v>306</v>
      </c>
      <c r="C51" s="11" t="s">
        <v>287</v>
      </c>
      <c r="D51" s="11" t="s">
        <v>293</v>
      </c>
      <c r="E51" s="11" t="n">
        <v>8</v>
      </c>
      <c r="F51" s="11" t="n">
        <v>15</v>
      </c>
      <c r="G51" s="11" t="n">
        <v>3</v>
      </c>
      <c r="H51" s="11" t="n">
        <v>2</v>
      </c>
      <c r="I51" s="11" t="s">
        <v>5</v>
      </c>
      <c r="J51" s="11" t="s">
        <v>303</v>
      </c>
      <c r="K51" s="11" t="n">
        <v>2</v>
      </c>
      <c r="L51" s="11" t="n">
        <v>5</v>
      </c>
      <c r="M51" s="11" t="s">
        <v>295</v>
      </c>
      <c r="N51" s="11" t="s">
        <v>307</v>
      </c>
    </row>
    <row r="52" customFormat="false" ht="15" hidden="false" customHeight="true" outlineLevel="0" collapsed="false">
      <c r="B52" s="11" t="s">
        <v>308</v>
      </c>
      <c r="C52" s="11" t="s">
        <v>287</v>
      </c>
      <c r="D52" s="11" t="s">
        <v>293</v>
      </c>
      <c r="E52" s="11" t="n">
        <v>3</v>
      </c>
      <c r="F52" s="11" t="n">
        <v>8</v>
      </c>
      <c r="G52" s="11" t="n">
        <v>3</v>
      </c>
      <c r="H52" s="11" t="n">
        <v>2</v>
      </c>
      <c r="I52" s="11" t="s">
        <v>5</v>
      </c>
      <c r="J52" s="11" t="s">
        <v>289</v>
      </c>
      <c r="K52" s="11" t="n">
        <v>2</v>
      </c>
      <c r="L52" s="11" t="n">
        <v>5</v>
      </c>
      <c r="M52" s="11" t="s">
        <v>295</v>
      </c>
      <c r="N52" s="11" t="s">
        <v>291</v>
      </c>
    </row>
    <row r="53" customFormat="false" ht="23.25" hidden="false" customHeight="true" outlineLevel="0" collapsed="false">
      <c r="B53" s="11" t="s">
        <v>309</v>
      </c>
      <c r="C53" s="11" t="s">
        <v>310</v>
      </c>
      <c r="D53" s="11" t="s">
        <v>311</v>
      </c>
      <c r="E53" s="11" t="n">
        <v>3</v>
      </c>
      <c r="F53" s="11" t="n">
        <v>3</v>
      </c>
      <c r="G53" s="11" t="n">
        <v>4</v>
      </c>
      <c r="H53" s="11" t="n">
        <v>0</v>
      </c>
      <c r="I53" s="11" t="s">
        <v>312</v>
      </c>
      <c r="J53" s="11" t="s">
        <v>279</v>
      </c>
      <c r="K53" s="11" t="n">
        <v>3</v>
      </c>
      <c r="L53" s="11"/>
      <c r="M53" s="11" t="s">
        <v>313</v>
      </c>
      <c r="N53" s="11" t="s">
        <v>314</v>
      </c>
    </row>
    <row r="54" customFormat="false" ht="15" hidden="false" customHeight="true" outlineLevel="0" collapsed="false">
      <c r="B54" s="11" t="s">
        <v>315</v>
      </c>
      <c r="C54" s="11" t="s">
        <v>310</v>
      </c>
      <c r="D54" s="11" t="s">
        <v>276</v>
      </c>
      <c r="E54" s="11" t="n">
        <v>3</v>
      </c>
      <c r="F54" s="11" t="n">
        <v>3</v>
      </c>
      <c r="G54" s="11" t="n">
        <v>5</v>
      </c>
      <c r="H54" s="11" t="n">
        <v>2</v>
      </c>
      <c r="I54" s="11" t="s">
        <v>316</v>
      </c>
      <c r="J54" s="11" t="s">
        <v>279</v>
      </c>
      <c r="K54" s="11" t="n">
        <v>3</v>
      </c>
      <c r="L54" s="11"/>
      <c r="M54" s="11" t="s">
        <v>313</v>
      </c>
      <c r="N54" s="11" t="s">
        <v>317</v>
      </c>
    </row>
    <row r="55" customFormat="false" ht="15" hidden="false" customHeight="true" outlineLevel="0" collapsed="false">
      <c r="B55" s="11" t="s">
        <v>318</v>
      </c>
      <c r="C55" s="11" t="s">
        <v>310</v>
      </c>
      <c r="D55" s="11" t="s">
        <v>276</v>
      </c>
      <c r="E55" s="11" t="n">
        <v>2</v>
      </c>
      <c r="F55" s="11" t="n">
        <v>2</v>
      </c>
      <c r="G55" s="11" t="n">
        <v>5</v>
      </c>
      <c r="H55" s="11" t="n">
        <v>2</v>
      </c>
      <c r="I55" s="11" t="s">
        <v>319</v>
      </c>
      <c r="J55" s="11" t="s">
        <v>279</v>
      </c>
      <c r="K55" s="11" t="n">
        <v>3</v>
      </c>
      <c r="L55" s="11"/>
      <c r="M55" s="11" t="s">
        <v>320</v>
      </c>
      <c r="N55" s="11" t="s">
        <v>317</v>
      </c>
    </row>
    <row r="56" customFormat="false" ht="15" hidden="false" customHeight="true" outlineLevel="0" collapsed="false">
      <c r="B56" s="11" t="s">
        <v>321</v>
      </c>
      <c r="C56" s="11" t="s">
        <v>321</v>
      </c>
      <c r="D56" s="11" t="s">
        <v>279</v>
      </c>
      <c r="E56" s="11"/>
      <c r="F56" s="11"/>
      <c r="G56" s="11"/>
      <c r="H56" s="11" t="n">
        <v>0</v>
      </c>
      <c r="I56" s="11" t="s">
        <v>279</v>
      </c>
      <c r="J56" s="11" t="s">
        <v>279</v>
      </c>
      <c r="K56" s="11" t="n">
        <v>3</v>
      </c>
      <c r="L56" s="11"/>
      <c r="M56" s="11" t="s">
        <v>279</v>
      </c>
      <c r="N56" s="11" t="s">
        <v>322</v>
      </c>
    </row>
    <row r="58" customFormat="false" ht="15" hidden="false" customHeight="true" outlineLevel="0" collapsed="false">
      <c r="B58" s="8" t="s">
        <v>323</v>
      </c>
      <c r="C58" s="9"/>
      <c r="D58" s="9"/>
    </row>
    <row r="59" customFormat="false" ht="27.75" hidden="false" customHeight="true" outlineLevel="0" collapsed="false">
      <c r="B59" s="10" t="s">
        <v>275</v>
      </c>
      <c r="C59" s="10" t="s">
        <v>324</v>
      </c>
      <c r="D59" s="10"/>
    </row>
    <row r="60" customFormat="false" ht="27.75" hidden="false" customHeight="true" outlineLevel="0" collapsed="false">
      <c r="B60" s="10" t="s">
        <v>325</v>
      </c>
      <c r="C60" s="10" t="s">
        <v>326</v>
      </c>
      <c r="D60" s="10"/>
    </row>
    <row r="61" customFormat="false" ht="27.75" hidden="false" customHeight="true" outlineLevel="0" collapsed="false">
      <c r="B61" s="10" t="s">
        <v>287</v>
      </c>
      <c r="C61" s="10" t="s">
        <v>327</v>
      </c>
      <c r="D61" s="10"/>
    </row>
    <row r="62" customFormat="false" ht="27.75" hidden="false" customHeight="true" outlineLevel="0" collapsed="false">
      <c r="B62" s="10" t="s">
        <v>310</v>
      </c>
      <c r="C62" s="10" t="s">
        <v>328</v>
      </c>
      <c r="D62" s="10"/>
    </row>
    <row r="63" customFormat="false" ht="27.75" hidden="false" customHeight="true" outlineLevel="0" collapsed="false">
      <c r="B63" s="10" t="s">
        <v>329</v>
      </c>
      <c r="C63" s="10" t="s">
        <v>330</v>
      </c>
      <c r="D63" s="10"/>
    </row>
  </sheetData>
  <mergeCells count="5">
    <mergeCell ref="C59:D59"/>
    <mergeCell ref="C60:D60"/>
    <mergeCell ref="C61:D61"/>
    <mergeCell ref="C62:D62"/>
    <mergeCell ref="C63:D63"/>
  </mergeCells>
  <dataValidations count="2">
    <dataValidation allowBlank="false" errorStyle="stop" operator="between" showDropDown="false" showErrorMessage="false" showInputMessage="false" sqref="C9" type="list">
      <formula1>"MÁS CERCANO,ABAJO,ARRIBA"</formula1>
      <formula2>0</formula2>
    </dataValidation>
    <dataValidation allowBlank="false" errorStyle="stop" operator="between" showDropDown="false" showErrorMessage="false" showInputMessage="false" sqref="C29" type="list">
      <formula1>"Jalón al pecho,Remo unilateral con mancuerna"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L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6"/>
    <col collapsed="false" customWidth="true" hidden="false" outlineLevel="0" max="4" min="4" style="1" width="20"/>
    <col collapsed="false" customWidth="true" hidden="false" outlineLevel="0" max="5" min="5" style="1" width="30"/>
    <col collapsed="false" customWidth="true" hidden="false" outlineLevel="0" max="6" min="6" style="1" width="13"/>
    <col collapsed="false" customWidth="true" hidden="false" outlineLevel="0" max="7" min="7" style="1" width="7"/>
    <col collapsed="false" customWidth="true" hidden="false" outlineLevel="0" max="8" min="8" style="1" width="26"/>
    <col collapsed="false" customWidth="true" hidden="false" outlineLevel="0" max="9" min="9" style="1" width="14"/>
    <col collapsed="false" customWidth="true" hidden="false" outlineLevel="0" max="10" min="10" style="1" width="22"/>
    <col collapsed="false" customWidth="true" hidden="false" outlineLevel="0" max="11" min="11" style="1" width="10"/>
    <col collapsed="false" customWidth="true" hidden="false" outlineLevel="0" max="12" min="12" style="1" width="50"/>
  </cols>
  <sheetData>
    <row r="1" customFormat="false" ht="27.75" hidden="false" customHeight="true" outlineLevel="0" collapsed="false">
      <c r="A1" s="2" t="s">
        <v>331</v>
      </c>
      <c r="B1" s="3"/>
      <c r="C1" s="3"/>
      <c r="D1" s="3"/>
      <c r="E1" s="3"/>
      <c r="F1" s="3"/>
      <c r="G1" s="3"/>
      <c r="H1" s="3"/>
      <c r="I1" s="3"/>
      <c r="J1" s="3"/>
      <c r="K1" s="3"/>
      <c r="L1" s="3"/>
    </row>
    <row r="2" customFormat="false" ht="15" hidden="false" customHeight="true" outlineLevel="0" collapsed="false">
      <c r="A2" s="4" t="s">
        <v>332</v>
      </c>
    </row>
    <row r="4" customFormat="false" ht="30" hidden="false" customHeight="true" outlineLevel="0" collapsed="false">
      <c r="A4" s="5" t="s">
        <v>333</v>
      </c>
      <c r="B4" s="5" t="s">
        <v>334</v>
      </c>
      <c r="C4" s="5" t="s">
        <v>335</v>
      </c>
      <c r="D4" s="5" t="s">
        <v>336</v>
      </c>
      <c r="E4" s="5" t="s">
        <v>261</v>
      </c>
      <c r="F4" s="5" t="s">
        <v>337</v>
      </c>
      <c r="G4" s="5" t="s">
        <v>266</v>
      </c>
      <c r="H4" s="5" t="s">
        <v>338</v>
      </c>
      <c r="I4" s="5" t="s">
        <v>339</v>
      </c>
      <c r="J4" s="5" t="s">
        <v>272</v>
      </c>
      <c r="K4" s="5" t="s">
        <v>340</v>
      </c>
      <c r="L4" s="5" t="s">
        <v>273</v>
      </c>
    </row>
    <row r="5" customFormat="false" ht="23.25" hidden="false" customHeight="true" outlineLevel="0" collapsed="false">
      <c r="A5" s="18" t="str">
        <f aca="false">B5&amp;"|"&amp;C5</f>
        <v>LUNES|1</v>
      </c>
      <c r="B5" s="19" t="s">
        <v>341</v>
      </c>
      <c r="C5" s="19" t="n">
        <v>1</v>
      </c>
      <c r="D5" s="19" t="s">
        <v>342</v>
      </c>
      <c r="E5" s="19" t="s">
        <v>274</v>
      </c>
      <c r="F5" s="19" t="s">
        <v>275</v>
      </c>
      <c r="G5" s="19" t="n">
        <v>1</v>
      </c>
      <c r="H5" s="19" t="s">
        <v>343</v>
      </c>
      <c r="I5" s="19" t="s">
        <v>344</v>
      </c>
      <c r="J5" s="19" t="s">
        <v>345</v>
      </c>
      <c r="K5" s="19" t="s">
        <v>346</v>
      </c>
      <c r="L5" s="19" t="s">
        <v>347</v>
      </c>
    </row>
    <row r="6" customFormat="false" ht="15" hidden="false" customHeight="true" outlineLevel="0" collapsed="false">
      <c r="A6" s="18" t="str">
        <f aca="false">B6&amp;"|"&amp;C6</f>
        <v>LUNES|2</v>
      </c>
      <c r="B6" s="10" t="s">
        <v>341</v>
      </c>
      <c r="C6" s="10" t="n">
        <v>2</v>
      </c>
      <c r="D6" s="10" t="s">
        <v>342</v>
      </c>
      <c r="E6" s="10" t="s">
        <v>274</v>
      </c>
      <c r="F6" s="10" t="s">
        <v>348</v>
      </c>
      <c r="G6" s="10" t="n">
        <v>3</v>
      </c>
      <c r="H6" s="10" t="s">
        <v>349</v>
      </c>
      <c r="I6" s="10" t="s">
        <v>5</v>
      </c>
      <c r="J6" s="10" t="s">
        <v>350</v>
      </c>
      <c r="K6" s="10" t="s">
        <v>351</v>
      </c>
      <c r="L6" s="10" t="s">
        <v>352</v>
      </c>
    </row>
    <row r="7" customFormat="false" ht="23.25" hidden="false" customHeight="true" outlineLevel="0" collapsed="false">
      <c r="A7" s="18" t="str">
        <f aca="false">B7&amp;"|"&amp;C7</f>
        <v>LUNES|3</v>
      </c>
      <c r="B7" s="10" t="s">
        <v>341</v>
      </c>
      <c r="C7" s="10" t="n">
        <v>3</v>
      </c>
      <c r="D7" s="10" t="s">
        <v>342</v>
      </c>
      <c r="E7" s="10" t="s">
        <v>282</v>
      </c>
      <c r="F7" s="10" t="s">
        <v>275</v>
      </c>
      <c r="G7" s="10" t="n">
        <v>1</v>
      </c>
      <c r="H7" s="10" t="s">
        <v>343</v>
      </c>
      <c r="I7" s="10" t="s">
        <v>344</v>
      </c>
      <c r="J7" s="10" t="s">
        <v>345</v>
      </c>
      <c r="K7" s="10" t="s">
        <v>346</v>
      </c>
      <c r="L7" s="10"/>
    </row>
    <row r="8" customFormat="false" ht="15" hidden="false" customHeight="true" outlineLevel="0" collapsed="false">
      <c r="A8" s="18" t="str">
        <f aca="false">B8&amp;"|"&amp;C8</f>
        <v>LUNES|4</v>
      </c>
      <c r="B8" s="10" t="s">
        <v>341</v>
      </c>
      <c r="C8" s="10" t="n">
        <v>4</v>
      </c>
      <c r="D8" s="10" t="s">
        <v>342</v>
      </c>
      <c r="E8" s="10" t="s">
        <v>282</v>
      </c>
      <c r="F8" s="10" t="s">
        <v>348</v>
      </c>
      <c r="G8" s="10" t="n">
        <v>3</v>
      </c>
      <c r="H8" s="10" t="s">
        <v>349</v>
      </c>
      <c r="I8" s="10" t="s">
        <v>5</v>
      </c>
      <c r="J8" s="10" t="s">
        <v>350</v>
      </c>
      <c r="K8" s="10" t="s">
        <v>351</v>
      </c>
      <c r="L8" s="10"/>
    </row>
    <row r="9" customFormat="false" ht="15" hidden="false" customHeight="true" outlineLevel="0" collapsed="false">
      <c r="A9" s="18" t="str">
        <f aca="false">B9&amp;"|"&amp;C9</f>
        <v>LUNES|5</v>
      </c>
      <c r="B9" s="10" t="s">
        <v>341</v>
      </c>
      <c r="C9" s="10" t="n">
        <v>5</v>
      </c>
      <c r="D9" s="10" t="s">
        <v>342</v>
      </c>
      <c r="E9" s="10" t="s">
        <v>292</v>
      </c>
      <c r="F9" s="10" t="s">
        <v>353</v>
      </c>
      <c r="G9" s="10" t="n">
        <v>3</v>
      </c>
      <c r="H9" s="10" t="s">
        <v>354</v>
      </c>
      <c r="I9" s="10" t="s">
        <v>5</v>
      </c>
      <c r="J9" s="10" t="s">
        <v>295</v>
      </c>
      <c r="K9" s="10" t="s">
        <v>351</v>
      </c>
      <c r="L9" s="10" t="s">
        <v>355</v>
      </c>
    </row>
    <row r="10" customFormat="false" ht="15" hidden="false" customHeight="true" outlineLevel="0" collapsed="false">
      <c r="A10" s="18" t="str">
        <f aca="false">B10&amp;"|"&amp;C10</f>
        <v>LUNES|6</v>
      </c>
      <c r="B10" s="10" t="s">
        <v>341</v>
      </c>
      <c r="C10" s="10" t="n">
        <v>6</v>
      </c>
      <c r="D10" s="10" t="s">
        <v>342</v>
      </c>
      <c r="E10" s="10" t="s">
        <v>296</v>
      </c>
      <c r="F10" s="10" t="s">
        <v>353</v>
      </c>
      <c r="G10" s="10" t="n">
        <v>3</v>
      </c>
      <c r="H10" s="10" t="s">
        <v>356</v>
      </c>
      <c r="I10" s="10" t="s">
        <v>5</v>
      </c>
      <c r="J10" s="10" t="s">
        <v>295</v>
      </c>
      <c r="K10" s="10" t="s">
        <v>351</v>
      </c>
      <c r="L10" s="10" t="s">
        <v>355</v>
      </c>
    </row>
    <row r="11" customFormat="false" ht="15" hidden="false" customHeight="true" outlineLevel="0" collapsed="false">
      <c r="A11" s="18" t="str">
        <f aca="false">B11&amp;"|"&amp;C11</f>
        <v>LUNES|7</v>
      </c>
      <c r="B11" s="10" t="s">
        <v>341</v>
      </c>
      <c r="C11" s="10" t="n">
        <v>7</v>
      </c>
      <c r="D11" s="10" t="s">
        <v>342</v>
      </c>
      <c r="E11" s="10" t="s">
        <v>297</v>
      </c>
      <c r="F11" s="10" t="s">
        <v>353</v>
      </c>
      <c r="G11" s="10" t="n">
        <v>3</v>
      </c>
      <c r="H11" s="10" t="s">
        <v>357</v>
      </c>
      <c r="I11" s="10" t="s">
        <v>5</v>
      </c>
      <c r="J11" s="10" t="s">
        <v>299</v>
      </c>
      <c r="K11" s="10" t="s">
        <v>351</v>
      </c>
      <c r="L11" s="10" t="s">
        <v>355</v>
      </c>
    </row>
    <row r="12" customFormat="false" ht="23.25" hidden="false" customHeight="true" outlineLevel="0" collapsed="false">
      <c r="A12" s="18" t="str">
        <f aca="false">B12&amp;"|"&amp;C12</f>
        <v>MARTES|1</v>
      </c>
      <c r="B12" s="19" t="s">
        <v>358</v>
      </c>
      <c r="C12" s="19" t="n">
        <v>1</v>
      </c>
      <c r="D12" s="19" t="s">
        <v>359</v>
      </c>
      <c r="E12" s="19" t="s">
        <v>283</v>
      </c>
      <c r="F12" s="19" t="s">
        <v>275</v>
      </c>
      <c r="G12" s="19" t="n">
        <v>1</v>
      </c>
      <c r="H12" s="19" t="s">
        <v>343</v>
      </c>
      <c r="I12" s="19" t="s">
        <v>344</v>
      </c>
      <c r="J12" s="19" t="s">
        <v>345</v>
      </c>
      <c r="K12" s="19" t="s">
        <v>346</v>
      </c>
      <c r="L12" s="19"/>
    </row>
    <row r="13" customFormat="false" ht="15" hidden="false" customHeight="true" outlineLevel="0" collapsed="false">
      <c r="A13" s="18" t="str">
        <f aca="false">B13&amp;"|"&amp;C13</f>
        <v>MARTES|2</v>
      </c>
      <c r="B13" s="10" t="s">
        <v>358</v>
      </c>
      <c r="C13" s="10" t="n">
        <v>2</v>
      </c>
      <c r="D13" s="10" t="s">
        <v>359</v>
      </c>
      <c r="E13" s="10" t="s">
        <v>283</v>
      </c>
      <c r="F13" s="10" t="s">
        <v>348</v>
      </c>
      <c r="G13" s="10" t="n">
        <v>3</v>
      </c>
      <c r="H13" s="10" t="s">
        <v>349</v>
      </c>
      <c r="I13" s="10" t="s">
        <v>5</v>
      </c>
      <c r="J13" s="10" t="s">
        <v>350</v>
      </c>
      <c r="K13" s="10" t="s">
        <v>351</v>
      </c>
      <c r="L13" s="10"/>
    </row>
    <row r="14" customFormat="false" ht="15" hidden="false" customHeight="true" outlineLevel="0" collapsed="false">
      <c r="A14" s="18" t="str">
        <f aca="false">B14&amp;"|"&amp;C14</f>
        <v>MARTES|3</v>
      </c>
      <c r="B14" s="10" t="s">
        <v>358</v>
      </c>
      <c r="C14" s="10" t="n">
        <v>3</v>
      </c>
      <c r="D14" s="10" t="s">
        <v>359</v>
      </c>
      <c r="E14" s="10" t="s">
        <v>286</v>
      </c>
      <c r="F14" s="10" t="s">
        <v>353</v>
      </c>
      <c r="G14" s="10" t="n">
        <v>3</v>
      </c>
      <c r="H14" s="10" t="s">
        <v>356</v>
      </c>
      <c r="I14" s="10" t="s">
        <v>288</v>
      </c>
      <c r="J14" s="10" t="s">
        <v>290</v>
      </c>
      <c r="K14" s="10" t="s">
        <v>346</v>
      </c>
      <c r="L14" s="10" t="s">
        <v>360</v>
      </c>
    </row>
    <row r="15" customFormat="false" ht="15" hidden="false" customHeight="true" outlineLevel="0" collapsed="false">
      <c r="A15" s="18" t="str">
        <f aca="false">B15&amp;"|"&amp;C15</f>
        <v>MARTES|4</v>
      </c>
      <c r="B15" s="10" t="s">
        <v>358</v>
      </c>
      <c r="C15" s="10" t="n">
        <v>4</v>
      </c>
      <c r="D15" s="10" t="s">
        <v>359</v>
      </c>
      <c r="E15" s="20" t="str">
        <f aca="false">CONFIGURACIÓN!$C$29</f>
        <v>Jalón al pecho</v>
      </c>
      <c r="F15" s="10" t="s">
        <v>353</v>
      </c>
      <c r="G15" s="10" t="n">
        <v>3</v>
      </c>
      <c r="H15" s="10" t="s">
        <v>361</v>
      </c>
      <c r="I15" s="10" t="s">
        <v>5</v>
      </c>
      <c r="J15" s="10" t="s">
        <v>295</v>
      </c>
      <c r="K15" s="10" t="s">
        <v>351</v>
      </c>
      <c r="L15" s="10" t="s">
        <v>362</v>
      </c>
    </row>
    <row r="16" customFormat="false" ht="15" hidden="false" customHeight="true" outlineLevel="0" collapsed="false">
      <c r="A16" s="18" t="str">
        <f aca="false">B16&amp;"|"&amp;C16</f>
        <v>MARTES|5</v>
      </c>
      <c r="B16" s="10" t="s">
        <v>358</v>
      </c>
      <c r="C16" s="10" t="n">
        <v>5</v>
      </c>
      <c r="D16" s="10" t="s">
        <v>359</v>
      </c>
      <c r="E16" s="10" t="s">
        <v>308</v>
      </c>
      <c r="F16" s="10" t="s">
        <v>353</v>
      </c>
      <c r="G16" s="10" t="n">
        <v>3</v>
      </c>
      <c r="H16" s="10" t="s">
        <v>356</v>
      </c>
      <c r="I16" s="10" t="s">
        <v>5</v>
      </c>
      <c r="J16" s="10" t="s">
        <v>295</v>
      </c>
      <c r="K16" s="10" t="s">
        <v>351</v>
      </c>
      <c r="L16" s="10" t="s">
        <v>355</v>
      </c>
    </row>
    <row r="17" customFormat="false" ht="23.25" hidden="false" customHeight="true" outlineLevel="0" collapsed="false">
      <c r="A17" s="18" t="str">
        <f aca="false">B17&amp;"|"&amp;C17</f>
        <v>MIÉRCOLES|1</v>
      </c>
      <c r="B17" s="19" t="s">
        <v>363</v>
      </c>
      <c r="C17" s="19" t="n">
        <v>1</v>
      </c>
      <c r="D17" s="19" t="s">
        <v>364</v>
      </c>
      <c r="E17" s="19" t="s">
        <v>321</v>
      </c>
      <c r="F17" s="19" t="s">
        <v>321</v>
      </c>
      <c r="G17" s="19" t="n">
        <v>1</v>
      </c>
      <c r="H17" s="19" t="s">
        <v>365</v>
      </c>
      <c r="I17" s="19" t="s">
        <v>279</v>
      </c>
      <c r="J17" s="19" t="s">
        <v>279</v>
      </c>
      <c r="K17" s="19" t="s">
        <v>351</v>
      </c>
      <c r="L17" s="19" t="s">
        <v>366</v>
      </c>
    </row>
    <row r="18" customFormat="false" ht="23.25" hidden="false" customHeight="true" outlineLevel="0" collapsed="false">
      <c r="A18" s="18" t="str">
        <f aca="false">B18&amp;"|"&amp;C18</f>
        <v>MIÉRCOLES|2</v>
      </c>
      <c r="B18" s="10" t="s">
        <v>363</v>
      </c>
      <c r="C18" s="10" t="n">
        <v>2</v>
      </c>
      <c r="D18" s="10" t="s">
        <v>364</v>
      </c>
      <c r="E18" s="10" t="s">
        <v>309</v>
      </c>
      <c r="F18" s="10" t="s">
        <v>310</v>
      </c>
      <c r="G18" s="10" t="n">
        <v>4</v>
      </c>
      <c r="H18" s="10" t="s">
        <v>367</v>
      </c>
      <c r="I18" s="10" t="s">
        <v>312</v>
      </c>
      <c r="J18" s="10" t="s">
        <v>313</v>
      </c>
      <c r="K18" s="10" t="s">
        <v>351</v>
      </c>
      <c r="L18" s="10" t="s">
        <v>368</v>
      </c>
    </row>
    <row r="19" customFormat="false" ht="23.25" hidden="false" customHeight="true" outlineLevel="0" collapsed="false">
      <c r="A19" s="18" t="str">
        <f aca="false">B19&amp;"|"&amp;C19</f>
        <v>MIÉRCOLES|3</v>
      </c>
      <c r="B19" s="10" t="s">
        <v>363</v>
      </c>
      <c r="C19" s="10" t="n">
        <v>3</v>
      </c>
      <c r="D19" s="10" t="s">
        <v>364</v>
      </c>
      <c r="E19" s="10" t="s">
        <v>315</v>
      </c>
      <c r="F19" s="10" t="s">
        <v>310</v>
      </c>
      <c r="G19" s="10" t="n">
        <v>5</v>
      </c>
      <c r="H19" s="10" t="s">
        <v>369</v>
      </c>
      <c r="I19" s="10" t="s">
        <v>316</v>
      </c>
      <c r="J19" s="10" t="s">
        <v>313</v>
      </c>
      <c r="K19" s="10" t="s">
        <v>346</v>
      </c>
      <c r="L19" s="10" t="s">
        <v>370</v>
      </c>
    </row>
    <row r="20" customFormat="false" ht="23.25" hidden="false" customHeight="true" outlineLevel="0" collapsed="false">
      <c r="A20" s="18" t="str">
        <f aca="false">B20&amp;"|"&amp;C20</f>
        <v>MIÉRCOLES|4</v>
      </c>
      <c r="B20" s="10" t="s">
        <v>363</v>
      </c>
      <c r="C20" s="10" t="n">
        <v>4</v>
      </c>
      <c r="D20" s="10" t="s">
        <v>364</v>
      </c>
      <c r="E20" s="10" t="s">
        <v>318</v>
      </c>
      <c r="F20" s="10" t="s">
        <v>310</v>
      </c>
      <c r="G20" s="10" t="n">
        <v>5</v>
      </c>
      <c r="H20" s="10" t="s">
        <v>371</v>
      </c>
      <c r="I20" s="10" t="s">
        <v>319</v>
      </c>
      <c r="J20" s="10" t="s">
        <v>320</v>
      </c>
      <c r="K20" s="10" t="s">
        <v>346</v>
      </c>
      <c r="L20" s="10" t="s">
        <v>370</v>
      </c>
    </row>
    <row r="21" customFormat="false" ht="23.25" hidden="false" customHeight="true" outlineLevel="0" collapsed="false">
      <c r="A21" s="18" t="str">
        <f aca="false">B21&amp;"|"&amp;C21</f>
        <v>JUEVES|1</v>
      </c>
      <c r="B21" s="19" t="s">
        <v>372</v>
      </c>
      <c r="C21" s="19" t="n">
        <v>1</v>
      </c>
      <c r="D21" s="19" t="s">
        <v>342</v>
      </c>
      <c r="E21" s="19" t="s">
        <v>274</v>
      </c>
      <c r="F21" s="19" t="s">
        <v>275</v>
      </c>
      <c r="G21" s="19" t="n">
        <v>1</v>
      </c>
      <c r="H21" s="19" t="s">
        <v>343</v>
      </c>
      <c r="I21" s="19" t="s">
        <v>344</v>
      </c>
      <c r="J21" s="19" t="s">
        <v>345</v>
      </c>
      <c r="K21" s="19" t="s">
        <v>346</v>
      </c>
      <c r="L21" s="19" t="s">
        <v>347</v>
      </c>
    </row>
    <row r="22" customFormat="false" ht="15" hidden="false" customHeight="true" outlineLevel="0" collapsed="false">
      <c r="A22" s="18" t="str">
        <f aca="false">B22&amp;"|"&amp;C22</f>
        <v>JUEVES|2</v>
      </c>
      <c r="B22" s="10" t="s">
        <v>372</v>
      </c>
      <c r="C22" s="10" t="n">
        <v>2</v>
      </c>
      <c r="D22" s="10" t="s">
        <v>342</v>
      </c>
      <c r="E22" s="10" t="s">
        <v>274</v>
      </c>
      <c r="F22" s="10" t="s">
        <v>348</v>
      </c>
      <c r="G22" s="10" t="n">
        <v>3</v>
      </c>
      <c r="H22" s="10" t="s">
        <v>349</v>
      </c>
      <c r="I22" s="10" t="s">
        <v>5</v>
      </c>
      <c r="J22" s="10" t="s">
        <v>350</v>
      </c>
      <c r="K22" s="10" t="s">
        <v>351</v>
      </c>
      <c r="L22" s="10" t="s">
        <v>352</v>
      </c>
    </row>
    <row r="23" customFormat="false" ht="23.25" hidden="false" customHeight="true" outlineLevel="0" collapsed="false">
      <c r="A23" s="18" t="str">
        <f aca="false">B23&amp;"|"&amp;C23</f>
        <v>JUEVES|3</v>
      </c>
      <c r="B23" s="10" t="s">
        <v>372</v>
      </c>
      <c r="C23" s="10" t="n">
        <v>3</v>
      </c>
      <c r="D23" s="10" t="s">
        <v>342</v>
      </c>
      <c r="E23" s="10" t="s">
        <v>282</v>
      </c>
      <c r="F23" s="10" t="s">
        <v>275</v>
      </c>
      <c r="G23" s="10" t="n">
        <v>1</v>
      </c>
      <c r="H23" s="10" t="s">
        <v>343</v>
      </c>
      <c r="I23" s="10" t="s">
        <v>344</v>
      </c>
      <c r="J23" s="10" t="s">
        <v>345</v>
      </c>
      <c r="K23" s="10" t="s">
        <v>346</v>
      </c>
      <c r="L23" s="10"/>
    </row>
    <row r="24" customFormat="false" ht="15" hidden="false" customHeight="true" outlineLevel="0" collapsed="false">
      <c r="A24" s="18" t="str">
        <f aca="false">B24&amp;"|"&amp;C24</f>
        <v>JUEVES|4</v>
      </c>
      <c r="B24" s="10" t="s">
        <v>372</v>
      </c>
      <c r="C24" s="10" t="n">
        <v>4</v>
      </c>
      <c r="D24" s="10" t="s">
        <v>342</v>
      </c>
      <c r="E24" s="10" t="s">
        <v>282</v>
      </c>
      <c r="F24" s="10" t="s">
        <v>348</v>
      </c>
      <c r="G24" s="10" t="n">
        <v>3</v>
      </c>
      <c r="H24" s="10" t="s">
        <v>349</v>
      </c>
      <c r="I24" s="10" t="s">
        <v>5</v>
      </c>
      <c r="J24" s="10" t="s">
        <v>350</v>
      </c>
      <c r="K24" s="10" t="s">
        <v>351</v>
      </c>
      <c r="L24" s="10"/>
    </row>
    <row r="25" customFormat="false" ht="15" hidden="false" customHeight="true" outlineLevel="0" collapsed="false">
      <c r="A25" s="18" t="str">
        <f aca="false">B25&amp;"|"&amp;C25</f>
        <v>JUEVES|5</v>
      </c>
      <c r="B25" s="10" t="s">
        <v>372</v>
      </c>
      <c r="C25" s="10" t="n">
        <v>5</v>
      </c>
      <c r="D25" s="10" t="s">
        <v>342</v>
      </c>
      <c r="E25" s="10" t="s">
        <v>292</v>
      </c>
      <c r="F25" s="10" t="s">
        <v>353</v>
      </c>
      <c r="G25" s="10" t="n">
        <v>3</v>
      </c>
      <c r="H25" s="10" t="s">
        <v>354</v>
      </c>
      <c r="I25" s="10" t="s">
        <v>5</v>
      </c>
      <c r="J25" s="10" t="s">
        <v>295</v>
      </c>
      <c r="K25" s="10" t="s">
        <v>351</v>
      </c>
      <c r="L25" s="10" t="s">
        <v>355</v>
      </c>
    </row>
    <row r="26" customFormat="false" ht="15" hidden="false" customHeight="true" outlineLevel="0" collapsed="false">
      <c r="A26" s="18" t="str">
        <f aca="false">B26&amp;"|"&amp;C26</f>
        <v>JUEVES|6</v>
      </c>
      <c r="B26" s="10" t="s">
        <v>372</v>
      </c>
      <c r="C26" s="10" t="n">
        <v>6</v>
      </c>
      <c r="D26" s="10" t="s">
        <v>342</v>
      </c>
      <c r="E26" s="10" t="s">
        <v>296</v>
      </c>
      <c r="F26" s="10" t="s">
        <v>353</v>
      </c>
      <c r="G26" s="10" t="n">
        <v>3</v>
      </c>
      <c r="H26" s="10" t="s">
        <v>356</v>
      </c>
      <c r="I26" s="10" t="s">
        <v>5</v>
      </c>
      <c r="J26" s="10" t="s">
        <v>295</v>
      </c>
      <c r="K26" s="10" t="s">
        <v>351</v>
      </c>
      <c r="L26" s="10" t="s">
        <v>355</v>
      </c>
    </row>
    <row r="27" customFormat="false" ht="15" hidden="false" customHeight="true" outlineLevel="0" collapsed="false">
      <c r="A27" s="18" t="str">
        <f aca="false">B27&amp;"|"&amp;C27</f>
        <v>JUEVES|7</v>
      </c>
      <c r="B27" s="10" t="s">
        <v>372</v>
      </c>
      <c r="C27" s="10" t="n">
        <v>7</v>
      </c>
      <c r="D27" s="10" t="s">
        <v>342</v>
      </c>
      <c r="E27" s="10" t="s">
        <v>301</v>
      </c>
      <c r="F27" s="10" t="s">
        <v>353</v>
      </c>
      <c r="G27" s="10" t="n">
        <v>3</v>
      </c>
      <c r="H27" s="10" t="s">
        <v>361</v>
      </c>
      <c r="I27" s="10" t="s">
        <v>5</v>
      </c>
      <c r="J27" s="10" t="s">
        <v>299</v>
      </c>
      <c r="K27" s="10" t="s">
        <v>351</v>
      </c>
      <c r="L27" s="10" t="s">
        <v>355</v>
      </c>
    </row>
    <row r="28" customFormat="false" ht="23.25" hidden="false" customHeight="true" outlineLevel="0" collapsed="false">
      <c r="A28" s="18" t="str">
        <f aca="false">B28&amp;"|"&amp;C28</f>
        <v>VIERNES|1</v>
      </c>
      <c r="B28" s="19" t="s">
        <v>373</v>
      </c>
      <c r="C28" s="19" t="n">
        <v>1</v>
      </c>
      <c r="D28" s="19" t="s">
        <v>359</v>
      </c>
      <c r="E28" s="19" t="s">
        <v>283</v>
      </c>
      <c r="F28" s="19" t="s">
        <v>275</v>
      </c>
      <c r="G28" s="19" t="n">
        <v>1</v>
      </c>
      <c r="H28" s="19" t="s">
        <v>343</v>
      </c>
      <c r="I28" s="19" t="s">
        <v>344</v>
      </c>
      <c r="J28" s="19" t="s">
        <v>345</v>
      </c>
      <c r="K28" s="19" t="s">
        <v>346</v>
      </c>
      <c r="L28" s="19"/>
    </row>
    <row r="29" customFormat="false" ht="15" hidden="false" customHeight="true" outlineLevel="0" collapsed="false">
      <c r="A29" s="18" t="str">
        <f aca="false">B29&amp;"|"&amp;C29</f>
        <v>VIERNES|2</v>
      </c>
      <c r="B29" s="10" t="s">
        <v>373</v>
      </c>
      <c r="C29" s="10" t="n">
        <v>2</v>
      </c>
      <c r="D29" s="10" t="s">
        <v>359</v>
      </c>
      <c r="E29" s="10" t="s">
        <v>283</v>
      </c>
      <c r="F29" s="10" t="s">
        <v>348</v>
      </c>
      <c r="G29" s="10" t="n">
        <v>3</v>
      </c>
      <c r="H29" s="10" t="s">
        <v>349</v>
      </c>
      <c r="I29" s="10" t="s">
        <v>5</v>
      </c>
      <c r="J29" s="10" t="s">
        <v>350</v>
      </c>
      <c r="K29" s="10" t="s">
        <v>351</v>
      </c>
      <c r="L29" s="10"/>
    </row>
    <row r="30" customFormat="false" ht="15" hidden="false" customHeight="true" outlineLevel="0" collapsed="false">
      <c r="A30" s="18" t="str">
        <f aca="false">B30&amp;"|"&amp;C30</f>
        <v>VIERNES|3</v>
      </c>
      <c r="B30" s="10" t="s">
        <v>373</v>
      </c>
      <c r="C30" s="10" t="n">
        <v>3</v>
      </c>
      <c r="D30" s="10" t="s">
        <v>359</v>
      </c>
      <c r="E30" s="10" t="s">
        <v>286</v>
      </c>
      <c r="F30" s="10" t="s">
        <v>353</v>
      </c>
      <c r="G30" s="10" t="n">
        <v>3</v>
      </c>
      <c r="H30" s="10" t="s">
        <v>356</v>
      </c>
      <c r="I30" s="10" t="s">
        <v>288</v>
      </c>
      <c r="J30" s="10" t="s">
        <v>290</v>
      </c>
      <c r="K30" s="10" t="s">
        <v>346</v>
      </c>
      <c r="L30" s="10" t="s">
        <v>360</v>
      </c>
    </row>
    <row r="31" customFormat="false" ht="15" hidden="false" customHeight="true" outlineLevel="0" collapsed="false">
      <c r="A31" s="18" t="str">
        <f aca="false">B31&amp;"|"&amp;C31</f>
        <v>VIERNES|4</v>
      </c>
      <c r="B31" s="10" t="s">
        <v>373</v>
      </c>
      <c r="C31" s="10" t="n">
        <v>4</v>
      </c>
      <c r="D31" s="10" t="s">
        <v>359</v>
      </c>
      <c r="E31" s="20" t="str">
        <f aca="false">CONFIGURACIÓN!$C$29</f>
        <v>Jalón al pecho</v>
      </c>
      <c r="F31" s="10" t="s">
        <v>353</v>
      </c>
      <c r="G31" s="10" t="n">
        <v>3</v>
      </c>
      <c r="H31" s="10" t="s">
        <v>361</v>
      </c>
      <c r="I31" s="10" t="s">
        <v>5</v>
      </c>
      <c r="J31" s="10" t="s">
        <v>295</v>
      </c>
      <c r="K31" s="10" t="s">
        <v>351</v>
      </c>
      <c r="L31" s="10" t="s">
        <v>362</v>
      </c>
    </row>
    <row r="32" customFormat="false" ht="15" hidden="false" customHeight="true" outlineLevel="0" collapsed="false">
      <c r="A32" s="18" t="str">
        <f aca="false">B32&amp;"|"&amp;C32</f>
        <v>VIERNES|5</v>
      </c>
      <c r="B32" s="10" t="s">
        <v>373</v>
      </c>
      <c r="C32" s="10" t="n">
        <v>5</v>
      </c>
      <c r="D32" s="10" t="s">
        <v>359</v>
      </c>
      <c r="E32" s="10" t="s">
        <v>308</v>
      </c>
      <c r="F32" s="10" t="s">
        <v>353</v>
      </c>
      <c r="G32" s="10" t="n">
        <v>3</v>
      </c>
      <c r="H32" s="10" t="s">
        <v>356</v>
      </c>
      <c r="I32" s="10" t="s">
        <v>5</v>
      </c>
      <c r="J32" s="10" t="s">
        <v>295</v>
      </c>
      <c r="K32" s="10" t="s">
        <v>351</v>
      </c>
      <c r="L32" s="10" t="s">
        <v>355</v>
      </c>
    </row>
    <row r="34" customFormat="false" ht="15" hidden="false" customHeight="true" outlineLevel="0" collapsed="false">
      <c r="A34" s="4" t="s">
        <v>374</v>
      </c>
    </row>
    <row r="35" customFormat="false" ht="15" hidden="false" customHeight="true" outlineLevel="0" collapsed="false">
      <c r="A35" s="4" t="s">
        <v>375</v>
      </c>
    </row>
    <row r="36" customFormat="false" ht="15" hidden="false" customHeight="true" outlineLevel="0" collapsed="false">
      <c r="A36" s="4"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Y2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4" min="2" style="1" width="11"/>
    <col collapsed="false" customWidth="true" hidden="false" outlineLevel="0" max="5" min="5" style="1" width="28"/>
    <col collapsed="false" customWidth="true" hidden="false" outlineLevel="0" max="6" min="6" style="1" width="14"/>
    <col collapsed="false" customWidth="true" hidden="false" outlineLevel="0" max="8" min="7" style="1" width="8"/>
    <col collapsed="false" customWidth="true" hidden="false" outlineLevel="0" max="9" min="9" style="1" width="7"/>
    <col collapsed="false" customWidth="true" hidden="false" outlineLevel="0" max="10" min="10" style="1" width="9"/>
    <col collapsed="false" customWidth="true" hidden="false" outlineLevel="0" max="11" min="11" style="1" width="7"/>
    <col collapsed="false" customWidth="true" hidden="false" outlineLevel="0" max="12" min="12" style="1" width="6"/>
    <col collapsed="false" customWidth="true" hidden="false" outlineLevel="0" max="14" min="13" style="1" width="9"/>
    <col collapsed="false" customWidth="true" hidden="false" outlineLevel="0" max="19" min="15" style="1" width="10"/>
    <col collapsed="false" customWidth="true" hidden="false" outlineLevel="0" max="20" min="20" style="1" width="11"/>
    <col collapsed="false" customWidth="true" hidden="false" outlineLevel="0" max="21" min="21" style="1" width="40"/>
    <col collapsed="false" customWidth="true" hidden="false" outlineLevel="0" max="23" min="22" style="1" width="11"/>
    <col collapsed="false" customWidth="true" hidden="false" outlineLevel="0" max="24" min="24" style="1" width="16"/>
    <col collapsed="false" customWidth="true" hidden="false" outlineLevel="0" max="25" min="25" style="1" width="9"/>
  </cols>
  <sheetData>
    <row r="1" customFormat="false" ht="27.75" hidden="false" customHeight="true" outlineLevel="0" collapsed="false">
      <c r="A1" s="2" t="s">
        <v>377</v>
      </c>
      <c r="B1" s="3"/>
      <c r="C1" s="3"/>
      <c r="D1" s="3"/>
      <c r="E1" s="3"/>
      <c r="F1" s="3"/>
      <c r="G1" s="3"/>
      <c r="H1" s="3"/>
      <c r="I1" s="3"/>
      <c r="J1" s="3"/>
      <c r="K1" s="3"/>
      <c r="L1" s="3"/>
      <c r="M1" s="3"/>
      <c r="N1" s="3"/>
      <c r="O1" s="3"/>
      <c r="P1" s="3"/>
      <c r="Q1" s="3"/>
      <c r="R1" s="3"/>
      <c r="S1" s="3"/>
      <c r="T1" s="3"/>
      <c r="U1" s="3"/>
      <c r="V1" s="3"/>
      <c r="W1" s="3"/>
      <c r="X1" s="3"/>
      <c r="Y1" s="3"/>
    </row>
    <row r="2" customFormat="false" ht="15" hidden="false" customHeight="true" outlineLevel="0" collapsed="false">
      <c r="A2" s="4" t="s">
        <v>378</v>
      </c>
    </row>
    <row r="3" customFormat="false" ht="15" hidden="false" customHeight="true" outlineLevel="0" collapsed="false">
      <c r="A3" s="4" t="s">
        <v>379</v>
      </c>
    </row>
    <row r="4" customFormat="false" ht="42" hidden="false" customHeight="true" outlineLevel="0" collapsed="false">
      <c r="A4" s="5" t="s">
        <v>380</v>
      </c>
      <c r="B4" s="5" t="s">
        <v>381</v>
      </c>
      <c r="C4" s="5" t="s">
        <v>382</v>
      </c>
      <c r="D4" s="5" t="s">
        <v>383</v>
      </c>
      <c r="E4" s="5" t="s">
        <v>261</v>
      </c>
      <c r="F4" s="5" t="s">
        <v>337</v>
      </c>
      <c r="G4" s="5" t="s">
        <v>384</v>
      </c>
      <c r="H4" s="5" t="s">
        <v>385</v>
      </c>
      <c r="I4" s="5" t="s">
        <v>386</v>
      </c>
      <c r="J4" s="5" t="s">
        <v>387</v>
      </c>
      <c r="K4" s="5" t="s">
        <v>388</v>
      </c>
      <c r="L4" s="5" t="s">
        <v>339</v>
      </c>
      <c r="M4" s="5" t="s">
        <v>389</v>
      </c>
      <c r="N4" s="5" t="s">
        <v>390</v>
      </c>
      <c r="O4" s="5" t="s">
        <v>391</v>
      </c>
      <c r="P4" s="5" t="s">
        <v>392</v>
      </c>
      <c r="Q4" s="5" t="s">
        <v>393</v>
      </c>
      <c r="R4" s="5" t="s">
        <v>394</v>
      </c>
      <c r="S4" s="5" t="s">
        <v>395</v>
      </c>
      <c r="T4" s="5" t="s">
        <v>396</v>
      </c>
      <c r="U4" s="5" t="s">
        <v>397</v>
      </c>
      <c r="V4" s="5" t="s">
        <v>398</v>
      </c>
      <c r="W4" s="5" t="s">
        <v>399</v>
      </c>
      <c r="X4" s="5" t="s">
        <v>400</v>
      </c>
      <c r="Y4" s="5" t="s">
        <v>401</v>
      </c>
    </row>
    <row r="5" customFormat="false" ht="15" hidden="false" customHeight="true" outlineLevel="0" collapsed="false">
      <c r="A5" s="21" t="str">
        <f aca="false">IF(B5="","",ROW()-4)</f>
        <v/>
      </c>
      <c r="B5" s="22"/>
      <c r="C5" s="21" t="str">
        <f aca="false">IF(B5="","",CHOOSE(WEEKDAY(B5,2),"LUNES","MARTES","MIÉRCOLES","JUEVES","VIERNES","SÁBADO","DOMINGO"))</f>
        <v/>
      </c>
      <c r="M5" s="23"/>
      <c r="Q5" s="21" t="str">
        <f aca="false">IF(OR(K5="",N5=""),"",K5-N5)</f>
        <v/>
      </c>
      <c r="R5" s="21" t="str">
        <f aca="false">IF(OR(J5="",K5=""),"",J5*K5)</f>
        <v/>
      </c>
      <c r="S5" s="21" t="str">
        <f aca="false">IF(AND(ISNUMBER(J5),ISNUMBER(K5),F5&lt;&gt;"Calentamiento",F5&lt;&gt;"Bilbo"),IF(AND(K5&gt;0,K5&lt;=12),ROUND(J5*(1+(K5+IF(ISNUMBER(L5),L5,0))/30),1),""),"")</f>
        <v/>
      </c>
      <c r="T5" s="21" t="str">
        <f aca="false">IF(AND(F5="Bilbo",ISNUMBER(J5),ISNUMBER(K5)),ROUND(J5*(1+K5/30),1),"")</f>
        <v/>
      </c>
      <c r="W5" s="22"/>
      <c r="X5" s="21" t="str">
        <f aca="false">IF(AND(F5="Bilbo",E5&lt;&gt;"",G5&lt;&gt;"",H5&lt;&gt;""),E5&amp;"|"&amp;G5&amp;"|"&amp;H5,"")</f>
        <v/>
      </c>
      <c r="Y5" s="21" t="str">
        <f aca="false">IF(B5="","",IF(B5&lt;&gt;0,1,0))</f>
        <v/>
      </c>
    </row>
    <row r="6" customFormat="false" ht="15" hidden="false" customHeight="true" outlineLevel="0" collapsed="false">
      <c r="A6" s="21" t="str">
        <f aca="false">IF(B6="","",ROW()-4)</f>
        <v/>
      </c>
      <c r="B6" s="22"/>
      <c r="C6" s="21" t="str">
        <f aca="false">IF(B6="","",CHOOSE(WEEKDAY(B6,2),"LUNES","MARTES","MIÉRCOLES","JUEVES","VIERNES","SÁBADO","DOMINGO"))</f>
        <v/>
      </c>
      <c r="M6" s="23"/>
      <c r="Q6" s="21" t="str">
        <f aca="false">IF(OR(K6="",N6=""),"",K6-N6)</f>
        <v/>
      </c>
      <c r="R6" s="21" t="str">
        <f aca="false">IF(OR(J6="",K6=""),"",J6*K6)</f>
        <v/>
      </c>
      <c r="S6" s="21" t="str">
        <f aca="false">IF(AND(ISNUMBER(J6),ISNUMBER(K6),F6&lt;&gt;"Calentamiento",F6&lt;&gt;"Bilbo"),IF(AND(K6&gt;0,K6&lt;=12),ROUND(J6*(1+(K6+IF(ISNUMBER(L6),L6,0))/30),1),""),"")</f>
        <v/>
      </c>
      <c r="T6" s="21" t="str">
        <f aca="false">IF(AND(F6="Bilbo",ISNUMBER(J6),ISNUMBER(K6)),ROUND(J6*(1+K6/30),1),"")</f>
        <v/>
      </c>
      <c r="W6" s="22"/>
      <c r="X6" s="21" t="str">
        <f aca="false">IF(AND(F6="Bilbo",E6&lt;&gt;"",G6&lt;&gt;"",H6&lt;&gt;""),E6&amp;"|"&amp;G6&amp;"|"&amp;H6,"")</f>
        <v/>
      </c>
      <c r="Y6" s="21" t="str">
        <f aca="false">IF(B6="","",IF(B6&lt;&gt;B5,1,0))</f>
        <v/>
      </c>
    </row>
    <row r="7" customFormat="false" ht="15" hidden="false" customHeight="true" outlineLevel="0" collapsed="false">
      <c r="A7" s="21" t="str">
        <f aca="false">IF(B7="","",ROW()-4)</f>
        <v/>
      </c>
      <c r="B7" s="22"/>
      <c r="C7" s="21" t="str">
        <f aca="false">IF(B7="","",CHOOSE(WEEKDAY(B7,2),"LUNES","MARTES","MIÉRCOLES","JUEVES","VIERNES","SÁBADO","DOMINGO"))</f>
        <v/>
      </c>
      <c r="M7" s="23"/>
      <c r="Q7" s="21" t="str">
        <f aca="false">IF(OR(K7="",N7=""),"",K7-N7)</f>
        <v/>
      </c>
      <c r="R7" s="21" t="str">
        <f aca="false">IF(OR(J7="",K7=""),"",J7*K7)</f>
        <v/>
      </c>
      <c r="S7" s="21" t="str">
        <f aca="false">IF(AND(ISNUMBER(J7),ISNUMBER(K7),F7&lt;&gt;"Calentamiento",F7&lt;&gt;"Bilbo"),IF(AND(K7&gt;0,K7&lt;=12),ROUND(J7*(1+(K7+IF(ISNUMBER(L7),L7,0))/30),1),""),"")</f>
        <v/>
      </c>
      <c r="T7" s="21" t="str">
        <f aca="false">IF(AND(F7="Bilbo",ISNUMBER(J7),ISNUMBER(K7)),ROUND(J7*(1+K7/30),1),"")</f>
        <v/>
      </c>
      <c r="W7" s="22"/>
      <c r="X7" s="21" t="str">
        <f aca="false">IF(AND(F7="Bilbo",E7&lt;&gt;"",G7&lt;&gt;"",H7&lt;&gt;""),E7&amp;"|"&amp;G7&amp;"|"&amp;H7,"")</f>
        <v/>
      </c>
      <c r="Y7" s="21" t="str">
        <f aca="false">IF(B7="","",IF(B7&lt;&gt;B6,1,0))</f>
        <v/>
      </c>
    </row>
    <row r="8" customFormat="false" ht="15" hidden="false" customHeight="true" outlineLevel="0" collapsed="false">
      <c r="A8" s="21" t="str">
        <f aca="false">IF(B8="","",ROW()-4)</f>
        <v/>
      </c>
      <c r="B8" s="22"/>
      <c r="C8" s="21" t="str">
        <f aca="false">IF(B8="","",CHOOSE(WEEKDAY(B8,2),"LUNES","MARTES","MIÉRCOLES","JUEVES","VIERNES","SÁBADO","DOMINGO"))</f>
        <v/>
      </c>
      <c r="M8" s="23"/>
      <c r="Q8" s="21" t="str">
        <f aca="false">IF(OR(K8="",N8=""),"",K8-N8)</f>
        <v/>
      </c>
      <c r="R8" s="21" t="str">
        <f aca="false">IF(OR(J8="",K8=""),"",J8*K8)</f>
        <v/>
      </c>
      <c r="S8" s="21" t="str">
        <f aca="false">IF(AND(ISNUMBER(J8),ISNUMBER(K8),F8&lt;&gt;"Calentamiento",F8&lt;&gt;"Bilbo"),IF(AND(K8&gt;0,K8&lt;=12),ROUND(J8*(1+(K8+IF(ISNUMBER(L8),L8,0))/30),1),""),"")</f>
        <v/>
      </c>
      <c r="T8" s="21" t="str">
        <f aca="false">IF(AND(F8="Bilbo",ISNUMBER(J8),ISNUMBER(K8)),ROUND(J8*(1+K8/30),1),"")</f>
        <v/>
      </c>
      <c r="W8" s="22"/>
      <c r="X8" s="21" t="str">
        <f aca="false">IF(AND(F8="Bilbo",E8&lt;&gt;"",G8&lt;&gt;"",H8&lt;&gt;""),E8&amp;"|"&amp;G8&amp;"|"&amp;H8,"")</f>
        <v/>
      </c>
      <c r="Y8" s="21" t="str">
        <f aca="false">IF(B8="","",IF(B8&lt;&gt;B7,1,0))</f>
        <v/>
      </c>
    </row>
    <row r="9" customFormat="false" ht="15" hidden="false" customHeight="true" outlineLevel="0" collapsed="false">
      <c r="A9" s="21" t="str">
        <f aca="false">IF(B9="","",ROW()-4)</f>
        <v/>
      </c>
      <c r="B9" s="22"/>
      <c r="C9" s="21" t="str">
        <f aca="false">IF(B9="","",CHOOSE(WEEKDAY(B9,2),"LUNES","MARTES","MIÉRCOLES","JUEVES","VIERNES","SÁBADO","DOMINGO"))</f>
        <v/>
      </c>
      <c r="M9" s="23"/>
      <c r="Q9" s="21" t="str">
        <f aca="false">IF(OR(K9="",N9=""),"",K9-N9)</f>
        <v/>
      </c>
      <c r="R9" s="21" t="str">
        <f aca="false">IF(OR(J9="",K9=""),"",J9*K9)</f>
        <v/>
      </c>
      <c r="S9" s="21" t="str">
        <f aca="false">IF(AND(ISNUMBER(J9),ISNUMBER(K9),F9&lt;&gt;"Calentamiento",F9&lt;&gt;"Bilbo"),IF(AND(K9&gt;0,K9&lt;=12),ROUND(J9*(1+(K9+IF(ISNUMBER(L9),L9,0))/30),1),""),"")</f>
        <v/>
      </c>
      <c r="T9" s="21" t="str">
        <f aca="false">IF(AND(F9="Bilbo",ISNUMBER(J9),ISNUMBER(K9)),ROUND(J9*(1+K9/30),1),"")</f>
        <v/>
      </c>
      <c r="W9" s="22"/>
      <c r="X9" s="21" t="str">
        <f aca="false">IF(AND(F9="Bilbo",E9&lt;&gt;"",G9&lt;&gt;"",H9&lt;&gt;""),E9&amp;"|"&amp;G9&amp;"|"&amp;H9,"")</f>
        <v/>
      </c>
      <c r="Y9" s="21" t="str">
        <f aca="false">IF(B9="","",IF(B9&lt;&gt;B8,1,0))</f>
        <v/>
      </c>
    </row>
    <row r="10" customFormat="false" ht="15" hidden="false" customHeight="true" outlineLevel="0" collapsed="false">
      <c r="A10" s="21" t="str">
        <f aca="false">IF(B10="","",ROW()-4)</f>
        <v/>
      </c>
      <c r="B10" s="22"/>
      <c r="C10" s="21" t="str">
        <f aca="false">IF(B10="","",CHOOSE(WEEKDAY(B10,2),"LUNES","MARTES","MIÉRCOLES","JUEVES","VIERNES","SÁBADO","DOMINGO"))</f>
        <v/>
      </c>
      <c r="M10" s="23"/>
      <c r="Q10" s="21" t="str">
        <f aca="false">IF(OR(K10="",N10=""),"",K10-N10)</f>
        <v/>
      </c>
      <c r="R10" s="21" t="str">
        <f aca="false">IF(OR(J10="",K10=""),"",J10*K10)</f>
        <v/>
      </c>
      <c r="S10" s="21" t="str">
        <f aca="false">IF(AND(ISNUMBER(J10),ISNUMBER(K10),F10&lt;&gt;"Calentamiento",F10&lt;&gt;"Bilbo"),IF(AND(K10&gt;0,K10&lt;=12),ROUND(J10*(1+(K10+IF(ISNUMBER(L10),L10,0))/30),1),""),"")</f>
        <v/>
      </c>
      <c r="T10" s="21" t="str">
        <f aca="false">IF(AND(F10="Bilbo",ISNUMBER(J10),ISNUMBER(K10)),ROUND(J10*(1+K10/30),1),"")</f>
        <v/>
      </c>
      <c r="W10" s="22"/>
      <c r="X10" s="21" t="str">
        <f aca="false">IF(AND(F10="Bilbo",E10&lt;&gt;"",G10&lt;&gt;"",H10&lt;&gt;""),E10&amp;"|"&amp;G10&amp;"|"&amp;H10,"")</f>
        <v/>
      </c>
      <c r="Y10" s="21" t="str">
        <f aca="false">IF(B10="","",IF(B10&lt;&gt;B9,1,0))</f>
        <v/>
      </c>
    </row>
    <row r="11" customFormat="false" ht="15" hidden="false" customHeight="true" outlineLevel="0" collapsed="false">
      <c r="A11" s="21" t="str">
        <f aca="false">IF(B11="","",ROW()-4)</f>
        <v/>
      </c>
      <c r="B11" s="22"/>
      <c r="C11" s="21" t="str">
        <f aca="false">IF(B11="","",CHOOSE(WEEKDAY(B11,2),"LUNES","MARTES","MIÉRCOLES","JUEVES","VIERNES","SÁBADO","DOMINGO"))</f>
        <v/>
      </c>
      <c r="M11" s="23"/>
      <c r="Q11" s="21" t="str">
        <f aca="false">IF(OR(K11="",N11=""),"",K11-N11)</f>
        <v/>
      </c>
      <c r="R11" s="21" t="str">
        <f aca="false">IF(OR(J11="",K11=""),"",J11*K11)</f>
        <v/>
      </c>
      <c r="S11" s="21" t="str">
        <f aca="false">IF(AND(ISNUMBER(J11),ISNUMBER(K11),F11&lt;&gt;"Calentamiento",F11&lt;&gt;"Bilbo"),IF(AND(K11&gt;0,K11&lt;=12),ROUND(J11*(1+(K11+IF(ISNUMBER(L11),L11,0))/30),1),""),"")</f>
        <v/>
      </c>
      <c r="T11" s="21" t="str">
        <f aca="false">IF(AND(F11="Bilbo",ISNUMBER(J11),ISNUMBER(K11)),ROUND(J11*(1+K11/30),1),"")</f>
        <v/>
      </c>
      <c r="W11" s="22"/>
      <c r="X11" s="21" t="str">
        <f aca="false">IF(AND(F11="Bilbo",E11&lt;&gt;"",G11&lt;&gt;"",H11&lt;&gt;""),E11&amp;"|"&amp;G11&amp;"|"&amp;H11,"")</f>
        <v/>
      </c>
      <c r="Y11" s="21" t="str">
        <f aca="false">IF(B11="","",IF(B11&lt;&gt;B10,1,0))</f>
        <v/>
      </c>
    </row>
    <row r="12" customFormat="false" ht="15" hidden="false" customHeight="true" outlineLevel="0" collapsed="false">
      <c r="A12" s="21" t="str">
        <f aca="false">IF(B12="","",ROW()-4)</f>
        <v/>
      </c>
      <c r="B12" s="22"/>
      <c r="C12" s="21" t="str">
        <f aca="false">IF(B12="","",CHOOSE(WEEKDAY(B12,2),"LUNES","MARTES","MIÉRCOLES","JUEVES","VIERNES","SÁBADO","DOMINGO"))</f>
        <v/>
      </c>
      <c r="M12" s="23"/>
      <c r="Q12" s="21" t="str">
        <f aca="false">IF(OR(K12="",N12=""),"",K12-N12)</f>
        <v/>
      </c>
      <c r="R12" s="21" t="str">
        <f aca="false">IF(OR(J12="",K12=""),"",J12*K12)</f>
        <v/>
      </c>
      <c r="S12" s="21" t="str">
        <f aca="false">IF(AND(ISNUMBER(J12),ISNUMBER(K12),F12&lt;&gt;"Calentamiento",F12&lt;&gt;"Bilbo"),IF(AND(K12&gt;0,K12&lt;=12),ROUND(J12*(1+(K12+IF(ISNUMBER(L12),L12,0))/30),1),""),"")</f>
        <v/>
      </c>
      <c r="T12" s="21" t="str">
        <f aca="false">IF(AND(F12="Bilbo",ISNUMBER(J12),ISNUMBER(K12)),ROUND(J12*(1+K12/30),1),"")</f>
        <v/>
      </c>
      <c r="W12" s="22"/>
      <c r="X12" s="21" t="str">
        <f aca="false">IF(AND(F12="Bilbo",E12&lt;&gt;"",G12&lt;&gt;"",H12&lt;&gt;""),E12&amp;"|"&amp;G12&amp;"|"&amp;H12,"")</f>
        <v/>
      </c>
      <c r="Y12" s="21" t="str">
        <f aca="false">IF(B12="","",IF(B12&lt;&gt;B11,1,0))</f>
        <v/>
      </c>
    </row>
    <row r="13" customFormat="false" ht="15" hidden="false" customHeight="true" outlineLevel="0" collapsed="false">
      <c r="A13" s="21" t="str">
        <f aca="false">IF(B13="","",ROW()-4)</f>
        <v/>
      </c>
      <c r="B13" s="22"/>
      <c r="C13" s="21" t="str">
        <f aca="false">IF(B13="","",CHOOSE(WEEKDAY(B13,2),"LUNES","MARTES","MIÉRCOLES","JUEVES","VIERNES","SÁBADO","DOMINGO"))</f>
        <v/>
      </c>
      <c r="M13" s="23"/>
      <c r="Q13" s="21" t="str">
        <f aca="false">IF(OR(K13="",N13=""),"",K13-N13)</f>
        <v/>
      </c>
      <c r="R13" s="21" t="str">
        <f aca="false">IF(OR(J13="",K13=""),"",J13*K13)</f>
        <v/>
      </c>
      <c r="S13" s="21" t="str">
        <f aca="false">IF(AND(ISNUMBER(J13),ISNUMBER(K13),F13&lt;&gt;"Calentamiento",F13&lt;&gt;"Bilbo"),IF(AND(K13&gt;0,K13&lt;=12),ROUND(J13*(1+(K13+IF(ISNUMBER(L13),L13,0))/30),1),""),"")</f>
        <v/>
      </c>
      <c r="T13" s="21" t="str">
        <f aca="false">IF(AND(F13="Bilbo",ISNUMBER(J13),ISNUMBER(K13)),ROUND(J13*(1+K13/30),1),"")</f>
        <v/>
      </c>
      <c r="W13" s="22"/>
      <c r="X13" s="21" t="str">
        <f aca="false">IF(AND(F13="Bilbo",E13&lt;&gt;"",G13&lt;&gt;"",H13&lt;&gt;""),E13&amp;"|"&amp;G13&amp;"|"&amp;H13,"")</f>
        <v/>
      </c>
      <c r="Y13" s="21" t="str">
        <f aca="false">IF(B13="","",IF(B13&lt;&gt;B12,1,0))</f>
        <v/>
      </c>
    </row>
    <row r="14" customFormat="false" ht="15" hidden="false" customHeight="true" outlineLevel="0" collapsed="false">
      <c r="A14" s="21" t="str">
        <f aca="false">IF(B14="","",ROW()-4)</f>
        <v/>
      </c>
      <c r="B14" s="22"/>
      <c r="C14" s="21" t="str">
        <f aca="false">IF(B14="","",CHOOSE(WEEKDAY(B14,2),"LUNES","MARTES","MIÉRCOLES","JUEVES","VIERNES","SÁBADO","DOMINGO"))</f>
        <v/>
      </c>
      <c r="M14" s="23"/>
      <c r="Q14" s="21" t="str">
        <f aca="false">IF(OR(K14="",N14=""),"",K14-N14)</f>
        <v/>
      </c>
      <c r="R14" s="21" t="str">
        <f aca="false">IF(OR(J14="",K14=""),"",J14*K14)</f>
        <v/>
      </c>
      <c r="S14" s="21" t="str">
        <f aca="false">IF(AND(ISNUMBER(J14),ISNUMBER(K14),F14&lt;&gt;"Calentamiento",F14&lt;&gt;"Bilbo"),IF(AND(K14&gt;0,K14&lt;=12),ROUND(J14*(1+(K14+IF(ISNUMBER(L14),L14,0))/30),1),""),"")</f>
        <v/>
      </c>
      <c r="T14" s="21" t="str">
        <f aca="false">IF(AND(F14="Bilbo",ISNUMBER(J14),ISNUMBER(K14)),ROUND(J14*(1+K14/30),1),"")</f>
        <v/>
      </c>
      <c r="W14" s="22"/>
      <c r="X14" s="21" t="str">
        <f aca="false">IF(AND(F14="Bilbo",E14&lt;&gt;"",G14&lt;&gt;"",H14&lt;&gt;""),E14&amp;"|"&amp;G14&amp;"|"&amp;H14,"")</f>
        <v/>
      </c>
      <c r="Y14" s="21" t="str">
        <f aca="false">IF(B14="","",IF(B14&lt;&gt;B13,1,0))</f>
        <v/>
      </c>
    </row>
    <row r="15" customFormat="false" ht="15" hidden="false" customHeight="true" outlineLevel="0" collapsed="false">
      <c r="A15" s="21" t="str">
        <f aca="false">IF(B15="","",ROW()-4)</f>
        <v/>
      </c>
      <c r="B15" s="22"/>
      <c r="C15" s="21" t="str">
        <f aca="false">IF(B15="","",CHOOSE(WEEKDAY(B15,2),"LUNES","MARTES","MIÉRCOLES","JUEVES","VIERNES","SÁBADO","DOMINGO"))</f>
        <v/>
      </c>
      <c r="M15" s="23"/>
      <c r="Q15" s="21" t="str">
        <f aca="false">IF(OR(K15="",N15=""),"",K15-N15)</f>
        <v/>
      </c>
      <c r="R15" s="21" t="str">
        <f aca="false">IF(OR(J15="",K15=""),"",J15*K15)</f>
        <v/>
      </c>
      <c r="S15" s="21" t="str">
        <f aca="false">IF(AND(ISNUMBER(J15),ISNUMBER(K15),F15&lt;&gt;"Calentamiento",F15&lt;&gt;"Bilbo"),IF(AND(K15&gt;0,K15&lt;=12),ROUND(J15*(1+(K15+IF(ISNUMBER(L15),L15,0))/30),1),""),"")</f>
        <v/>
      </c>
      <c r="T15" s="21" t="str">
        <f aca="false">IF(AND(F15="Bilbo",ISNUMBER(J15),ISNUMBER(K15)),ROUND(J15*(1+K15/30),1),"")</f>
        <v/>
      </c>
      <c r="W15" s="22"/>
      <c r="X15" s="21" t="str">
        <f aca="false">IF(AND(F15="Bilbo",E15&lt;&gt;"",G15&lt;&gt;"",H15&lt;&gt;""),E15&amp;"|"&amp;G15&amp;"|"&amp;H15,"")</f>
        <v/>
      </c>
      <c r="Y15" s="21" t="str">
        <f aca="false">IF(B15="","",IF(B15&lt;&gt;B14,1,0))</f>
        <v/>
      </c>
    </row>
    <row r="16" customFormat="false" ht="15" hidden="false" customHeight="true" outlineLevel="0" collapsed="false">
      <c r="A16" s="21" t="str">
        <f aca="false">IF(B16="","",ROW()-4)</f>
        <v/>
      </c>
      <c r="B16" s="22"/>
      <c r="C16" s="21" t="str">
        <f aca="false">IF(B16="","",CHOOSE(WEEKDAY(B16,2),"LUNES","MARTES","MIÉRCOLES","JUEVES","VIERNES","SÁBADO","DOMINGO"))</f>
        <v/>
      </c>
      <c r="M16" s="23"/>
      <c r="Q16" s="21" t="str">
        <f aca="false">IF(OR(K16="",N16=""),"",K16-N16)</f>
        <v/>
      </c>
      <c r="R16" s="21" t="str">
        <f aca="false">IF(OR(J16="",K16=""),"",J16*K16)</f>
        <v/>
      </c>
      <c r="S16" s="21" t="str">
        <f aca="false">IF(AND(ISNUMBER(J16),ISNUMBER(K16),F16&lt;&gt;"Calentamiento",F16&lt;&gt;"Bilbo"),IF(AND(K16&gt;0,K16&lt;=12),ROUND(J16*(1+(K16+IF(ISNUMBER(L16),L16,0))/30),1),""),"")</f>
        <v/>
      </c>
      <c r="T16" s="21" t="str">
        <f aca="false">IF(AND(F16="Bilbo",ISNUMBER(J16),ISNUMBER(K16)),ROUND(J16*(1+K16/30),1),"")</f>
        <v/>
      </c>
      <c r="W16" s="22"/>
      <c r="X16" s="21" t="str">
        <f aca="false">IF(AND(F16="Bilbo",E16&lt;&gt;"",G16&lt;&gt;"",H16&lt;&gt;""),E16&amp;"|"&amp;G16&amp;"|"&amp;H16,"")</f>
        <v/>
      </c>
      <c r="Y16" s="21" t="str">
        <f aca="false">IF(B16="","",IF(B16&lt;&gt;B15,1,0))</f>
        <v/>
      </c>
    </row>
    <row r="17" customFormat="false" ht="15" hidden="false" customHeight="true" outlineLevel="0" collapsed="false">
      <c r="A17" s="21" t="str">
        <f aca="false">IF(B17="","",ROW()-4)</f>
        <v/>
      </c>
      <c r="B17" s="22"/>
      <c r="C17" s="21" t="str">
        <f aca="false">IF(B17="","",CHOOSE(WEEKDAY(B17,2),"LUNES","MARTES","MIÉRCOLES","JUEVES","VIERNES","SÁBADO","DOMINGO"))</f>
        <v/>
      </c>
      <c r="M17" s="23"/>
      <c r="Q17" s="21" t="str">
        <f aca="false">IF(OR(K17="",N17=""),"",K17-N17)</f>
        <v/>
      </c>
      <c r="R17" s="21" t="str">
        <f aca="false">IF(OR(J17="",K17=""),"",J17*K17)</f>
        <v/>
      </c>
      <c r="S17" s="21" t="str">
        <f aca="false">IF(AND(ISNUMBER(J17),ISNUMBER(K17),F17&lt;&gt;"Calentamiento",F17&lt;&gt;"Bilbo"),IF(AND(K17&gt;0,K17&lt;=12),ROUND(J17*(1+(K17+IF(ISNUMBER(L17),L17,0))/30),1),""),"")</f>
        <v/>
      </c>
      <c r="T17" s="21" t="str">
        <f aca="false">IF(AND(F17="Bilbo",ISNUMBER(J17),ISNUMBER(K17)),ROUND(J17*(1+K17/30),1),"")</f>
        <v/>
      </c>
      <c r="W17" s="22"/>
      <c r="X17" s="21" t="str">
        <f aca="false">IF(AND(F17="Bilbo",E17&lt;&gt;"",G17&lt;&gt;"",H17&lt;&gt;""),E17&amp;"|"&amp;G17&amp;"|"&amp;H17,"")</f>
        <v/>
      </c>
      <c r="Y17" s="21" t="str">
        <f aca="false">IF(B17="","",IF(B17&lt;&gt;B16,1,0))</f>
        <v/>
      </c>
    </row>
    <row r="18" customFormat="false" ht="15" hidden="false" customHeight="true" outlineLevel="0" collapsed="false">
      <c r="A18" s="21" t="str">
        <f aca="false">IF(B18="","",ROW()-4)</f>
        <v/>
      </c>
      <c r="B18" s="22"/>
      <c r="C18" s="21" t="str">
        <f aca="false">IF(B18="","",CHOOSE(WEEKDAY(B18,2),"LUNES","MARTES","MIÉRCOLES","JUEVES","VIERNES","SÁBADO","DOMINGO"))</f>
        <v/>
      </c>
      <c r="M18" s="23"/>
      <c r="Q18" s="21" t="str">
        <f aca="false">IF(OR(K18="",N18=""),"",K18-N18)</f>
        <v/>
      </c>
      <c r="R18" s="21" t="str">
        <f aca="false">IF(OR(J18="",K18=""),"",J18*K18)</f>
        <v/>
      </c>
      <c r="S18" s="21" t="str">
        <f aca="false">IF(AND(ISNUMBER(J18),ISNUMBER(K18),F18&lt;&gt;"Calentamiento",F18&lt;&gt;"Bilbo"),IF(AND(K18&gt;0,K18&lt;=12),ROUND(J18*(1+(K18+IF(ISNUMBER(L18),L18,0))/30),1),""),"")</f>
        <v/>
      </c>
      <c r="T18" s="21" t="str">
        <f aca="false">IF(AND(F18="Bilbo",ISNUMBER(J18),ISNUMBER(K18)),ROUND(J18*(1+K18/30),1),"")</f>
        <v/>
      </c>
      <c r="W18" s="22"/>
      <c r="X18" s="21" t="str">
        <f aca="false">IF(AND(F18="Bilbo",E18&lt;&gt;"",G18&lt;&gt;"",H18&lt;&gt;""),E18&amp;"|"&amp;G18&amp;"|"&amp;H18,"")</f>
        <v/>
      </c>
      <c r="Y18" s="21" t="str">
        <f aca="false">IF(B18="","",IF(B18&lt;&gt;B17,1,0))</f>
        <v/>
      </c>
    </row>
    <row r="19" customFormat="false" ht="15" hidden="false" customHeight="true" outlineLevel="0" collapsed="false">
      <c r="A19" s="21" t="str">
        <f aca="false">IF(B19="","",ROW()-4)</f>
        <v/>
      </c>
      <c r="B19" s="22"/>
      <c r="C19" s="21" t="str">
        <f aca="false">IF(B19="","",CHOOSE(WEEKDAY(B19,2),"LUNES","MARTES","MIÉRCOLES","JUEVES","VIERNES","SÁBADO","DOMINGO"))</f>
        <v/>
      </c>
      <c r="M19" s="23"/>
      <c r="Q19" s="21" t="str">
        <f aca="false">IF(OR(K19="",N19=""),"",K19-N19)</f>
        <v/>
      </c>
      <c r="R19" s="21" t="str">
        <f aca="false">IF(OR(J19="",K19=""),"",J19*K19)</f>
        <v/>
      </c>
      <c r="S19" s="21" t="str">
        <f aca="false">IF(AND(ISNUMBER(J19),ISNUMBER(K19),F19&lt;&gt;"Calentamiento",F19&lt;&gt;"Bilbo"),IF(AND(K19&gt;0,K19&lt;=12),ROUND(J19*(1+(K19+IF(ISNUMBER(L19),L19,0))/30),1),""),"")</f>
        <v/>
      </c>
      <c r="T19" s="21" t="str">
        <f aca="false">IF(AND(F19="Bilbo",ISNUMBER(J19),ISNUMBER(K19)),ROUND(J19*(1+K19/30),1),"")</f>
        <v/>
      </c>
      <c r="W19" s="22"/>
      <c r="X19" s="21" t="str">
        <f aca="false">IF(AND(F19="Bilbo",E19&lt;&gt;"",G19&lt;&gt;"",H19&lt;&gt;""),E19&amp;"|"&amp;G19&amp;"|"&amp;H19,"")</f>
        <v/>
      </c>
      <c r="Y19" s="21" t="str">
        <f aca="false">IF(B19="","",IF(B19&lt;&gt;B18,1,0))</f>
        <v/>
      </c>
    </row>
    <row r="20" customFormat="false" ht="15" hidden="false" customHeight="true" outlineLevel="0" collapsed="false">
      <c r="A20" s="21" t="str">
        <f aca="false">IF(B20="","",ROW()-4)</f>
        <v/>
      </c>
      <c r="B20" s="22"/>
      <c r="C20" s="21" t="str">
        <f aca="false">IF(B20="","",CHOOSE(WEEKDAY(B20,2),"LUNES","MARTES","MIÉRCOLES","JUEVES","VIERNES","SÁBADO","DOMINGO"))</f>
        <v/>
      </c>
      <c r="M20" s="23"/>
      <c r="Q20" s="21" t="str">
        <f aca="false">IF(OR(K20="",N20=""),"",K20-N20)</f>
        <v/>
      </c>
      <c r="R20" s="21" t="str">
        <f aca="false">IF(OR(J20="",K20=""),"",J20*K20)</f>
        <v/>
      </c>
      <c r="S20" s="21" t="str">
        <f aca="false">IF(AND(ISNUMBER(J20),ISNUMBER(K20),F20&lt;&gt;"Calentamiento",F20&lt;&gt;"Bilbo"),IF(AND(K20&gt;0,K20&lt;=12),ROUND(J20*(1+(K20+IF(ISNUMBER(L20),L20,0))/30),1),""),"")</f>
        <v/>
      </c>
      <c r="T20" s="21" t="str">
        <f aca="false">IF(AND(F20="Bilbo",ISNUMBER(J20),ISNUMBER(K20)),ROUND(J20*(1+K20/30),1),"")</f>
        <v/>
      </c>
      <c r="W20" s="22"/>
      <c r="X20" s="21" t="str">
        <f aca="false">IF(AND(F20="Bilbo",E20&lt;&gt;"",G20&lt;&gt;"",H20&lt;&gt;""),E20&amp;"|"&amp;G20&amp;"|"&amp;H20,"")</f>
        <v/>
      </c>
      <c r="Y20" s="21" t="str">
        <f aca="false">IF(B20="","",IF(B20&lt;&gt;B19,1,0))</f>
        <v/>
      </c>
    </row>
    <row r="21" customFormat="false" ht="15" hidden="false" customHeight="true" outlineLevel="0" collapsed="false">
      <c r="A21" s="21" t="str">
        <f aca="false">IF(B21="","",ROW()-4)</f>
        <v/>
      </c>
      <c r="B21" s="22"/>
      <c r="C21" s="21" t="str">
        <f aca="false">IF(B21="","",CHOOSE(WEEKDAY(B21,2),"LUNES","MARTES","MIÉRCOLES","JUEVES","VIERNES","SÁBADO","DOMINGO"))</f>
        <v/>
      </c>
      <c r="M21" s="23"/>
      <c r="Q21" s="21" t="str">
        <f aca="false">IF(OR(K21="",N21=""),"",K21-N21)</f>
        <v/>
      </c>
      <c r="R21" s="21" t="str">
        <f aca="false">IF(OR(J21="",K21=""),"",J21*K21)</f>
        <v/>
      </c>
      <c r="S21" s="21" t="str">
        <f aca="false">IF(AND(ISNUMBER(J21),ISNUMBER(K21),F21&lt;&gt;"Calentamiento",F21&lt;&gt;"Bilbo"),IF(AND(K21&gt;0,K21&lt;=12),ROUND(J21*(1+(K21+IF(ISNUMBER(L21),L21,0))/30),1),""),"")</f>
        <v/>
      </c>
      <c r="T21" s="21" t="str">
        <f aca="false">IF(AND(F21="Bilbo",ISNUMBER(J21),ISNUMBER(K21)),ROUND(J21*(1+K21/30),1),"")</f>
        <v/>
      </c>
      <c r="W21" s="22"/>
      <c r="X21" s="21" t="str">
        <f aca="false">IF(AND(F21="Bilbo",E21&lt;&gt;"",G21&lt;&gt;"",H21&lt;&gt;""),E21&amp;"|"&amp;G21&amp;"|"&amp;H21,"")</f>
        <v/>
      </c>
      <c r="Y21" s="21" t="str">
        <f aca="false">IF(B21="","",IF(B21&lt;&gt;B20,1,0))</f>
        <v/>
      </c>
    </row>
    <row r="22" customFormat="false" ht="15" hidden="false" customHeight="true" outlineLevel="0" collapsed="false">
      <c r="A22" s="21" t="str">
        <f aca="false">IF(B22="","",ROW()-4)</f>
        <v/>
      </c>
      <c r="B22" s="22"/>
      <c r="C22" s="21" t="str">
        <f aca="false">IF(B22="","",CHOOSE(WEEKDAY(B22,2),"LUNES","MARTES","MIÉRCOLES","JUEVES","VIERNES","SÁBADO","DOMINGO"))</f>
        <v/>
      </c>
      <c r="M22" s="23"/>
      <c r="Q22" s="21" t="str">
        <f aca="false">IF(OR(K22="",N22=""),"",K22-N22)</f>
        <v/>
      </c>
      <c r="R22" s="21" t="str">
        <f aca="false">IF(OR(J22="",K22=""),"",J22*K22)</f>
        <v/>
      </c>
      <c r="S22" s="21" t="str">
        <f aca="false">IF(AND(ISNUMBER(J22),ISNUMBER(K22),F22&lt;&gt;"Calentamiento",F22&lt;&gt;"Bilbo"),IF(AND(K22&gt;0,K22&lt;=12),ROUND(J22*(1+(K22+IF(ISNUMBER(L22),L22,0))/30),1),""),"")</f>
        <v/>
      </c>
      <c r="T22" s="21" t="str">
        <f aca="false">IF(AND(F22="Bilbo",ISNUMBER(J22),ISNUMBER(K22)),ROUND(J22*(1+K22/30),1),"")</f>
        <v/>
      </c>
      <c r="W22" s="22"/>
      <c r="X22" s="21" t="str">
        <f aca="false">IF(AND(F22="Bilbo",E22&lt;&gt;"",G22&lt;&gt;"",H22&lt;&gt;""),E22&amp;"|"&amp;G22&amp;"|"&amp;H22,"")</f>
        <v/>
      </c>
      <c r="Y22" s="21" t="str">
        <f aca="false">IF(B22="","",IF(B22&lt;&gt;B21,1,0))</f>
        <v/>
      </c>
    </row>
    <row r="23" customFormat="false" ht="15" hidden="false" customHeight="true" outlineLevel="0" collapsed="false">
      <c r="A23" s="21" t="str">
        <f aca="false">IF(B23="","",ROW()-4)</f>
        <v/>
      </c>
      <c r="B23" s="22"/>
      <c r="C23" s="21" t="str">
        <f aca="false">IF(B23="","",CHOOSE(WEEKDAY(B23,2),"LUNES","MARTES","MIÉRCOLES","JUEVES","VIERNES","SÁBADO","DOMINGO"))</f>
        <v/>
      </c>
      <c r="M23" s="23"/>
      <c r="Q23" s="21" t="str">
        <f aca="false">IF(OR(K23="",N23=""),"",K23-N23)</f>
        <v/>
      </c>
      <c r="R23" s="21" t="str">
        <f aca="false">IF(OR(J23="",K23=""),"",J23*K23)</f>
        <v/>
      </c>
      <c r="S23" s="21" t="str">
        <f aca="false">IF(AND(ISNUMBER(J23),ISNUMBER(K23),F23&lt;&gt;"Calentamiento",F23&lt;&gt;"Bilbo"),IF(AND(K23&gt;0,K23&lt;=12),ROUND(J23*(1+(K23+IF(ISNUMBER(L23),L23,0))/30),1),""),"")</f>
        <v/>
      </c>
      <c r="T23" s="21" t="str">
        <f aca="false">IF(AND(F23="Bilbo",ISNUMBER(J23),ISNUMBER(K23)),ROUND(J23*(1+K23/30),1),"")</f>
        <v/>
      </c>
      <c r="W23" s="22"/>
      <c r="X23" s="21" t="str">
        <f aca="false">IF(AND(F23="Bilbo",E23&lt;&gt;"",G23&lt;&gt;"",H23&lt;&gt;""),E23&amp;"|"&amp;G23&amp;"|"&amp;H23,"")</f>
        <v/>
      </c>
      <c r="Y23" s="21" t="str">
        <f aca="false">IF(B23="","",IF(B23&lt;&gt;B22,1,0))</f>
        <v/>
      </c>
    </row>
    <row r="24" customFormat="false" ht="15" hidden="false" customHeight="true" outlineLevel="0" collapsed="false">
      <c r="A24" s="21" t="str">
        <f aca="false">IF(B24="","",ROW()-4)</f>
        <v/>
      </c>
      <c r="B24" s="22"/>
      <c r="C24" s="21" t="str">
        <f aca="false">IF(B24="","",CHOOSE(WEEKDAY(B24,2),"LUNES","MARTES","MIÉRCOLES","JUEVES","VIERNES","SÁBADO","DOMINGO"))</f>
        <v/>
      </c>
      <c r="M24" s="23"/>
      <c r="Q24" s="21" t="str">
        <f aca="false">IF(OR(K24="",N24=""),"",K24-N24)</f>
        <v/>
      </c>
      <c r="R24" s="21" t="str">
        <f aca="false">IF(OR(J24="",K24=""),"",J24*K24)</f>
        <v/>
      </c>
      <c r="S24" s="21" t="str">
        <f aca="false">IF(AND(ISNUMBER(J24),ISNUMBER(K24),F24&lt;&gt;"Calentamiento",F24&lt;&gt;"Bilbo"),IF(AND(K24&gt;0,K24&lt;=12),ROUND(J24*(1+(K24+IF(ISNUMBER(L24),L24,0))/30),1),""),"")</f>
        <v/>
      </c>
      <c r="T24" s="21" t="str">
        <f aca="false">IF(AND(F24="Bilbo",ISNUMBER(J24),ISNUMBER(K24)),ROUND(J24*(1+K24/30),1),"")</f>
        <v/>
      </c>
      <c r="W24" s="22"/>
      <c r="X24" s="21" t="str">
        <f aca="false">IF(AND(F24="Bilbo",E24&lt;&gt;"",G24&lt;&gt;"",H24&lt;&gt;""),E24&amp;"|"&amp;G24&amp;"|"&amp;H24,"")</f>
        <v/>
      </c>
      <c r="Y24" s="21" t="str">
        <f aca="false">IF(B24="","",IF(B24&lt;&gt;B23,1,0))</f>
        <v/>
      </c>
    </row>
    <row r="25" customFormat="false" ht="15" hidden="false" customHeight="true" outlineLevel="0" collapsed="false">
      <c r="A25" s="21" t="str">
        <f aca="false">IF(B25="","",ROW()-4)</f>
        <v/>
      </c>
      <c r="B25" s="22"/>
      <c r="C25" s="21" t="str">
        <f aca="false">IF(B25="","",CHOOSE(WEEKDAY(B25,2),"LUNES","MARTES","MIÉRCOLES","JUEVES","VIERNES","SÁBADO","DOMINGO"))</f>
        <v/>
      </c>
      <c r="M25" s="23"/>
      <c r="Q25" s="21" t="str">
        <f aca="false">IF(OR(K25="",N25=""),"",K25-N25)</f>
        <v/>
      </c>
      <c r="R25" s="21" t="str">
        <f aca="false">IF(OR(J25="",K25=""),"",J25*K25)</f>
        <v/>
      </c>
      <c r="S25" s="21" t="str">
        <f aca="false">IF(AND(ISNUMBER(J25),ISNUMBER(K25),F25&lt;&gt;"Calentamiento",F25&lt;&gt;"Bilbo"),IF(AND(K25&gt;0,K25&lt;=12),ROUND(J25*(1+(K25+IF(ISNUMBER(L25),L25,0))/30),1),""),"")</f>
        <v/>
      </c>
      <c r="T25" s="21" t="str">
        <f aca="false">IF(AND(F25="Bilbo",ISNUMBER(J25),ISNUMBER(K25)),ROUND(J25*(1+K25/30),1),"")</f>
        <v/>
      </c>
      <c r="W25" s="22"/>
      <c r="X25" s="21" t="str">
        <f aca="false">IF(AND(F25="Bilbo",E25&lt;&gt;"",G25&lt;&gt;"",H25&lt;&gt;""),E25&amp;"|"&amp;G25&amp;"|"&amp;H25,"")</f>
        <v/>
      </c>
      <c r="Y25" s="21" t="str">
        <f aca="false">IF(B25="","",IF(B25&lt;&gt;B24,1,0))</f>
        <v/>
      </c>
    </row>
    <row r="26" customFormat="false" ht="15" hidden="false" customHeight="true" outlineLevel="0" collapsed="false">
      <c r="A26" s="21" t="str">
        <f aca="false">IF(B26="","",ROW()-4)</f>
        <v/>
      </c>
      <c r="B26" s="22"/>
      <c r="C26" s="21" t="str">
        <f aca="false">IF(B26="","",CHOOSE(WEEKDAY(B26,2),"LUNES","MARTES","MIÉRCOLES","JUEVES","VIERNES","SÁBADO","DOMINGO"))</f>
        <v/>
      </c>
      <c r="M26" s="23"/>
      <c r="Q26" s="21" t="str">
        <f aca="false">IF(OR(K26="",N26=""),"",K26-N26)</f>
        <v/>
      </c>
      <c r="R26" s="21" t="str">
        <f aca="false">IF(OR(J26="",K26=""),"",J26*K26)</f>
        <v/>
      </c>
      <c r="S26" s="21" t="str">
        <f aca="false">IF(AND(ISNUMBER(J26),ISNUMBER(K26),F26&lt;&gt;"Calentamiento",F26&lt;&gt;"Bilbo"),IF(AND(K26&gt;0,K26&lt;=12),ROUND(J26*(1+(K26+IF(ISNUMBER(L26),L26,0))/30),1),""),"")</f>
        <v/>
      </c>
      <c r="T26" s="21" t="str">
        <f aca="false">IF(AND(F26="Bilbo",ISNUMBER(J26),ISNUMBER(K26)),ROUND(J26*(1+K26/30),1),"")</f>
        <v/>
      </c>
      <c r="W26" s="22"/>
      <c r="X26" s="21" t="str">
        <f aca="false">IF(AND(F26="Bilbo",E26&lt;&gt;"",G26&lt;&gt;"",H26&lt;&gt;""),E26&amp;"|"&amp;G26&amp;"|"&amp;H26,"")</f>
        <v/>
      </c>
      <c r="Y26" s="21" t="str">
        <f aca="false">IF(B26="","",IF(B26&lt;&gt;B25,1,0))</f>
        <v/>
      </c>
    </row>
    <row r="27" customFormat="false" ht="15" hidden="false" customHeight="true" outlineLevel="0" collapsed="false">
      <c r="A27" s="21" t="str">
        <f aca="false">IF(B27="","",ROW()-4)</f>
        <v/>
      </c>
      <c r="B27" s="22"/>
      <c r="C27" s="21" t="str">
        <f aca="false">IF(B27="","",CHOOSE(WEEKDAY(B27,2),"LUNES","MARTES","MIÉRCOLES","JUEVES","VIERNES","SÁBADO","DOMINGO"))</f>
        <v/>
      </c>
      <c r="M27" s="23"/>
      <c r="Q27" s="21" t="str">
        <f aca="false">IF(OR(K27="",N27=""),"",K27-N27)</f>
        <v/>
      </c>
      <c r="R27" s="21" t="str">
        <f aca="false">IF(OR(J27="",K27=""),"",J27*K27)</f>
        <v/>
      </c>
      <c r="S27" s="21" t="str">
        <f aca="false">IF(AND(ISNUMBER(J27),ISNUMBER(K27),F27&lt;&gt;"Calentamiento",F27&lt;&gt;"Bilbo"),IF(AND(K27&gt;0,K27&lt;=12),ROUND(J27*(1+(K27+IF(ISNUMBER(L27),L27,0))/30),1),""),"")</f>
        <v/>
      </c>
      <c r="T27" s="21" t="str">
        <f aca="false">IF(AND(F27="Bilbo",ISNUMBER(J27),ISNUMBER(K27)),ROUND(J27*(1+K27/30),1),"")</f>
        <v/>
      </c>
      <c r="W27" s="22"/>
      <c r="X27" s="21" t="str">
        <f aca="false">IF(AND(F27="Bilbo",E27&lt;&gt;"",G27&lt;&gt;"",H27&lt;&gt;""),E27&amp;"|"&amp;G27&amp;"|"&amp;H27,"")</f>
        <v/>
      </c>
      <c r="Y27" s="21" t="str">
        <f aca="false">IF(B27="","",IF(B27&lt;&gt;B26,1,0))</f>
        <v/>
      </c>
    </row>
    <row r="28" customFormat="false" ht="15" hidden="false" customHeight="true" outlineLevel="0" collapsed="false">
      <c r="A28" s="21" t="str">
        <f aca="false">IF(B28="","",ROW()-4)</f>
        <v/>
      </c>
      <c r="B28" s="22"/>
      <c r="C28" s="21" t="str">
        <f aca="false">IF(B28="","",CHOOSE(WEEKDAY(B28,2),"LUNES","MARTES","MIÉRCOLES","JUEVES","VIERNES","SÁBADO","DOMINGO"))</f>
        <v/>
      </c>
      <c r="M28" s="23"/>
      <c r="Q28" s="21" t="str">
        <f aca="false">IF(OR(K28="",N28=""),"",K28-N28)</f>
        <v/>
      </c>
      <c r="R28" s="21" t="str">
        <f aca="false">IF(OR(J28="",K28=""),"",J28*K28)</f>
        <v/>
      </c>
      <c r="S28" s="21" t="str">
        <f aca="false">IF(AND(ISNUMBER(J28),ISNUMBER(K28),F28&lt;&gt;"Calentamiento",F28&lt;&gt;"Bilbo"),IF(AND(K28&gt;0,K28&lt;=12),ROUND(J28*(1+(K28+IF(ISNUMBER(L28),L28,0))/30),1),""),"")</f>
        <v/>
      </c>
      <c r="T28" s="21" t="str">
        <f aca="false">IF(AND(F28="Bilbo",ISNUMBER(J28),ISNUMBER(K28)),ROUND(J28*(1+K28/30),1),"")</f>
        <v/>
      </c>
      <c r="W28" s="22"/>
      <c r="X28" s="21" t="str">
        <f aca="false">IF(AND(F28="Bilbo",E28&lt;&gt;"",G28&lt;&gt;"",H28&lt;&gt;""),E28&amp;"|"&amp;G28&amp;"|"&amp;H28,"")</f>
        <v/>
      </c>
      <c r="Y28" s="21" t="str">
        <f aca="false">IF(B28="","",IF(B28&lt;&gt;B27,1,0))</f>
        <v/>
      </c>
    </row>
    <row r="29" customFormat="false" ht="15" hidden="false" customHeight="true" outlineLevel="0" collapsed="false">
      <c r="A29" s="21" t="str">
        <f aca="false">IF(B29="","",ROW()-4)</f>
        <v/>
      </c>
      <c r="B29" s="22"/>
      <c r="C29" s="21" t="str">
        <f aca="false">IF(B29="","",CHOOSE(WEEKDAY(B29,2),"LUNES","MARTES","MIÉRCOLES","JUEVES","VIERNES","SÁBADO","DOMINGO"))</f>
        <v/>
      </c>
      <c r="M29" s="23"/>
      <c r="Q29" s="21" t="str">
        <f aca="false">IF(OR(K29="",N29=""),"",K29-N29)</f>
        <v/>
      </c>
      <c r="R29" s="21" t="str">
        <f aca="false">IF(OR(J29="",K29=""),"",J29*K29)</f>
        <v/>
      </c>
      <c r="S29" s="21" t="str">
        <f aca="false">IF(AND(ISNUMBER(J29),ISNUMBER(K29),F29&lt;&gt;"Calentamiento",F29&lt;&gt;"Bilbo"),IF(AND(K29&gt;0,K29&lt;=12),ROUND(J29*(1+(K29+IF(ISNUMBER(L29),L29,0))/30),1),""),"")</f>
        <v/>
      </c>
      <c r="T29" s="21" t="str">
        <f aca="false">IF(AND(F29="Bilbo",ISNUMBER(J29),ISNUMBER(K29)),ROUND(J29*(1+K29/30),1),"")</f>
        <v/>
      </c>
      <c r="W29" s="22"/>
      <c r="X29" s="21" t="str">
        <f aca="false">IF(AND(F29="Bilbo",E29&lt;&gt;"",G29&lt;&gt;"",H29&lt;&gt;""),E29&amp;"|"&amp;G29&amp;"|"&amp;H29,"")</f>
        <v/>
      </c>
      <c r="Y29" s="21" t="str">
        <f aca="false">IF(B29="","",IF(B29&lt;&gt;B28,1,0))</f>
        <v/>
      </c>
    </row>
    <row r="30" customFormat="false" ht="15" hidden="false" customHeight="true" outlineLevel="0" collapsed="false">
      <c r="A30" s="21" t="str">
        <f aca="false">IF(B30="","",ROW()-4)</f>
        <v/>
      </c>
      <c r="B30" s="22"/>
      <c r="C30" s="21" t="str">
        <f aca="false">IF(B30="","",CHOOSE(WEEKDAY(B30,2),"LUNES","MARTES","MIÉRCOLES","JUEVES","VIERNES","SÁBADO","DOMINGO"))</f>
        <v/>
      </c>
      <c r="M30" s="23"/>
      <c r="Q30" s="21" t="str">
        <f aca="false">IF(OR(K30="",N30=""),"",K30-N30)</f>
        <v/>
      </c>
      <c r="R30" s="21" t="str">
        <f aca="false">IF(OR(J30="",K30=""),"",J30*K30)</f>
        <v/>
      </c>
      <c r="S30" s="21" t="str">
        <f aca="false">IF(AND(ISNUMBER(J30),ISNUMBER(K30),F30&lt;&gt;"Calentamiento",F30&lt;&gt;"Bilbo"),IF(AND(K30&gt;0,K30&lt;=12),ROUND(J30*(1+(K30+IF(ISNUMBER(L30),L30,0))/30),1),""),"")</f>
        <v/>
      </c>
      <c r="T30" s="21" t="str">
        <f aca="false">IF(AND(F30="Bilbo",ISNUMBER(J30),ISNUMBER(K30)),ROUND(J30*(1+K30/30),1),"")</f>
        <v/>
      </c>
      <c r="W30" s="22"/>
      <c r="X30" s="21" t="str">
        <f aca="false">IF(AND(F30="Bilbo",E30&lt;&gt;"",G30&lt;&gt;"",H30&lt;&gt;""),E30&amp;"|"&amp;G30&amp;"|"&amp;H30,"")</f>
        <v/>
      </c>
      <c r="Y30" s="21" t="str">
        <f aca="false">IF(B30="","",IF(B30&lt;&gt;B29,1,0))</f>
        <v/>
      </c>
    </row>
    <row r="31" customFormat="false" ht="15" hidden="false" customHeight="true" outlineLevel="0" collapsed="false">
      <c r="A31" s="21" t="str">
        <f aca="false">IF(B31="","",ROW()-4)</f>
        <v/>
      </c>
      <c r="B31" s="22"/>
      <c r="C31" s="21" t="str">
        <f aca="false">IF(B31="","",CHOOSE(WEEKDAY(B31,2),"LUNES","MARTES","MIÉRCOLES","JUEVES","VIERNES","SÁBADO","DOMINGO"))</f>
        <v/>
      </c>
      <c r="M31" s="23"/>
      <c r="Q31" s="21" t="str">
        <f aca="false">IF(OR(K31="",N31=""),"",K31-N31)</f>
        <v/>
      </c>
      <c r="R31" s="21" t="str">
        <f aca="false">IF(OR(J31="",K31=""),"",J31*K31)</f>
        <v/>
      </c>
      <c r="S31" s="21" t="str">
        <f aca="false">IF(AND(ISNUMBER(J31),ISNUMBER(K31),F31&lt;&gt;"Calentamiento",F31&lt;&gt;"Bilbo"),IF(AND(K31&gt;0,K31&lt;=12),ROUND(J31*(1+(K31+IF(ISNUMBER(L31),L31,0))/30),1),""),"")</f>
        <v/>
      </c>
      <c r="T31" s="21" t="str">
        <f aca="false">IF(AND(F31="Bilbo",ISNUMBER(J31),ISNUMBER(K31)),ROUND(J31*(1+K31/30),1),"")</f>
        <v/>
      </c>
      <c r="W31" s="22"/>
      <c r="X31" s="21" t="str">
        <f aca="false">IF(AND(F31="Bilbo",E31&lt;&gt;"",G31&lt;&gt;"",H31&lt;&gt;""),E31&amp;"|"&amp;G31&amp;"|"&amp;H31,"")</f>
        <v/>
      </c>
      <c r="Y31" s="21" t="str">
        <f aca="false">IF(B31="","",IF(B31&lt;&gt;B30,1,0))</f>
        <v/>
      </c>
    </row>
    <row r="32" customFormat="false" ht="15" hidden="false" customHeight="true" outlineLevel="0" collapsed="false">
      <c r="A32" s="21" t="str">
        <f aca="false">IF(B32="","",ROW()-4)</f>
        <v/>
      </c>
      <c r="B32" s="22"/>
      <c r="C32" s="21" t="str">
        <f aca="false">IF(B32="","",CHOOSE(WEEKDAY(B32,2),"LUNES","MARTES","MIÉRCOLES","JUEVES","VIERNES","SÁBADO","DOMINGO"))</f>
        <v/>
      </c>
      <c r="M32" s="23"/>
      <c r="Q32" s="21" t="str">
        <f aca="false">IF(OR(K32="",N32=""),"",K32-N32)</f>
        <v/>
      </c>
      <c r="R32" s="21" t="str">
        <f aca="false">IF(OR(J32="",K32=""),"",J32*K32)</f>
        <v/>
      </c>
      <c r="S32" s="21" t="str">
        <f aca="false">IF(AND(ISNUMBER(J32),ISNUMBER(K32),F32&lt;&gt;"Calentamiento",F32&lt;&gt;"Bilbo"),IF(AND(K32&gt;0,K32&lt;=12),ROUND(J32*(1+(K32+IF(ISNUMBER(L32),L32,0))/30),1),""),"")</f>
        <v/>
      </c>
      <c r="T32" s="21" t="str">
        <f aca="false">IF(AND(F32="Bilbo",ISNUMBER(J32),ISNUMBER(K32)),ROUND(J32*(1+K32/30),1),"")</f>
        <v/>
      </c>
      <c r="W32" s="22"/>
      <c r="X32" s="21" t="str">
        <f aca="false">IF(AND(F32="Bilbo",E32&lt;&gt;"",G32&lt;&gt;"",H32&lt;&gt;""),E32&amp;"|"&amp;G32&amp;"|"&amp;H32,"")</f>
        <v/>
      </c>
      <c r="Y32" s="21" t="str">
        <f aca="false">IF(B32="","",IF(B32&lt;&gt;B31,1,0))</f>
        <v/>
      </c>
    </row>
    <row r="33" customFormat="false" ht="15" hidden="false" customHeight="true" outlineLevel="0" collapsed="false">
      <c r="A33" s="21" t="str">
        <f aca="false">IF(B33="","",ROW()-4)</f>
        <v/>
      </c>
      <c r="B33" s="22"/>
      <c r="C33" s="21" t="str">
        <f aca="false">IF(B33="","",CHOOSE(WEEKDAY(B33,2),"LUNES","MARTES","MIÉRCOLES","JUEVES","VIERNES","SÁBADO","DOMINGO"))</f>
        <v/>
      </c>
      <c r="M33" s="23"/>
      <c r="Q33" s="21" t="str">
        <f aca="false">IF(OR(K33="",N33=""),"",K33-N33)</f>
        <v/>
      </c>
      <c r="R33" s="21" t="str">
        <f aca="false">IF(OR(J33="",K33=""),"",J33*K33)</f>
        <v/>
      </c>
      <c r="S33" s="21" t="str">
        <f aca="false">IF(AND(ISNUMBER(J33),ISNUMBER(K33),F33&lt;&gt;"Calentamiento",F33&lt;&gt;"Bilbo"),IF(AND(K33&gt;0,K33&lt;=12),ROUND(J33*(1+(K33+IF(ISNUMBER(L33),L33,0))/30),1),""),"")</f>
        <v/>
      </c>
      <c r="T33" s="21" t="str">
        <f aca="false">IF(AND(F33="Bilbo",ISNUMBER(J33),ISNUMBER(K33)),ROUND(J33*(1+K33/30),1),"")</f>
        <v/>
      </c>
      <c r="W33" s="22"/>
      <c r="X33" s="21" t="str">
        <f aca="false">IF(AND(F33="Bilbo",E33&lt;&gt;"",G33&lt;&gt;"",H33&lt;&gt;""),E33&amp;"|"&amp;G33&amp;"|"&amp;H33,"")</f>
        <v/>
      </c>
      <c r="Y33" s="21" t="str">
        <f aca="false">IF(B33="","",IF(B33&lt;&gt;B32,1,0))</f>
        <v/>
      </c>
    </row>
    <row r="34" customFormat="false" ht="15" hidden="false" customHeight="true" outlineLevel="0" collapsed="false">
      <c r="A34" s="21" t="str">
        <f aca="false">IF(B34="","",ROW()-4)</f>
        <v/>
      </c>
      <c r="B34" s="22"/>
      <c r="C34" s="21" t="str">
        <f aca="false">IF(B34="","",CHOOSE(WEEKDAY(B34,2),"LUNES","MARTES","MIÉRCOLES","JUEVES","VIERNES","SÁBADO","DOMINGO"))</f>
        <v/>
      </c>
      <c r="M34" s="23"/>
      <c r="Q34" s="21" t="str">
        <f aca="false">IF(OR(K34="",N34=""),"",K34-N34)</f>
        <v/>
      </c>
      <c r="R34" s="21" t="str">
        <f aca="false">IF(OR(J34="",K34=""),"",J34*K34)</f>
        <v/>
      </c>
      <c r="S34" s="21" t="str">
        <f aca="false">IF(AND(ISNUMBER(J34),ISNUMBER(K34),F34&lt;&gt;"Calentamiento",F34&lt;&gt;"Bilbo"),IF(AND(K34&gt;0,K34&lt;=12),ROUND(J34*(1+(K34+IF(ISNUMBER(L34),L34,0))/30),1),""),"")</f>
        <v/>
      </c>
      <c r="T34" s="21" t="str">
        <f aca="false">IF(AND(F34="Bilbo",ISNUMBER(J34),ISNUMBER(K34)),ROUND(J34*(1+K34/30),1),"")</f>
        <v/>
      </c>
      <c r="W34" s="22"/>
      <c r="X34" s="21" t="str">
        <f aca="false">IF(AND(F34="Bilbo",E34&lt;&gt;"",G34&lt;&gt;"",H34&lt;&gt;""),E34&amp;"|"&amp;G34&amp;"|"&amp;H34,"")</f>
        <v/>
      </c>
      <c r="Y34" s="21" t="str">
        <f aca="false">IF(B34="","",IF(B34&lt;&gt;B33,1,0))</f>
        <v/>
      </c>
    </row>
    <row r="35" customFormat="false" ht="15" hidden="false" customHeight="true" outlineLevel="0" collapsed="false">
      <c r="A35" s="21" t="str">
        <f aca="false">IF(B35="","",ROW()-4)</f>
        <v/>
      </c>
      <c r="B35" s="22"/>
      <c r="C35" s="21" t="str">
        <f aca="false">IF(B35="","",CHOOSE(WEEKDAY(B35,2),"LUNES","MARTES","MIÉRCOLES","JUEVES","VIERNES","SÁBADO","DOMINGO"))</f>
        <v/>
      </c>
      <c r="M35" s="23"/>
      <c r="Q35" s="21" t="str">
        <f aca="false">IF(OR(K35="",N35=""),"",K35-N35)</f>
        <v/>
      </c>
      <c r="R35" s="21" t="str">
        <f aca="false">IF(OR(J35="",K35=""),"",J35*K35)</f>
        <v/>
      </c>
      <c r="S35" s="21" t="str">
        <f aca="false">IF(AND(ISNUMBER(J35),ISNUMBER(K35),F35&lt;&gt;"Calentamiento",F35&lt;&gt;"Bilbo"),IF(AND(K35&gt;0,K35&lt;=12),ROUND(J35*(1+(K35+IF(ISNUMBER(L35),L35,0))/30),1),""),"")</f>
        <v/>
      </c>
      <c r="T35" s="21" t="str">
        <f aca="false">IF(AND(F35="Bilbo",ISNUMBER(J35),ISNUMBER(K35)),ROUND(J35*(1+K35/30),1),"")</f>
        <v/>
      </c>
      <c r="W35" s="22"/>
      <c r="X35" s="21" t="str">
        <f aca="false">IF(AND(F35="Bilbo",E35&lt;&gt;"",G35&lt;&gt;"",H35&lt;&gt;""),E35&amp;"|"&amp;G35&amp;"|"&amp;H35,"")</f>
        <v/>
      </c>
      <c r="Y35" s="21" t="str">
        <f aca="false">IF(B35="","",IF(B35&lt;&gt;B34,1,0))</f>
        <v/>
      </c>
    </row>
    <row r="36" customFormat="false" ht="15" hidden="false" customHeight="true" outlineLevel="0" collapsed="false">
      <c r="A36" s="21" t="str">
        <f aca="false">IF(B36="","",ROW()-4)</f>
        <v/>
      </c>
      <c r="B36" s="22"/>
      <c r="C36" s="21" t="str">
        <f aca="false">IF(B36="","",CHOOSE(WEEKDAY(B36,2),"LUNES","MARTES","MIÉRCOLES","JUEVES","VIERNES","SÁBADO","DOMINGO"))</f>
        <v/>
      </c>
      <c r="M36" s="23"/>
      <c r="Q36" s="21" t="str">
        <f aca="false">IF(OR(K36="",N36=""),"",K36-N36)</f>
        <v/>
      </c>
      <c r="R36" s="21" t="str">
        <f aca="false">IF(OR(J36="",K36=""),"",J36*K36)</f>
        <v/>
      </c>
      <c r="S36" s="21" t="str">
        <f aca="false">IF(AND(ISNUMBER(J36),ISNUMBER(K36),F36&lt;&gt;"Calentamiento",F36&lt;&gt;"Bilbo"),IF(AND(K36&gt;0,K36&lt;=12),ROUND(J36*(1+(K36+IF(ISNUMBER(L36),L36,0))/30),1),""),"")</f>
        <v/>
      </c>
      <c r="T36" s="21" t="str">
        <f aca="false">IF(AND(F36="Bilbo",ISNUMBER(J36),ISNUMBER(K36)),ROUND(J36*(1+K36/30),1),"")</f>
        <v/>
      </c>
      <c r="W36" s="22"/>
      <c r="X36" s="21" t="str">
        <f aca="false">IF(AND(F36="Bilbo",E36&lt;&gt;"",G36&lt;&gt;"",H36&lt;&gt;""),E36&amp;"|"&amp;G36&amp;"|"&amp;H36,"")</f>
        <v/>
      </c>
      <c r="Y36" s="21" t="str">
        <f aca="false">IF(B36="","",IF(B36&lt;&gt;B35,1,0))</f>
        <v/>
      </c>
    </row>
    <row r="37" customFormat="false" ht="15" hidden="false" customHeight="true" outlineLevel="0" collapsed="false">
      <c r="A37" s="21" t="str">
        <f aca="false">IF(B37="","",ROW()-4)</f>
        <v/>
      </c>
      <c r="B37" s="22"/>
      <c r="C37" s="21" t="str">
        <f aca="false">IF(B37="","",CHOOSE(WEEKDAY(B37,2),"LUNES","MARTES","MIÉRCOLES","JUEVES","VIERNES","SÁBADO","DOMINGO"))</f>
        <v/>
      </c>
      <c r="M37" s="23"/>
      <c r="Q37" s="21" t="str">
        <f aca="false">IF(OR(K37="",N37=""),"",K37-N37)</f>
        <v/>
      </c>
      <c r="R37" s="21" t="str">
        <f aca="false">IF(OR(J37="",K37=""),"",J37*K37)</f>
        <v/>
      </c>
      <c r="S37" s="21" t="str">
        <f aca="false">IF(AND(ISNUMBER(J37),ISNUMBER(K37),F37&lt;&gt;"Calentamiento",F37&lt;&gt;"Bilbo"),IF(AND(K37&gt;0,K37&lt;=12),ROUND(J37*(1+(K37+IF(ISNUMBER(L37),L37,0))/30),1),""),"")</f>
        <v/>
      </c>
      <c r="T37" s="21" t="str">
        <f aca="false">IF(AND(F37="Bilbo",ISNUMBER(J37),ISNUMBER(K37)),ROUND(J37*(1+K37/30),1),"")</f>
        <v/>
      </c>
      <c r="W37" s="22"/>
      <c r="X37" s="21" t="str">
        <f aca="false">IF(AND(F37="Bilbo",E37&lt;&gt;"",G37&lt;&gt;"",H37&lt;&gt;""),E37&amp;"|"&amp;G37&amp;"|"&amp;H37,"")</f>
        <v/>
      </c>
      <c r="Y37" s="21" t="str">
        <f aca="false">IF(B37="","",IF(B37&lt;&gt;B36,1,0))</f>
        <v/>
      </c>
    </row>
    <row r="38" customFormat="false" ht="15" hidden="false" customHeight="true" outlineLevel="0" collapsed="false">
      <c r="A38" s="21" t="str">
        <f aca="false">IF(B38="","",ROW()-4)</f>
        <v/>
      </c>
      <c r="B38" s="22"/>
      <c r="C38" s="21" t="str">
        <f aca="false">IF(B38="","",CHOOSE(WEEKDAY(B38,2),"LUNES","MARTES","MIÉRCOLES","JUEVES","VIERNES","SÁBADO","DOMINGO"))</f>
        <v/>
      </c>
      <c r="M38" s="23"/>
      <c r="Q38" s="21" t="str">
        <f aca="false">IF(OR(K38="",N38=""),"",K38-N38)</f>
        <v/>
      </c>
      <c r="R38" s="21" t="str">
        <f aca="false">IF(OR(J38="",K38=""),"",J38*K38)</f>
        <v/>
      </c>
      <c r="S38" s="21" t="str">
        <f aca="false">IF(AND(ISNUMBER(J38),ISNUMBER(K38),F38&lt;&gt;"Calentamiento",F38&lt;&gt;"Bilbo"),IF(AND(K38&gt;0,K38&lt;=12),ROUND(J38*(1+(K38+IF(ISNUMBER(L38),L38,0))/30),1),""),"")</f>
        <v/>
      </c>
      <c r="T38" s="21" t="str">
        <f aca="false">IF(AND(F38="Bilbo",ISNUMBER(J38),ISNUMBER(K38)),ROUND(J38*(1+K38/30),1),"")</f>
        <v/>
      </c>
      <c r="W38" s="22"/>
      <c r="X38" s="21" t="str">
        <f aca="false">IF(AND(F38="Bilbo",E38&lt;&gt;"",G38&lt;&gt;"",H38&lt;&gt;""),E38&amp;"|"&amp;G38&amp;"|"&amp;H38,"")</f>
        <v/>
      </c>
      <c r="Y38" s="21" t="str">
        <f aca="false">IF(B38="","",IF(B38&lt;&gt;B37,1,0))</f>
        <v/>
      </c>
    </row>
    <row r="39" customFormat="false" ht="15" hidden="false" customHeight="true" outlineLevel="0" collapsed="false">
      <c r="A39" s="21" t="str">
        <f aca="false">IF(B39="","",ROW()-4)</f>
        <v/>
      </c>
      <c r="B39" s="22"/>
      <c r="C39" s="21" t="str">
        <f aca="false">IF(B39="","",CHOOSE(WEEKDAY(B39,2),"LUNES","MARTES","MIÉRCOLES","JUEVES","VIERNES","SÁBADO","DOMINGO"))</f>
        <v/>
      </c>
      <c r="M39" s="23"/>
      <c r="Q39" s="21" t="str">
        <f aca="false">IF(OR(K39="",N39=""),"",K39-N39)</f>
        <v/>
      </c>
      <c r="R39" s="21" t="str">
        <f aca="false">IF(OR(J39="",K39=""),"",J39*K39)</f>
        <v/>
      </c>
      <c r="S39" s="21" t="str">
        <f aca="false">IF(AND(ISNUMBER(J39),ISNUMBER(K39),F39&lt;&gt;"Calentamiento",F39&lt;&gt;"Bilbo"),IF(AND(K39&gt;0,K39&lt;=12),ROUND(J39*(1+(K39+IF(ISNUMBER(L39),L39,0))/30),1),""),"")</f>
        <v/>
      </c>
      <c r="T39" s="21" t="str">
        <f aca="false">IF(AND(F39="Bilbo",ISNUMBER(J39),ISNUMBER(K39)),ROUND(J39*(1+K39/30),1),"")</f>
        <v/>
      </c>
      <c r="W39" s="22"/>
      <c r="X39" s="21" t="str">
        <f aca="false">IF(AND(F39="Bilbo",E39&lt;&gt;"",G39&lt;&gt;"",H39&lt;&gt;""),E39&amp;"|"&amp;G39&amp;"|"&amp;H39,"")</f>
        <v/>
      </c>
      <c r="Y39" s="21" t="str">
        <f aca="false">IF(B39="","",IF(B39&lt;&gt;B38,1,0))</f>
        <v/>
      </c>
    </row>
    <row r="40" customFormat="false" ht="15" hidden="false" customHeight="true" outlineLevel="0" collapsed="false">
      <c r="A40" s="21" t="str">
        <f aca="false">IF(B40="","",ROW()-4)</f>
        <v/>
      </c>
      <c r="B40" s="22"/>
      <c r="C40" s="21" t="str">
        <f aca="false">IF(B40="","",CHOOSE(WEEKDAY(B40,2),"LUNES","MARTES","MIÉRCOLES","JUEVES","VIERNES","SÁBADO","DOMINGO"))</f>
        <v/>
      </c>
      <c r="M40" s="23"/>
      <c r="Q40" s="21" t="str">
        <f aca="false">IF(OR(K40="",N40=""),"",K40-N40)</f>
        <v/>
      </c>
      <c r="R40" s="21" t="str">
        <f aca="false">IF(OR(J40="",K40=""),"",J40*K40)</f>
        <v/>
      </c>
      <c r="S40" s="21" t="str">
        <f aca="false">IF(AND(ISNUMBER(J40),ISNUMBER(K40),F40&lt;&gt;"Calentamiento",F40&lt;&gt;"Bilbo"),IF(AND(K40&gt;0,K40&lt;=12),ROUND(J40*(1+(K40+IF(ISNUMBER(L40),L40,0))/30),1),""),"")</f>
        <v/>
      </c>
      <c r="T40" s="21" t="str">
        <f aca="false">IF(AND(F40="Bilbo",ISNUMBER(J40),ISNUMBER(K40)),ROUND(J40*(1+K40/30),1),"")</f>
        <v/>
      </c>
      <c r="W40" s="22"/>
      <c r="X40" s="21" t="str">
        <f aca="false">IF(AND(F40="Bilbo",E40&lt;&gt;"",G40&lt;&gt;"",H40&lt;&gt;""),E40&amp;"|"&amp;G40&amp;"|"&amp;H40,"")</f>
        <v/>
      </c>
      <c r="Y40" s="21" t="str">
        <f aca="false">IF(B40="","",IF(B40&lt;&gt;B39,1,0))</f>
        <v/>
      </c>
    </row>
    <row r="41" customFormat="false" ht="15" hidden="false" customHeight="true" outlineLevel="0" collapsed="false">
      <c r="A41" s="21" t="str">
        <f aca="false">IF(B41="","",ROW()-4)</f>
        <v/>
      </c>
      <c r="B41" s="22"/>
      <c r="C41" s="21" t="str">
        <f aca="false">IF(B41="","",CHOOSE(WEEKDAY(B41,2),"LUNES","MARTES","MIÉRCOLES","JUEVES","VIERNES","SÁBADO","DOMINGO"))</f>
        <v/>
      </c>
      <c r="M41" s="23"/>
      <c r="Q41" s="21" t="str">
        <f aca="false">IF(OR(K41="",N41=""),"",K41-N41)</f>
        <v/>
      </c>
      <c r="R41" s="21" t="str">
        <f aca="false">IF(OR(J41="",K41=""),"",J41*K41)</f>
        <v/>
      </c>
      <c r="S41" s="21" t="str">
        <f aca="false">IF(AND(ISNUMBER(J41),ISNUMBER(K41),F41&lt;&gt;"Calentamiento",F41&lt;&gt;"Bilbo"),IF(AND(K41&gt;0,K41&lt;=12),ROUND(J41*(1+(K41+IF(ISNUMBER(L41),L41,0))/30),1),""),"")</f>
        <v/>
      </c>
      <c r="T41" s="21" t="str">
        <f aca="false">IF(AND(F41="Bilbo",ISNUMBER(J41),ISNUMBER(K41)),ROUND(J41*(1+K41/30),1),"")</f>
        <v/>
      </c>
      <c r="W41" s="22"/>
      <c r="X41" s="21" t="str">
        <f aca="false">IF(AND(F41="Bilbo",E41&lt;&gt;"",G41&lt;&gt;"",H41&lt;&gt;""),E41&amp;"|"&amp;G41&amp;"|"&amp;H41,"")</f>
        <v/>
      </c>
      <c r="Y41" s="21" t="str">
        <f aca="false">IF(B41="","",IF(B41&lt;&gt;B40,1,0))</f>
        <v/>
      </c>
    </row>
    <row r="42" customFormat="false" ht="15" hidden="false" customHeight="true" outlineLevel="0" collapsed="false">
      <c r="A42" s="21" t="str">
        <f aca="false">IF(B42="","",ROW()-4)</f>
        <v/>
      </c>
      <c r="B42" s="22"/>
      <c r="C42" s="21" t="str">
        <f aca="false">IF(B42="","",CHOOSE(WEEKDAY(B42,2),"LUNES","MARTES","MIÉRCOLES","JUEVES","VIERNES","SÁBADO","DOMINGO"))</f>
        <v/>
      </c>
      <c r="M42" s="23"/>
      <c r="Q42" s="21" t="str">
        <f aca="false">IF(OR(K42="",N42=""),"",K42-N42)</f>
        <v/>
      </c>
      <c r="R42" s="21" t="str">
        <f aca="false">IF(OR(J42="",K42=""),"",J42*K42)</f>
        <v/>
      </c>
      <c r="S42" s="21" t="str">
        <f aca="false">IF(AND(ISNUMBER(J42),ISNUMBER(K42),F42&lt;&gt;"Calentamiento",F42&lt;&gt;"Bilbo"),IF(AND(K42&gt;0,K42&lt;=12),ROUND(J42*(1+(K42+IF(ISNUMBER(L42),L42,0))/30),1),""),"")</f>
        <v/>
      </c>
      <c r="T42" s="21" t="str">
        <f aca="false">IF(AND(F42="Bilbo",ISNUMBER(J42),ISNUMBER(K42)),ROUND(J42*(1+K42/30),1),"")</f>
        <v/>
      </c>
      <c r="W42" s="22"/>
      <c r="X42" s="21" t="str">
        <f aca="false">IF(AND(F42="Bilbo",E42&lt;&gt;"",G42&lt;&gt;"",H42&lt;&gt;""),E42&amp;"|"&amp;G42&amp;"|"&amp;H42,"")</f>
        <v/>
      </c>
      <c r="Y42" s="21" t="str">
        <f aca="false">IF(B42="","",IF(B42&lt;&gt;B41,1,0))</f>
        <v/>
      </c>
    </row>
    <row r="43" customFormat="false" ht="15" hidden="false" customHeight="true" outlineLevel="0" collapsed="false">
      <c r="A43" s="21" t="str">
        <f aca="false">IF(B43="","",ROW()-4)</f>
        <v/>
      </c>
      <c r="B43" s="22"/>
      <c r="C43" s="21" t="str">
        <f aca="false">IF(B43="","",CHOOSE(WEEKDAY(B43,2),"LUNES","MARTES","MIÉRCOLES","JUEVES","VIERNES","SÁBADO","DOMINGO"))</f>
        <v/>
      </c>
      <c r="M43" s="23"/>
      <c r="Q43" s="21" t="str">
        <f aca="false">IF(OR(K43="",N43=""),"",K43-N43)</f>
        <v/>
      </c>
      <c r="R43" s="21" t="str">
        <f aca="false">IF(OR(J43="",K43=""),"",J43*K43)</f>
        <v/>
      </c>
      <c r="S43" s="21" t="str">
        <f aca="false">IF(AND(ISNUMBER(J43),ISNUMBER(K43),F43&lt;&gt;"Calentamiento",F43&lt;&gt;"Bilbo"),IF(AND(K43&gt;0,K43&lt;=12),ROUND(J43*(1+(K43+IF(ISNUMBER(L43),L43,0))/30),1),""),"")</f>
        <v/>
      </c>
      <c r="T43" s="21" t="str">
        <f aca="false">IF(AND(F43="Bilbo",ISNUMBER(J43),ISNUMBER(K43)),ROUND(J43*(1+K43/30),1),"")</f>
        <v/>
      </c>
      <c r="W43" s="22"/>
      <c r="X43" s="21" t="str">
        <f aca="false">IF(AND(F43="Bilbo",E43&lt;&gt;"",G43&lt;&gt;"",H43&lt;&gt;""),E43&amp;"|"&amp;G43&amp;"|"&amp;H43,"")</f>
        <v/>
      </c>
      <c r="Y43" s="21" t="str">
        <f aca="false">IF(B43="","",IF(B43&lt;&gt;B42,1,0))</f>
        <v/>
      </c>
    </row>
    <row r="44" customFormat="false" ht="15" hidden="false" customHeight="true" outlineLevel="0" collapsed="false">
      <c r="A44" s="21" t="str">
        <f aca="false">IF(B44="","",ROW()-4)</f>
        <v/>
      </c>
      <c r="B44" s="22"/>
      <c r="C44" s="21" t="str">
        <f aca="false">IF(B44="","",CHOOSE(WEEKDAY(B44,2),"LUNES","MARTES","MIÉRCOLES","JUEVES","VIERNES","SÁBADO","DOMINGO"))</f>
        <v/>
      </c>
      <c r="M44" s="23"/>
      <c r="Q44" s="21" t="str">
        <f aca="false">IF(OR(K44="",N44=""),"",K44-N44)</f>
        <v/>
      </c>
      <c r="R44" s="21" t="str">
        <f aca="false">IF(OR(J44="",K44=""),"",J44*K44)</f>
        <v/>
      </c>
      <c r="S44" s="21" t="str">
        <f aca="false">IF(AND(ISNUMBER(J44),ISNUMBER(K44),F44&lt;&gt;"Calentamiento",F44&lt;&gt;"Bilbo"),IF(AND(K44&gt;0,K44&lt;=12),ROUND(J44*(1+(K44+IF(ISNUMBER(L44),L44,0))/30),1),""),"")</f>
        <v/>
      </c>
      <c r="T44" s="21" t="str">
        <f aca="false">IF(AND(F44="Bilbo",ISNUMBER(J44),ISNUMBER(K44)),ROUND(J44*(1+K44/30),1),"")</f>
        <v/>
      </c>
      <c r="W44" s="22"/>
      <c r="X44" s="21" t="str">
        <f aca="false">IF(AND(F44="Bilbo",E44&lt;&gt;"",G44&lt;&gt;"",H44&lt;&gt;""),E44&amp;"|"&amp;G44&amp;"|"&amp;H44,"")</f>
        <v/>
      </c>
      <c r="Y44" s="21" t="str">
        <f aca="false">IF(B44="","",IF(B44&lt;&gt;B43,1,0))</f>
        <v/>
      </c>
    </row>
    <row r="45" customFormat="false" ht="15" hidden="false" customHeight="true" outlineLevel="0" collapsed="false">
      <c r="A45" s="21" t="str">
        <f aca="false">IF(B45="","",ROW()-4)</f>
        <v/>
      </c>
      <c r="B45" s="22"/>
      <c r="C45" s="21" t="str">
        <f aca="false">IF(B45="","",CHOOSE(WEEKDAY(B45,2),"LUNES","MARTES","MIÉRCOLES","JUEVES","VIERNES","SÁBADO","DOMINGO"))</f>
        <v/>
      </c>
      <c r="M45" s="23"/>
      <c r="Q45" s="21" t="str">
        <f aca="false">IF(OR(K45="",N45=""),"",K45-N45)</f>
        <v/>
      </c>
      <c r="R45" s="21" t="str">
        <f aca="false">IF(OR(J45="",K45=""),"",J45*K45)</f>
        <v/>
      </c>
      <c r="S45" s="21" t="str">
        <f aca="false">IF(AND(ISNUMBER(J45),ISNUMBER(K45),F45&lt;&gt;"Calentamiento",F45&lt;&gt;"Bilbo"),IF(AND(K45&gt;0,K45&lt;=12),ROUND(J45*(1+(K45+IF(ISNUMBER(L45),L45,0))/30),1),""),"")</f>
        <v/>
      </c>
      <c r="T45" s="21" t="str">
        <f aca="false">IF(AND(F45="Bilbo",ISNUMBER(J45),ISNUMBER(K45)),ROUND(J45*(1+K45/30),1),"")</f>
        <v/>
      </c>
      <c r="W45" s="22"/>
      <c r="X45" s="21" t="str">
        <f aca="false">IF(AND(F45="Bilbo",E45&lt;&gt;"",G45&lt;&gt;"",H45&lt;&gt;""),E45&amp;"|"&amp;G45&amp;"|"&amp;H45,"")</f>
        <v/>
      </c>
      <c r="Y45" s="21" t="str">
        <f aca="false">IF(B45="","",IF(B45&lt;&gt;B44,1,0))</f>
        <v/>
      </c>
    </row>
    <row r="46" customFormat="false" ht="15" hidden="false" customHeight="true" outlineLevel="0" collapsed="false">
      <c r="A46" s="21" t="str">
        <f aca="false">IF(B46="","",ROW()-4)</f>
        <v/>
      </c>
      <c r="B46" s="22"/>
      <c r="C46" s="21" t="str">
        <f aca="false">IF(B46="","",CHOOSE(WEEKDAY(B46,2),"LUNES","MARTES","MIÉRCOLES","JUEVES","VIERNES","SÁBADO","DOMINGO"))</f>
        <v/>
      </c>
      <c r="M46" s="23"/>
      <c r="Q46" s="21" t="str">
        <f aca="false">IF(OR(K46="",N46=""),"",K46-N46)</f>
        <v/>
      </c>
      <c r="R46" s="21" t="str">
        <f aca="false">IF(OR(J46="",K46=""),"",J46*K46)</f>
        <v/>
      </c>
      <c r="S46" s="21" t="str">
        <f aca="false">IF(AND(ISNUMBER(J46),ISNUMBER(K46),F46&lt;&gt;"Calentamiento",F46&lt;&gt;"Bilbo"),IF(AND(K46&gt;0,K46&lt;=12),ROUND(J46*(1+(K46+IF(ISNUMBER(L46),L46,0))/30),1),""),"")</f>
        <v/>
      </c>
      <c r="T46" s="21" t="str">
        <f aca="false">IF(AND(F46="Bilbo",ISNUMBER(J46),ISNUMBER(K46)),ROUND(J46*(1+K46/30),1),"")</f>
        <v/>
      </c>
      <c r="W46" s="22"/>
      <c r="X46" s="21" t="str">
        <f aca="false">IF(AND(F46="Bilbo",E46&lt;&gt;"",G46&lt;&gt;"",H46&lt;&gt;""),E46&amp;"|"&amp;G46&amp;"|"&amp;H46,"")</f>
        <v/>
      </c>
      <c r="Y46" s="21" t="str">
        <f aca="false">IF(B46="","",IF(B46&lt;&gt;B45,1,0))</f>
        <v/>
      </c>
    </row>
    <row r="47" customFormat="false" ht="15" hidden="false" customHeight="true" outlineLevel="0" collapsed="false">
      <c r="A47" s="21" t="str">
        <f aca="false">IF(B47="","",ROW()-4)</f>
        <v/>
      </c>
      <c r="B47" s="22"/>
      <c r="C47" s="21" t="str">
        <f aca="false">IF(B47="","",CHOOSE(WEEKDAY(B47,2),"LUNES","MARTES","MIÉRCOLES","JUEVES","VIERNES","SÁBADO","DOMINGO"))</f>
        <v/>
      </c>
      <c r="M47" s="23"/>
      <c r="Q47" s="21" t="str">
        <f aca="false">IF(OR(K47="",N47=""),"",K47-N47)</f>
        <v/>
      </c>
      <c r="R47" s="21" t="str">
        <f aca="false">IF(OR(J47="",K47=""),"",J47*K47)</f>
        <v/>
      </c>
      <c r="S47" s="21" t="str">
        <f aca="false">IF(AND(ISNUMBER(J47),ISNUMBER(K47),F47&lt;&gt;"Calentamiento",F47&lt;&gt;"Bilbo"),IF(AND(K47&gt;0,K47&lt;=12),ROUND(J47*(1+(K47+IF(ISNUMBER(L47),L47,0))/30),1),""),"")</f>
        <v/>
      </c>
      <c r="T47" s="21" t="str">
        <f aca="false">IF(AND(F47="Bilbo",ISNUMBER(J47),ISNUMBER(K47)),ROUND(J47*(1+K47/30),1),"")</f>
        <v/>
      </c>
      <c r="W47" s="22"/>
      <c r="X47" s="21" t="str">
        <f aca="false">IF(AND(F47="Bilbo",E47&lt;&gt;"",G47&lt;&gt;"",H47&lt;&gt;""),E47&amp;"|"&amp;G47&amp;"|"&amp;H47,"")</f>
        <v/>
      </c>
      <c r="Y47" s="21" t="str">
        <f aca="false">IF(B47="","",IF(B47&lt;&gt;B46,1,0))</f>
        <v/>
      </c>
    </row>
    <row r="48" customFormat="false" ht="15" hidden="false" customHeight="true" outlineLevel="0" collapsed="false">
      <c r="A48" s="21" t="str">
        <f aca="false">IF(B48="","",ROW()-4)</f>
        <v/>
      </c>
      <c r="B48" s="22"/>
      <c r="C48" s="21" t="str">
        <f aca="false">IF(B48="","",CHOOSE(WEEKDAY(B48,2),"LUNES","MARTES","MIÉRCOLES","JUEVES","VIERNES","SÁBADO","DOMINGO"))</f>
        <v/>
      </c>
      <c r="M48" s="23"/>
      <c r="Q48" s="21" t="str">
        <f aca="false">IF(OR(K48="",N48=""),"",K48-N48)</f>
        <v/>
      </c>
      <c r="R48" s="21" t="str">
        <f aca="false">IF(OR(J48="",K48=""),"",J48*K48)</f>
        <v/>
      </c>
      <c r="S48" s="21" t="str">
        <f aca="false">IF(AND(ISNUMBER(J48),ISNUMBER(K48),F48&lt;&gt;"Calentamiento",F48&lt;&gt;"Bilbo"),IF(AND(K48&gt;0,K48&lt;=12),ROUND(J48*(1+(K48+IF(ISNUMBER(L48),L48,0))/30),1),""),"")</f>
        <v/>
      </c>
      <c r="T48" s="21" t="str">
        <f aca="false">IF(AND(F48="Bilbo",ISNUMBER(J48),ISNUMBER(K48)),ROUND(J48*(1+K48/30),1),"")</f>
        <v/>
      </c>
      <c r="W48" s="22"/>
      <c r="X48" s="21" t="str">
        <f aca="false">IF(AND(F48="Bilbo",E48&lt;&gt;"",G48&lt;&gt;"",H48&lt;&gt;""),E48&amp;"|"&amp;G48&amp;"|"&amp;H48,"")</f>
        <v/>
      </c>
      <c r="Y48" s="21" t="str">
        <f aca="false">IF(B48="","",IF(B48&lt;&gt;B47,1,0))</f>
        <v/>
      </c>
    </row>
    <row r="49" customFormat="false" ht="15" hidden="false" customHeight="true" outlineLevel="0" collapsed="false">
      <c r="A49" s="21" t="str">
        <f aca="false">IF(B49="","",ROW()-4)</f>
        <v/>
      </c>
      <c r="B49" s="22"/>
      <c r="C49" s="21" t="str">
        <f aca="false">IF(B49="","",CHOOSE(WEEKDAY(B49,2),"LUNES","MARTES","MIÉRCOLES","JUEVES","VIERNES","SÁBADO","DOMINGO"))</f>
        <v/>
      </c>
      <c r="M49" s="23"/>
      <c r="Q49" s="21" t="str">
        <f aca="false">IF(OR(K49="",N49=""),"",K49-N49)</f>
        <v/>
      </c>
      <c r="R49" s="21" t="str">
        <f aca="false">IF(OR(J49="",K49=""),"",J49*K49)</f>
        <v/>
      </c>
      <c r="S49" s="21" t="str">
        <f aca="false">IF(AND(ISNUMBER(J49),ISNUMBER(K49),F49&lt;&gt;"Calentamiento",F49&lt;&gt;"Bilbo"),IF(AND(K49&gt;0,K49&lt;=12),ROUND(J49*(1+(K49+IF(ISNUMBER(L49),L49,0))/30),1),""),"")</f>
        <v/>
      </c>
      <c r="T49" s="21" t="str">
        <f aca="false">IF(AND(F49="Bilbo",ISNUMBER(J49),ISNUMBER(K49)),ROUND(J49*(1+K49/30),1),"")</f>
        <v/>
      </c>
      <c r="W49" s="22"/>
      <c r="X49" s="21" t="str">
        <f aca="false">IF(AND(F49="Bilbo",E49&lt;&gt;"",G49&lt;&gt;"",H49&lt;&gt;""),E49&amp;"|"&amp;G49&amp;"|"&amp;H49,"")</f>
        <v/>
      </c>
      <c r="Y49" s="21" t="str">
        <f aca="false">IF(B49="","",IF(B49&lt;&gt;B48,1,0))</f>
        <v/>
      </c>
    </row>
    <row r="50" customFormat="false" ht="15" hidden="false" customHeight="true" outlineLevel="0" collapsed="false">
      <c r="A50" s="21" t="str">
        <f aca="false">IF(B50="","",ROW()-4)</f>
        <v/>
      </c>
      <c r="B50" s="22"/>
      <c r="C50" s="21" t="str">
        <f aca="false">IF(B50="","",CHOOSE(WEEKDAY(B50,2),"LUNES","MARTES","MIÉRCOLES","JUEVES","VIERNES","SÁBADO","DOMINGO"))</f>
        <v/>
      </c>
      <c r="M50" s="23"/>
      <c r="Q50" s="21" t="str">
        <f aca="false">IF(OR(K50="",N50=""),"",K50-N50)</f>
        <v/>
      </c>
      <c r="R50" s="21" t="str">
        <f aca="false">IF(OR(J50="",K50=""),"",J50*K50)</f>
        <v/>
      </c>
      <c r="S50" s="21" t="str">
        <f aca="false">IF(AND(ISNUMBER(J50),ISNUMBER(K50),F50&lt;&gt;"Calentamiento",F50&lt;&gt;"Bilbo"),IF(AND(K50&gt;0,K50&lt;=12),ROUND(J50*(1+(K50+IF(ISNUMBER(L50),L50,0))/30),1),""),"")</f>
        <v/>
      </c>
      <c r="T50" s="21" t="str">
        <f aca="false">IF(AND(F50="Bilbo",ISNUMBER(J50),ISNUMBER(K50)),ROUND(J50*(1+K50/30),1),"")</f>
        <v/>
      </c>
      <c r="W50" s="22"/>
      <c r="X50" s="21" t="str">
        <f aca="false">IF(AND(F50="Bilbo",E50&lt;&gt;"",G50&lt;&gt;"",H50&lt;&gt;""),E50&amp;"|"&amp;G50&amp;"|"&amp;H50,"")</f>
        <v/>
      </c>
      <c r="Y50" s="21" t="str">
        <f aca="false">IF(B50="","",IF(B50&lt;&gt;B49,1,0))</f>
        <v/>
      </c>
    </row>
    <row r="51" customFormat="false" ht="15" hidden="false" customHeight="true" outlineLevel="0" collapsed="false">
      <c r="A51" s="21" t="str">
        <f aca="false">IF(B51="","",ROW()-4)</f>
        <v/>
      </c>
      <c r="B51" s="22"/>
      <c r="C51" s="21" t="str">
        <f aca="false">IF(B51="","",CHOOSE(WEEKDAY(B51,2),"LUNES","MARTES","MIÉRCOLES","JUEVES","VIERNES","SÁBADO","DOMINGO"))</f>
        <v/>
      </c>
      <c r="M51" s="23"/>
      <c r="Q51" s="21" t="str">
        <f aca="false">IF(OR(K51="",N51=""),"",K51-N51)</f>
        <v/>
      </c>
      <c r="R51" s="21" t="str">
        <f aca="false">IF(OR(J51="",K51=""),"",J51*K51)</f>
        <v/>
      </c>
      <c r="S51" s="21" t="str">
        <f aca="false">IF(AND(ISNUMBER(J51),ISNUMBER(K51),F51&lt;&gt;"Calentamiento",F51&lt;&gt;"Bilbo"),IF(AND(K51&gt;0,K51&lt;=12),ROUND(J51*(1+(K51+IF(ISNUMBER(L51),L51,0))/30),1),""),"")</f>
        <v/>
      </c>
      <c r="T51" s="21" t="str">
        <f aca="false">IF(AND(F51="Bilbo",ISNUMBER(J51),ISNUMBER(K51)),ROUND(J51*(1+K51/30),1),"")</f>
        <v/>
      </c>
      <c r="W51" s="22"/>
      <c r="X51" s="21" t="str">
        <f aca="false">IF(AND(F51="Bilbo",E51&lt;&gt;"",G51&lt;&gt;"",H51&lt;&gt;""),E51&amp;"|"&amp;G51&amp;"|"&amp;H51,"")</f>
        <v/>
      </c>
      <c r="Y51" s="21" t="str">
        <f aca="false">IF(B51="","",IF(B51&lt;&gt;B50,1,0))</f>
        <v/>
      </c>
    </row>
    <row r="52" customFormat="false" ht="15" hidden="false" customHeight="true" outlineLevel="0" collapsed="false">
      <c r="A52" s="21" t="str">
        <f aca="false">IF(B52="","",ROW()-4)</f>
        <v/>
      </c>
      <c r="B52" s="22"/>
      <c r="C52" s="21" t="str">
        <f aca="false">IF(B52="","",CHOOSE(WEEKDAY(B52,2),"LUNES","MARTES","MIÉRCOLES","JUEVES","VIERNES","SÁBADO","DOMINGO"))</f>
        <v/>
      </c>
      <c r="M52" s="23"/>
      <c r="Q52" s="21" t="str">
        <f aca="false">IF(OR(K52="",N52=""),"",K52-N52)</f>
        <v/>
      </c>
      <c r="R52" s="21" t="str">
        <f aca="false">IF(OR(J52="",K52=""),"",J52*K52)</f>
        <v/>
      </c>
      <c r="S52" s="21" t="str">
        <f aca="false">IF(AND(ISNUMBER(J52),ISNUMBER(K52),F52&lt;&gt;"Calentamiento",F52&lt;&gt;"Bilbo"),IF(AND(K52&gt;0,K52&lt;=12),ROUND(J52*(1+(K52+IF(ISNUMBER(L52),L52,0))/30),1),""),"")</f>
        <v/>
      </c>
      <c r="T52" s="21" t="str">
        <f aca="false">IF(AND(F52="Bilbo",ISNUMBER(J52),ISNUMBER(K52)),ROUND(J52*(1+K52/30),1),"")</f>
        <v/>
      </c>
      <c r="W52" s="22"/>
      <c r="X52" s="21" t="str">
        <f aca="false">IF(AND(F52="Bilbo",E52&lt;&gt;"",G52&lt;&gt;"",H52&lt;&gt;""),E52&amp;"|"&amp;G52&amp;"|"&amp;H52,"")</f>
        <v/>
      </c>
      <c r="Y52" s="21" t="str">
        <f aca="false">IF(B52="","",IF(B52&lt;&gt;B51,1,0))</f>
        <v/>
      </c>
    </row>
    <row r="53" customFormat="false" ht="15" hidden="false" customHeight="true" outlineLevel="0" collapsed="false">
      <c r="A53" s="21" t="str">
        <f aca="false">IF(B53="","",ROW()-4)</f>
        <v/>
      </c>
      <c r="B53" s="22"/>
      <c r="C53" s="21" t="str">
        <f aca="false">IF(B53="","",CHOOSE(WEEKDAY(B53,2),"LUNES","MARTES","MIÉRCOLES","JUEVES","VIERNES","SÁBADO","DOMINGO"))</f>
        <v/>
      </c>
      <c r="M53" s="23"/>
      <c r="Q53" s="21" t="str">
        <f aca="false">IF(OR(K53="",N53=""),"",K53-N53)</f>
        <v/>
      </c>
      <c r="R53" s="21" t="str">
        <f aca="false">IF(OR(J53="",K53=""),"",J53*K53)</f>
        <v/>
      </c>
      <c r="S53" s="21" t="str">
        <f aca="false">IF(AND(ISNUMBER(J53),ISNUMBER(K53),F53&lt;&gt;"Calentamiento",F53&lt;&gt;"Bilbo"),IF(AND(K53&gt;0,K53&lt;=12),ROUND(J53*(1+(K53+IF(ISNUMBER(L53),L53,0))/30),1),""),"")</f>
        <v/>
      </c>
      <c r="T53" s="21" t="str">
        <f aca="false">IF(AND(F53="Bilbo",ISNUMBER(J53),ISNUMBER(K53)),ROUND(J53*(1+K53/30),1),"")</f>
        <v/>
      </c>
      <c r="W53" s="22"/>
      <c r="X53" s="21" t="str">
        <f aca="false">IF(AND(F53="Bilbo",E53&lt;&gt;"",G53&lt;&gt;"",H53&lt;&gt;""),E53&amp;"|"&amp;G53&amp;"|"&amp;H53,"")</f>
        <v/>
      </c>
      <c r="Y53" s="21" t="str">
        <f aca="false">IF(B53="","",IF(B53&lt;&gt;B52,1,0))</f>
        <v/>
      </c>
    </row>
    <row r="54" customFormat="false" ht="15" hidden="false" customHeight="true" outlineLevel="0" collapsed="false">
      <c r="A54" s="21" t="str">
        <f aca="false">IF(B54="","",ROW()-4)</f>
        <v/>
      </c>
      <c r="B54" s="22"/>
      <c r="C54" s="21" t="str">
        <f aca="false">IF(B54="","",CHOOSE(WEEKDAY(B54,2),"LUNES","MARTES","MIÉRCOLES","JUEVES","VIERNES","SÁBADO","DOMINGO"))</f>
        <v/>
      </c>
      <c r="M54" s="23"/>
      <c r="Q54" s="21" t="str">
        <f aca="false">IF(OR(K54="",N54=""),"",K54-N54)</f>
        <v/>
      </c>
      <c r="R54" s="21" t="str">
        <f aca="false">IF(OR(J54="",K54=""),"",J54*K54)</f>
        <v/>
      </c>
      <c r="S54" s="21" t="str">
        <f aca="false">IF(AND(ISNUMBER(J54),ISNUMBER(K54),F54&lt;&gt;"Calentamiento",F54&lt;&gt;"Bilbo"),IF(AND(K54&gt;0,K54&lt;=12),ROUND(J54*(1+(K54+IF(ISNUMBER(L54),L54,0))/30),1),""),"")</f>
        <v/>
      </c>
      <c r="T54" s="21" t="str">
        <f aca="false">IF(AND(F54="Bilbo",ISNUMBER(J54),ISNUMBER(K54)),ROUND(J54*(1+K54/30),1),"")</f>
        <v/>
      </c>
      <c r="W54" s="22"/>
      <c r="X54" s="21" t="str">
        <f aca="false">IF(AND(F54="Bilbo",E54&lt;&gt;"",G54&lt;&gt;"",H54&lt;&gt;""),E54&amp;"|"&amp;G54&amp;"|"&amp;H54,"")</f>
        <v/>
      </c>
      <c r="Y54" s="21" t="str">
        <f aca="false">IF(B54="","",IF(B54&lt;&gt;B53,1,0))</f>
        <v/>
      </c>
    </row>
    <row r="55" customFormat="false" ht="15" hidden="false" customHeight="true" outlineLevel="0" collapsed="false">
      <c r="A55" s="21" t="str">
        <f aca="false">IF(B55="","",ROW()-4)</f>
        <v/>
      </c>
      <c r="B55" s="22"/>
      <c r="C55" s="21" t="str">
        <f aca="false">IF(B55="","",CHOOSE(WEEKDAY(B55,2),"LUNES","MARTES","MIÉRCOLES","JUEVES","VIERNES","SÁBADO","DOMINGO"))</f>
        <v/>
      </c>
      <c r="M55" s="23"/>
      <c r="Q55" s="21" t="str">
        <f aca="false">IF(OR(K55="",N55=""),"",K55-N55)</f>
        <v/>
      </c>
      <c r="R55" s="21" t="str">
        <f aca="false">IF(OR(J55="",K55=""),"",J55*K55)</f>
        <v/>
      </c>
      <c r="S55" s="21" t="str">
        <f aca="false">IF(AND(ISNUMBER(J55),ISNUMBER(K55),F55&lt;&gt;"Calentamiento",F55&lt;&gt;"Bilbo"),IF(AND(K55&gt;0,K55&lt;=12),ROUND(J55*(1+(K55+IF(ISNUMBER(L55),L55,0))/30),1),""),"")</f>
        <v/>
      </c>
      <c r="T55" s="21" t="str">
        <f aca="false">IF(AND(F55="Bilbo",ISNUMBER(J55),ISNUMBER(K55)),ROUND(J55*(1+K55/30),1),"")</f>
        <v/>
      </c>
      <c r="W55" s="22"/>
      <c r="X55" s="21" t="str">
        <f aca="false">IF(AND(F55="Bilbo",E55&lt;&gt;"",G55&lt;&gt;"",H55&lt;&gt;""),E55&amp;"|"&amp;G55&amp;"|"&amp;H55,"")</f>
        <v/>
      </c>
      <c r="Y55" s="21" t="str">
        <f aca="false">IF(B55="","",IF(B55&lt;&gt;B54,1,0))</f>
        <v/>
      </c>
    </row>
    <row r="56" customFormat="false" ht="15" hidden="false" customHeight="true" outlineLevel="0" collapsed="false">
      <c r="A56" s="21" t="str">
        <f aca="false">IF(B56="","",ROW()-4)</f>
        <v/>
      </c>
      <c r="B56" s="22"/>
      <c r="C56" s="21" t="str">
        <f aca="false">IF(B56="","",CHOOSE(WEEKDAY(B56,2),"LUNES","MARTES","MIÉRCOLES","JUEVES","VIERNES","SÁBADO","DOMINGO"))</f>
        <v/>
      </c>
      <c r="M56" s="23"/>
      <c r="Q56" s="21" t="str">
        <f aca="false">IF(OR(K56="",N56=""),"",K56-N56)</f>
        <v/>
      </c>
      <c r="R56" s="21" t="str">
        <f aca="false">IF(OR(J56="",K56=""),"",J56*K56)</f>
        <v/>
      </c>
      <c r="S56" s="21" t="str">
        <f aca="false">IF(AND(ISNUMBER(J56),ISNUMBER(K56),F56&lt;&gt;"Calentamiento",F56&lt;&gt;"Bilbo"),IF(AND(K56&gt;0,K56&lt;=12),ROUND(J56*(1+(K56+IF(ISNUMBER(L56),L56,0))/30),1),""),"")</f>
        <v/>
      </c>
      <c r="T56" s="21" t="str">
        <f aca="false">IF(AND(F56="Bilbo",ISNUMBER(J56),ISNUMBER(K56)),ROUND(J56*(1+K56/30),1),"")</f>
        <v/>
      </c>
      <c r="W56" s="22"/>
      <c r="X56" s="21" t="str">
        <f aca="false">IF(AND(F56="Bilbo",E56&lt;&gt;"",G56&lt;&gt;"",H56&lt;&gt;""),E56&amp;"|"&amp;G56&amp;"|"&amp;H56,"")</f>
        <v/>
      </c>
      <c r="Y56" s="21" t="str">
        <f aca="false">IF(B56="","",IF(B56&lt;&gt;B55,1,0))</f>
        <v/>
      </c>
    </row>
    <row r="57" customFormat="false" ht="15" hidden="false" customHeight="true" outlineLevel="0" collapsed="false">
      <c r="A57" s="21" t="str">
        <f aca="false">IF(B57="","",ROW()-4)</f>
        <v/>
      </c>
      <c r="B57" s="22"/>
      <c r="C57" s="21" t="str">
        <f aca="false">IF(B57="","",CHOOSE(WEEKDAY(B57,2),"LUNES","MARTES","MIÉRCOLES","JUEVES","VIERNES","SÁBADO","DOMINGO"))</f>
        <v/>
      </c>
      <c r="M57" s="23"/>
      <c r="Q57" s="21" t="str">
        <f aca="false">IF(OR(K57="",N57=""),"",K57-N57)</f>
        <v/>
      </c>
      <c r="R57" s="21" t="str">
        <f aca="false">IF(OR(J57="",K57=""),"",J57*K57)</f>
        <v/>
      </c>
      <c r="S57" s="21" t="str">
        <f aca="false">IF(AND(ISNUMBER(J57),ISNUMBER(K57),F57&lt;&gt;"Calentamiento",F57&lt;&gt;"Bilbo"),IF(AND(K57&gt;0,K57&lt;=12),ROUND(J57*(1+(K57+IF(ISNUMBER(L57),L57,0))/30),1),""),"")</f>
        <v/>
      </c>
      <c r="T57" s="21" t="str">
        <f aca="false">IF(AND(F57="Bilbo",ISNUMBER(J57),ISNUMBER(K57)),ROUND(J57*(1+K57/30),1),"")</f>
        <v/>
      </c>
      <c r="W57" s="22"/>
      <c r="X57" s="21" t="str">
        <f aca="false">IF(AND(F57="Bilbo",E57&lt;&gt;"",G57&lt;&gt;"",H57&lt;&gt;""),E57&amp;"|"&amp;G57&amp;"|"&amp;H57,"")</f>
        <v/>
      </c>
      <c r="Y57" s="21" t="str">
        <f aca="false">IF(B57="","",IF(B57&lt;&gt;B56,1,0))</f>
        <v/>
      </c>
    </row>
    <row r="58" customFormat="false" ht="15" hidden="false" customHeight="true" outlineLevel="0" collapsed="false">
      <c r="A58" s="21" t="str">
        <f aca="false">IF(B58="","",ROW()-4)</f>
        <v/>
      </c>
      <c r="B58" s="22"/>
      <c r="C58" s="21" t="str">
        <f aca="false">IF(B58="","",CHOOSE(WEEKDAY(B58,2),"LUNES","MARTES","MIÉRCOLES","JUEVES","VIERNES","SÁBADO","DOMINGO"))</f>
        <v/>
      </c>
      <c r="M58" s="23"/>
      <c r="Q58" s="21" t="str">
        <f aca="false">IF(OR(K58="",N58=""),"",K58-N58)</f>
        <v/>
      </c>
      <c r="R58" s="21" t="str">
        <f aca="false">IF(OR(J58="",K58=""),"",J58*K58)</f>
        <v/>
      </c>
      <c r="S58" s="21" t="str">
        <f aca="false">IF(AND(ISNUMBER(J58),ISNUMBER(K58),F58&lt;&gt;"Calentamiento",F58&lt;&gt;"Bilbo"),IF(AND(K58&gt;0,K58&lt;=12),ROUND(J58*(1+(K58+IF(ISNUMBER(L58),L58,0))/30),1),""),"")</f>
        <v/>
      </c>
      <c r="T58" s="21" t="str">
        <f aca="false">IF(AND(F58="Bilbo",ISNUMBER(J58),ISNUMBER(K58)),ROUND(J58*(1+K58/30),1),"")</f>
        <v/>
      </c>
      <c r="W58" s="22"/>
      <c r="X58" s="21" t="str">
        <f aca="false">IF(AND(F58="Bilbo",E58&lt;&gt;"",G58&lt;&gt;"",H58&lt;&gt;""),E58&amp;"|"&amp;G58&amp;"|"&amp;H58,"")</f>
        <v/>
      </c>
      <c r="Y58" s="21" t="str">
        <f aca="false">IF(B58="","",IF(B58&lt;&gt;B57,1,0))</f>
        <v/>
      </c>
    </row>
    <row r="59" customFormat="false" ht="15" hidden="false" customHeight="true" outlineLevel="0" collapsed="false">
      <c r="A59" s="21" t="str">
        <f aca="false">IF(B59="","",ROW()-4)</f>
        <v/>
      </c>
      <c r="B59" s="22"/>
      <c r="C59" s="21" t="str">
        <f aca="false">IF(B59="","",CHOOSE(WEEKDAY(B59,2),"LUNES","MARTES","MIÉRCOLES","JUEVES","VIERNES","SÁBADO","DOMINGO"))</f>
        <v/>
      </c>
      <c r="M59" s="23"/>
      <c r="Q59" s="21" t="str">
        <f aca="false">IF(OR(K59="",N59=""),"",K59-N59)</f>
        <v/>
      </c>
      <c r="R59" s="21" t="str">
        <f aca="false">IF(OR(J59="",K59=""),"",J59*K59)</f>
        <v/>
      </c>
      <c r="S59" s="21" t="str">
        <f aca="false">IF(AND(ISNUMBER(J59),ISNUMBER(K59),F59&lt;&gt;"Calentamiento",F59&lt;&gt;"Bilbo"),IF(AND(K59&gt;0,K59&lt;=12),ROUND(J59*(1+(K59+IF(ISNUMBER(L59),L59,0))/30),1),""),"")</f>
        <v/>
      </c>
      <c r="T59" s="21" t="str">
        <f aca="false">IF(AND(F59="Bilbo",ISNUMBER(J59),ISNUMBER(K59)),ROUND(J59*(1+K59/30),1),"")</f>
        <v/>
      </c>
      <c r="W59" s="22"/>
      <c r="X59" s="21" t="str">
        <f aca="false">IF(AND(F59="Bilbo",E59&lt;&gt;"",G59&lt;&gt;"",H59&lt;&gt;""),E59&amp;"|"&amp;G59&amp;"|"&amp;H59,"")</f>
        <v/>
      </c>
      <c r="Y59" s="21" t="str">
        <f aca="false">IF(B59="","",IF(B59&lt;&gt;B58,1,0))</f>
        <v/>
      </c>
    </row>
    <row r="60" customFormat="false" ht="15" hidden="false" customHeight="true" outlineLevel="0" collapsed="false">
      <c r="A60" s="21" t="str">
        <f aca="false">IF(B60="","",ROW()-4)</f>
        <v/>
      </c>
      <c r="B60" s="22"/>
      <c r="C60" s="21" t="str">
        <f aca="false">IF(B60="","",CHOOSE(WEEKDAY(B60,2),"LUNES","MARTES","MIÉRCOLES","JUEVES","VIERNES","SÁBADO","DOMINGO"))</f>
        <v/>
      </c>
      <c r="M60" s="23"/>
      <c r="Q60" s="21" t="str">
        <f aca="false">IF(OR(K60="",N60=""),"",K60-N60)</f>
        <v/>
      </c>
      <c r="R60" s="21" t="str">
        <f aca="false">IF(OR(J60="",K60=""),"",J60*K60)</f>
        <v/>
      </c>
      <c r="S60" s="21" t="str">
        <f aca="false">IF(AND(ISNUMBER(J60),ISNUMBER(K60),F60&lt;&gt;"Calentamiento",F60&lt;&gt;"Bilbo"),IF(AND(K60&gt;0,K60&lt;=12),ROUND(J60*(1+(K60+IF(ISNUMBER(L60),L60,0))/30),1),""),"")</f>
        <v/>
      </c>
      <c r="T60" s="21" t="str">
        <f aca="false">IF(AND(F60="Bilbo",ISNUMBER(J60),ISNUMBER(K60)),ROUND(J60*(1+K60/30),1),"")</f>
        <v/>
      </c>
      <c r="W60" s="22"/>
      <c r="X60" s="21" t="str">
        <f aca="false">IF(AND(F60="Bilbo",E60&lt;&gt;"",G60&lt;&gt;"",H60&lt;&gt;""),E60&amp;"|"&amp;G60&amp;"|"&amp;H60,"")</f>
        <v/>
      </c>
      <c r="Y60" s="21" t="str">
        <f aca="false">IF(B60="","",IF(B60&lt;&gt;B59,1,0))</f>
        <v/>
      </c>
    </row>
    <row r="61" customFormat="false" ht="15" hidden="false" customHeight="true" outlineLevel="0" collapsed="false">
      <c r="A61" s="21" t="str">
        <f aca="false">IF(B61="","",ROW()-4)</f>
        <v/>
      </c>
      <c r="B61" s="22"/>
      <c r="C61" s="21" t="str">
        <f aca="false">IF(B61="","",CHOOSE(WEEKDAY(B61,2),"LUNES","MARTES","MIÉRCOLES","JUEVES","VIERNES","SÁBADO","DOMINGO"))</f>
        <v/>
      </c>
      <c r="M61" s="23"/>
      <c r="Q61" s="21" t="str">
        <f aca="false">IF(OR(K61="",N61=""),"",K61-N61)</f>
        <v/>
      </c>
      <c r="R61" s="21" t="str">
        <f aca="false">IF(OR(J61="",K61=""),"",J61*K61)</f>
        <v/>
      </c>
      <c r="S61" s="21" t="str">
        <f aca="false">IF(AND(ISNUMBER(J61),ISNUMBER(K61),F61&lt;&gt;"Calentamiento",F61&lt;&gt;"Bilbo"),IF(AND(K61&gt;0,K61&lt;=12),ROUND(J61*(1+(K61+IF(ISNUMBER(L61),L61,0))/30),1),""),"")</f>
        <v/>
      </c>
      <c r="T61" s="21" t="str">
        <f aca="false">IF(AND(F61="Bilbo",ISNUMBER(J61),ISNUMBER(K61)),ROUND(J61*(1+K61/30),1),"")</f>
        <v/>
      </c>
      <c r="W61" s="22"/>
      <c r="X61" s="21" t="str">
        <f aca="false">IF(AND(F61="Bilbo",E61&lt;&gt;"",G61&lt;&gt;"",H61&lt;&gt;""),E61&amp;"|"&amp;G61&amp;"|"&amp;H61,"")</f>
        <v/>
      </c>
      <c r="Y61" s="21" t="str">
        <f aca="false">IF(B61="","",IF(B61&lt;&gt;B60,1,0))</f>
        <v/>
      </c>
    </row>
    <row r="62" customFormat="false" ht="15" hidden="false" customHeight="true" outlineLevel="0" collapsed="false">
      <c r="A62" s="21" t="str">
        <f aca="false">IF(B62="","",ROW()-4)</f>
        <v/>
      </c>
      <c r="B62" s="22"/>
      <c r="C62" s="21" t="str">
        <f aca="false">IF(B62="","",CHOOSE(WEEKDAY(B62,2),"LUNES","MARTES","MIÉRCOLES","JUEVES","VIERNES","SÁBADO","DOMINGO"))</f>
        <v/>
      </c>
      <c r="M62" s="23"/>
      <c r="Q62" s="21" t="str">
        <f aca="false">IF(OR(K62="",N62=""),"",K62-N62)</f>
        <v/>
      </c>
      <c r="R62" s="21" t="str">
        <f aca="false">IF(OR(J62="",K62=""),"",J62*K62)</f>
        <v/>
      </c>
      <c r="S62" s="21" t="str">
        <f aca="false">IF(AND(ISNUMBER(J62),ISNUMBER(K62),F62&lt;&gt;"Calentamiento",F62&lt;&gt;"Bilbo"),IF(AND(K62&gt;0,K62&lt;=12),ROUND(J62*(1+(K62+IF(ISNUMBER(L62),L62,0))/30),1),""),"")</f>
        <v/>
      </c>
      <c r="T62" s="21" t="str">
        <f aca="false">IF(AND(F62="Bilbo",ISNUMBER(J62),ISNUMBER(K62)),ROUND(J62*(1+K62/30),1),"")</f>
        <v/>
      </c>
      <c r="W62" s="22"/>
      <c r="X62" s="21" t="str">
        <f aca="false">IF(AND(F62="Bilbo",E62&lt;&gt;"",G62&lt;&gt;"",H62&lt;&gt;""),E62&amp;"|"&amp;G62&amp;"|"&amp;H62,"")</f>
        <v/>
      </c>
      <c r="Y62" s="21" t="str">
        <f aca="false">IF(B62="","",IF(B62&lt;&gt;B61,1,0))</f>
        <v/>
      </c>
    </row>
    <row r="63" customFormat="false" ht="15" hidden="false" customHeight="true" outlineLevel="0" collapsed="false">
      <c r="A63" s="21" t="str">
        <f aca="false">IF(B63="","",ROW()-4)</f>
        <v/>
      </c>
      <c r="B63" s="22"/>
      <c r="C63" s="21" t="str">
        <f aca="false">IF(B63="","",CHOOSE(WEEKDAY(B63,2),"LUNES","MARTES","MIÉRCOLES","JUEVES","VIERNES","SÁBADO","DOMINGO"))</f>
        <v/>
      </c>
      <c r="M63" s="23"/>
      <c r="Q63" s="21" t="str">
        <f aca="false">IF(OR(K63="",N63=""),"",K63-N63)</f>
        <v/>
      </c>
      <c r="R63" s="21" t="str">
        <f aca="false">IF(OR(J63="",K63=""),"",J63*K63)</f>
        <v/>
      </c>
      <c r="S63" s="21" t="str">
        <f aca="false">IF(AND(ISNUMBER(J63),ISNUMBER(K63),F63&lt;&gt;"Calentamiento",F63&lt;&gt;"Bilbo"),IF(AND(K63&gt;0,K63&lt;=12),ROUND(J63*(1+(K63+IF(ISNUMBER(L63),L63,0))/30),1),""),"")</f>
        <v/>
      </c>
      <c r="T63" s="21" t="str">
        <f aca="false">IF(AND(F63="Bilbo",ISNUMBER(J63),ISNUMBER(K63)),ROUND(J63*(1+K63/30),1),"")</f>
        <v/>
      </c>
      <c r="W63" s="22"/>
      <c r="X63" s="21" t="str">
        <f aca="false">IF(AND(F63="Bilbo",E63&lt;&gt;"",G63&lt;&gt;"",H63&lt;&gt;""),E63&amp;"|"&amp;G63&amp;"|"&amp;H63,"")</f>
        <v/>
      </c>
      <c r="Y63" s="21" t="str">
        <f aca="false">IF(B63="","",IF(B63&lt;&gt;B62,1,0))</f>
        <v/>
      </c>
    </row>
    <row r="64" customFormat="false" ht="15" hidden="false" customHeight="true" outlineLevel="0" collapsed="false">
      <c r="A64" s="21" t="str">
        <f aca="false">IF(B64="","",ROW()-4)</f>
        <v/>
      </c>
      <c r="B64" s="22"/>
      <c r="C64" s="21" t="str">
        <f aca="false">IF(B64="","",CHOOSE(WEEKDAY(B64,2),"LUNES","MARTES","MIÉRCOLES","JUEVES","VIERNES","SÁBADO","DOMINGO"))</f>
        <v/>
      </c>
      <c r="M64" s="23"/>
      <c r="Q64" s="21" t="str">
        <f aca="false">IF(OR(K64="",N64=""),"",K64-N64)</f>
        <v/>
      </c>
      <c r="R64" s="21" t="str">
        <f aca="false">IF(OR(J64="",K64=""),"",J64*K64)</f>
        <v/>
      </c>
      <c r="S64" s="21" t="str">
        <f aca="false">IF(AND(ISNUMBER(J64),ISNUMBER(K64),F64&lt;&gt;"Calentamiento",F64&lt;&gt;"Bilbo"),IF(AND(K64&gt;0,K64&lt;=12),ROUND(J64*(1+(K64+IF(ISNUMBER(L64),L64,0))/30),1),""),"")</f>
        <v/>
      </c>
      <c r="T64" s="21" t="str">
        <f aca="false">IF(AND(F64="Bilbo",ISNUMBER(J64),ISNUMBER(K64)),ROUND(J64*(1+K64/30),1),"")</f>
        <v/>
      </c>
      <c r="W64" s="22"/>
      <c r="X64" s="21" t="str">
        <f aca="false">IF(AND(F64="Bilbo",E64&lt;&gt;"",G64&lt;&gt;"",H64&lt;&gt;""),E64&amp;"|"&amp;G64&amp;"|"&amp;H64,"")</f>
        <v/>
      </c>
      <c r="Y64" s="21" t="str">
        <f aca="false">IF(B64="","",IF(B64&lt;&gt;B63,1,0))</f>
        <v/>
      </c>
    </row>
    <row r="65" customFormat="false" ht="15" hidden="false" customHeight="true" outlineLevel="0" collapsed="false">
      <c r="A65" s="21" t="str">
        <f aca="false">IF(B65="","",ROW()-4)</f>
        <v/>
      </c>
      <c r="B65" s="22"/>
      <c r="C65" s="21" t="str">
        <f aca="false">IF(B65="","",CHOOSE(WEEKDAY(B65,2),"LUNES","MARTES","MIÉRCOLES","JUEVES","VIERNES","SÁBADO","DOMINGO"))</f>
        <v/>
      </c>
      <c r="M65" s="23"/>
      <c r="Q65" s="21" t="str">
        <f aca="false">IF(OR(K65="",N65=""),"",K65-N65)</f>
        <v/>
      </c>
      <c r="R65" s="21" t="str">
        <f aca="false">IF(OR(J65="",K65=""),"",J65*K65)</f>
        <v/>
      </c>
      <c r="S65" s="21" t="str">
        <f aca="false">IF(AND(ISNUMBER(J65),ISNUMBER(K65),F65&lt;&gt;"Calentamiento",F65&lt;&gt;"Bilbo"),IF(AND(K65&gt;0,K65&lt;=12),ROUND(J65*(1+(K65+IF(ISNUMBER(L65),L65,0))/30),1),""),"")</f>
        <v/>
      </c>
      <c r="T65" s="21" t="str">
        <f aca="false">IF(AND(F65="Bilbo",ISNUMBER(J65),ISNUMBER(K65)),ROUND(J65*(1+K65/30),1),"")</f>
        <v/>
      </c>
      <c r="W65" s="22"/>
      <c r="X65" s="21" t="str">
        <f aca="false">IF(AND(F65="Bilbo",E65&lt;&gt;"",G65&lt;&gt;"",H65&lt;&gt;""),E65&amp;"|"&amp;G65&amp;"|"&amp;H65,"")</f>
        <v/>
      </c>
      <c r="Y65" s="21" t="str">
        <f aca="false">IF(B65="","",IF(B65&lt;&gt;B64,1,0))</f>
        <v/>
      </c>
    </row>
    <row r="66" customFormat="false" ht="15" hidden="false" customHeight="true" outlineLevel="0" collapsed="false">
      <c r="A66" s="21" t="str">
        <f aca="false">IF(B66="","",ROW()-4)</f>
        <v/>
      </c>
      <c r="B66" s="22"/>
      <c r="C66" s="21" t="str">
        <f aca="false">IF(B66="","",CHOOSE(WEEKDAY(B66,2),"LUNES","MARTES","MIÉRCOLES","JUEVES","VIERNES","SÁBADO","DOMINGO"))</f>
        <v/>
      </c>
      <c r="M66" s="23"/>
      <c r="Q66" s="21" t="str">
        <f aca="false">IF(OR(K66="",N66=""),"",K66-N66)</f>
        <v/>
      </c>
      <c r="R66" s="21" t="str">
        <f aca="false">IF(OR(J66="",K66=""),"",J66*K66)</f>
        <v/>
      </c>
      <c r="S66" s="21" t="str">
        <f aca="false">IF(AND(ISNUMBER(J66),ISNUMBER(K66),F66&lt;&gt;"Calentamiento",F66&lt;&gt;"Bilbo"),IF(AND(K66&gt;0,K66&lt;=12),ROUND(J66*(1+(K66+IF(ISNUMBER(L66),L66,0))/30),1),""),"")</f>
        <v/>
      </c>
      <c r="T66" s="21" t="str">
        <f aca="false">IF(AND(F66="Bilbo",ISNUMBER(J66),ISNUMBER(K66)),ROUND(J66*(1+K66/30),1),"")</f>
        <v/>
      </c>
      <c r="W66" s="22"/>
      <c r="X66" s="21" t="str">
        <f aca="false">IF(AND(F66="Bilbo",E66&lt;&gt;"",G66&lt;&gt;"",H66&lt;&gt;""),E66&amp;"|"&amp;G66&amp;"|"&amp;H66,"")</f>
        <v/>
      </c>
      <c r="Y66" s="21" t="str">
        <f aca="false">IF(B66="","",IF(B66&lt;&gt;B65,1,0))</f>
        <v/>
      </c>
    </row>
    <row r="67" customFormat="false" ht="15" hidden="false" customHeight="true" outlineLevel="0" collapsed="false">
      <c r="A67" s="21" t="str">
        <f aca="false">IF(B67="","",ROW()-4)</f>
        <v/>
      </c>
      <c r="B67" s="22"/>
      <c r="C67" s="21" t="str">
        <f aca="false">IF(B67="","",CHOOSE(WEEKDAY(B67,2),"LUNES","MARTES","MIÉRCOLES","JUEVES","VIERNES","SÁBADO","DOMINGO"))</f>
        <v/>
      </c>
      <c r="M67" s="23"/>
      <c r="Q67" s="21" t="str">
        <f aca="false">IF(OR(K67="",N67=""),"",K67-N67)</f>
        <v/>
      </c>
      <c r="R67" s="21" t="str">
        <f aca="false">IF(OR(J67="",K67=""),"",J67*K67)</f>
        <v/>
      </c>
      <c r="S67" s="21" t="str">
        <f aca="false">IF(AND(ISNUMBER(J67),ISNUMBER(K67),F67&lt;&gt;"Calentamiento",F67&lt;&gt;"Bilbo"),IF(AND(K67&gt;0,K67&lt;=12),ROUND(J67*(1+(K67+IF(ISNUMBER(L67),L67,0))/30),1),""),"")</f>
        <v/>
      </c>
      <c r="T67" s="21" t="str">
        <f aca="false">IF(AND(F67="Bilbo",ISNUMBER(J67),ISNUMBER(K67)),ROUND(J67*(1+K67/30),1),"")</f>
        <v/>
      </c>
      <c r="W67" s="22"/>
      <c r="X67" s="21" t="str">
        <f aca="false">IF(AND(F67="Bilbo",E67&lt;&gt;"",G67&lt;&gt;"",H67&lt;&gt;""),E67&amp;"|"&amp;G67&amp;"|"&amp;H67,"")</f>
        <v/>
      </c>
      <c r="Y67" s="21" t="str">
        <f aca="false">IF(B67="","",IF(B67&lt;&gt;B66,1,0))</f>
        <v/>
      </c>
    </row>
    <row r="68" customFormat="false" ht="15" hidden="false" customHeight="true" outlineLevel="0" collapsed="false">
      <c r="A68" s="21" t="str">
        <f aca="false">IF(B68="","",ROW()-4)</f>
        <v/>
      </c>
      <c r="B68" s="22"/>
      <c r="C68" s="21" t="str">
        <f aca="false">IF(B68="","",CHOOSE(WEEKDAY(B68,2),"LUNES","MARTES","MIÉRCOLES","JUEVES","VIERNES","SÁBADO","DOMINGO"))</f>
        <v/>
      </c>
      <c r="M68" s="23"/>
      <c r="Q68" s="21" t="str">
        <f aca="false">IF(OR(K68="",N68=""),"",K68-N68)</f>
        <v/>
      </c>
      <c r="R68" s="21" t="str">
        <f aca="false">IF(OR(J68="",K68=""),"",J68*K68)</f>
        <v/>
      </c>
      <c r="S68" s="21" t="str">
        <f aca="false">IF(AND(ISNUMBER(J68),ISNUMBER(K68),F68&lt;&gt;"Calentamiento",F68&lt;&gt;"Bilbo"),IF(AND(K68&gt;0,K68&lt;=12),ROUND(J68*(1+(K68+IF(ISNUMBER(L68),L68,0))/30),1),""),"")</f>
        <v/>
      </c>
      <c r="T68" s="21" t="str">
        <f aca="false">IF(AND(F68="Bilbo",ISNUMBER(J68),ISNUMBER(K68)),ROUND(J68*(1+K68/30),1),"")</f>
        <v/>
      </c>
      <c r="W68" s="22"/>
      <c r="X68" s="21" t="str">
        <f aca="false">IF(AND(F68="Bilbo",E68&lt;&gt;"",G68&lt;&gt;"",H68&lt;&gt;""),E68&amp;"|"&amp;G68&amp;"|"&amp;H68,"")</f>
        <v/>
      </c>
      <c r="Y68" s="21" t="str">
        <f aca="false">IF(B68="","",IF(B68&lt;&gt;B67,1,0))</f>
        <v/>
      </c>
    </row>
    <row r="69" customFormat="false" ht="15" hidden="false" customHeight="true" outlineLevel="0" collapsed="false">
      <c r="A69" s="21" t="str">
        <f aca="false">IF(B69="","",ROW()-4)</f>
        <v/>
      </c>
      <c r="B69" s="22"/>
      <c r="C69" s="21" t="str">
        <f aca="false">IF(B69="","",CHOOSE(WEEKDAY(B69,2),"LUNES","MARTES","MIÉRCOLES","JUEVES","VIERNES","SÁBADO","DOMINGO"))</f>
        <v/>
      </c>
      <c r="M69" s="23"/>
      <c r="Q69" s="21" t="str">
        <f aca="false">IF(OR(K69="",N69=""),"",K69-N69)</f>
        <v/>
      </c>
      <c r="R69" s="21" t="str">
        <f aca="false">IF(OR(J69="",K69=""),"",J69*K69)</f>
        <v/>
      </c>
      <c r="S69" s="21" t="str">
        <f aca="false">IF(AND(ISNUMBER(J69),ISNUMBER(K69),F69&lt;&gt;"Calentamiento",F69&lt;&gt;"Bilbo"),IF(AND(K69&gt;0,K69&lt;=12),ROUND(J69*(1+(K69+IF(ISNUMBER(L69),L69,0))/30),1),""),"")</f>
        <v/>
      </c>
      <c r="T69" s="21" t="str">
        <f aca="false">IF(AND(F69="Bilbo",ISNUMBER(J69),ISNUMBER(K69)),ROUND(J69*(1+K69/30),1),"")</f>
        <v/>
      </c>
      <c r="W69" s="22"/>
      <c r="X69" s="21" t="str">
        <f aca="false">IF(AND(F69="Bilbo",E69&lt;&gt;"",G69&lt;&gt;"",H69&lt;&gt;""),E69&amp;"|"&amp;G69&amp;"|"&amp;H69,"")</f>
        <v/>
      </c>
      <c r="Y69" s="21" t="str">
        <f aca="false">IF(B69="","",IF(B69&lt;&gt;B68,1,0))</f>
        <v/>
      </c>
    </row>
    <row r="70" customFormat="false" ht="15" hidden="false" customHeight="true" outlineLevel="0" collapsed="false">
      <c r="A70" s="21" t="str">
        <f aca="false">IF(B70="","",ROW()-4)</f>
        <v/>
      </c>
      <c r="B70" s="22"/>
      <c r="C70" s="21" t="str">
        <f aca="false">IF(B70="","",CHOOSE(WEEKDAY(B70,2),"LUNES","MARTES","MIÉRCOLES","JUEVES","VIERNES","SÁBADO","DOMINGO"))</f>
        <v/>
      </c>
      <c r="M70" s="23"/>
      <c r="Q70" s="21" t="str">
        <f aca="false">IF(OR(K70="",N70=""),"",K70-N70)</f>
        <v/>
      </c>
      <c r="R70" s="21" t="str">
        <f aca="false">IF(OR(J70="",K70=""),"",J70*K70)</f>
        <v/>
      </c>
      <c r="S70" s="21" t="str">
        <f aca="false">IF(AND(ISNUMBER(J70),ISNUMBER(K70),F70&lt;&gt;"Calentamiento",F70&lt;&gt;"Bilbo"),IF(AND(K70&gt;0,K70&lt;=12),ROUND(J70*(1+(K70+IF(ISNUMBER(L70),L70,0))/30),1),""),"")</f>
        <v/>
      </c>
      <c r="T70" s="21" t="str">
        <f aca="false">IF(AND(F70="Bilbo",ISNUMBER(J70),ISNUMBER(K70)),ROUND(J70*(1+K70/30),1),"")</f>
        <v/>
      </c>
      <c r="W70" s="22"/>
      <c r="X70" s="21" t="str">
        <f aca="false">IF(AND(F70="Bilbo",E70&lt;&gt;"",G70&lt;&gt;"",H70&lt;&gt;""),E70&amp;"|"&amp;G70&amp;"|"&amp;H70,"")</f>
        <v/>
      </c>
      <c r="Y70" s="21" t="str">
        <f aca="false">IF(B70="","",IF(B70&lt;&gt;B69,1,0))</f>
        <v/>
      </c>
    </row>
    <row r="71" customFormat="false" ht="15" hidden="false" customHeight="true" outlineLevel="0" collapsed="false">
      <c r="A71" s="21" t="str">
        <f aca="false">IF(B71="","",ROW()-4)</f>
        <v/>
      </c>
      <c r="B71" s="22"/>
      <c r="C71" s="21" t="str">
        <f aca="false">IF(B71="","",CHOOSE(WEEKDAY(B71,2),"LUNES","MARTES","MIÉRCOLES","JUEVES","VIERNES","SÁBADO","DOMINGO"))</f>
        <v/>
      </c>
      <c r="M71" s="23"/>
      <c r="Q71" s="21" t="str">
        <f aca="false">IF(OR(K71="",N71=""),"",K71-N71)</f>
        <v/>
      </c>
      <c r="R71" s="21" t="str">
        <f aca="false">IF(OR(J71="",K71=""),"",J71*K71)</f>
        <v/>
      </c>
      <c r="S71" s="21" t="str">
        <f aca="false">IF(AND(ISNUMBER(J71),ISNUMBER(K71),F71&lt;&gt;"Calentamiento",F71&lt;&gt;"Bilbo"),IF(AND(K71&gt;0,K71&lt;=12),ROUND(J71*(1+(K71+IF(ISNUMBER(L71),L71,0))/30),1),""),"")</f>
        <v/>
      </c>
      <c r="T71" s="21" t="str">
        <f aca="false">IF(AND(F71="Bilbo",ISNUMBER(J71),ISNUMBER(K71)),ROUND(J71*(1+K71/30),1),"")</f>
        <v/>
      </c>
      <c r="W71" s="22"/>
      <c r="X71" s="21" t="str">
        <f aca="false">IF(AND(F71="Bilbo",E71&lt;&gt;"",G71&lt;&gt;"",H71&lt;&gt;""),E71&amp;"|"&amp;G71&amp;"|"&amp;H71,"")</f>
        <v/>
      </c>
      <c r="Y71" s="21" t="str">
        <f aca="false">IF(B71="","",IF(B71&lt;&gt;B70,1,0))</f>
        <v/>
      </c>
    </row>
    <row r="72" customFormat="false" ht="15" hidden="false" customHeight="true" outlineLevel="0" collapsed="false">
      <c r="A72" s="21" t="str">
        <f aca="false">IF(B72="","",ROW()-4)</f>
        <v/>
      </c>
      <c r="B72" s="22"/>
      <c r="C72" s="21" t="str">
        <f aca="false">IF(B72="","",CHOOSE(WEEKDAY(B72,2),"LUNES","MARTES","MIÉRCOLES","JUEVES","VIERNES","SÁBADO","DOMINGO"))</f>
        <v/>
      </c>
      <c r="M72" s="23"/>
      <c r="Q72" s="21" t="str">
        <f aca="false">IF(OR(K72="",N72=""),"",K72-N72)</f>
        <v/>
      </c>
      <c r="R72" s="21" t="str">
        <f aca="false">IF(OR(J72="",K72=""),"",J72*K72)</f>
        <v/>
      </c>
      <c r="S72" s="21" t="str">
        <f aca="false">IF(AND(ISNUMBER(J72),ISNUMBER(K72),F72&lt;&gt;"Calentamiento",F72&lt;&gt;"Bilbo"),IF(AND(K72&gt;0,K72&lt;=12),ROUND(J72*(1+(K72+IF(ISNUMBER(L72),L72,0))/30),1),""),"")</f>
        <v/>
      </c>
      <c r="T72" s="21" t="str">
        <f aca="false">IF(AND(F72="Bilbo",ISNUMBER(J72),ISNUMBER(K72)),ROUND(J72*(1+K72/30),1),"")</f>
        <v/>
      </c>
      <c r="W72" s="22"/>
      <c r="X72" s="21" t="str">
        <f aca="false">IF(AND(F72="Bilbo",E72&lt;&gt;"",G72&lt;&gt;"",H72&lt;&gt;""),E72&amp;"|"&amp;G72&amp;"|"&amp;H72,"")</f>
        <v/>
      </c>
      <c r="Y72" s="21" t="str">
        <f aca="false">IF(B72="","",IF(B72&lt;&gt;B71,1,0))</f>
        <v/>
      </c>
    </row>
    <row r="73" customFormat="false" ht="15" hidden="false" customHeight="true" outlineLevel="0" collapsed="false">
      <c r="A73" s="21" t="str">
        <f aca="false">IF(B73="","",ROW()-4)</f>
        <v/>
      </c>
      <c r="B73" s="22"/>
      <c r="C73" s="21" t="str">
        <f aca="false">IF(B73="","",CHOOSE(WEEKDAY(B73,2),"LUNES","MARTES","MIÉRCOLES","JUEVES","VIERNES","SÁBADO","DOMINGO"))</f>
        <v/>
      </c>
      <c r="M73" s="23"/>
      <c r="Q73" s="21" t="str">
        <f aca="false">IF(OR(K73="",N73=""),"",K73-N73)</f>
        <v/>
      </c>
      <c r="R73" s="21" t="str">
        <f aca="false">IF(OR(J73="",K73=""),"",J73*K73)</f>
        <v/>
      </c>
      <c r="S73" s="21" t="str">
        <f aca="false">IF(AND(ISNUMBER(J73),ISNUMBER(K73),F73&lt;&gt;"Calentamiento",F73&lt;&gt;"Bilbo"),IF(AND(K73&gt;0,K73&lt;=12),ROUND(J73*(1+(K73+IF(ISNUMBER(L73),L73,0))/30),1),""),"")</f>
        <v/>
      </c>
      <c r="T73" s="21" t="str">
        <f aca="false">IF(AND(F73="Bilbo",ISNUMBER(J73),ISNUMBER(K73)),ROUND(J73*(1+K73/30),1),"")</f>
        <v/>
      </c>
      <c r="W73" s="22"/>
      <c r="X73" s="21" t="str">
        <f aca="false">IF(AND(F73="Bilbo",E73&lt;&gt;"",G73&lt;&gt;"",H73&lt;&gt;""),E73&amp;"|"&amp;G73&amp;"|"&amp;H73,"")</f>
        <v/>
      </c>
      <c r="Y73" s="21" t="str">
        <f aca="false">IF(B73="","",IF(B73&lt;&gt;B72,1,0))</f>
        <v/>
      </c>
    </row>
    <row r="74" customFormat="false" ht="15" hidden="false" customHeight="true" outlineLevel="0" collapsed="false">
      <c r="A74" s="21" t="str">
        <f aca="false">IF(B74="","",ROW()-4)</f>
        <v/>
      </c>
      <c r="B74" s="22"/>
      <c r="C74" s="21" t="str">
        <f aca="false">IF(B74="","",CHOOSE(WEEKDAY(B74,2),"LUNES","MARTES","MIÉRCOLES","JUEVES","VIERNES","SÁBADO","DOMINGO"))</f>
        <v/>
      </c>
      <c r="M74" s="23"/>
      <c r="Q74" s="21" t="str">
        <f aca="false">IF(OR(K74="",N74=""),"",K74-N74)</f>
        <v/>
      </c>
      <c r="R74" s="21" t="str">
        <f aca="false">IF(OR(J74="",K74=""),"",J74*K74)</f>
        <v/>
      </c>
      <c r="S74" s="21" t="str">
        <f aca="false">IF(AND(ISNUMBER(J74),ISNUMBER(K74),F74&lt;&gt;"Calentamiento",F74&lt;&gt;"Bilbo"),IF(AND(K74&gt;0,K74&lt;=12),ROUND(J74*(1+(K74+IF(ISNUMBER(L74),L74,0))/30),1),""),"")</f>
        <v/>
      </c>
      <c r="T74" s="21" t="str">
        <f aca="false">IF(AND(F74="Bilbo",ISNUMBER(J74),ISNUMBER(K74)),ROUND(J74*(1+K74/30),1),"")</f>
        <v/>
      </c>
      <c r="W74" s="22"/>
      <c r="X74" s="21" t="str">
        <f aca="false">IF(AND(F74="Bilbo",E74&lt;&gt;"",G74&lt;&gt;"",H74&lt;&gt;""),E74&amp;"|"&amp;G74&amp;"|"&amp;H74,"")</f>
        <v/>
      </c>
      <c r="Y74" s="21" t="str">
        <f aca="false">IF(B74="","",IF(B74&lt;&gt;B73,1,0))</f>
        <v/>
      </c>
    </row>
    <row r="75" customFormat="false" ht="15" hidden="false" customHeight="true" outlineLevel="0" collapsed="false">
      <c r="A75" s="21" t="str">
        <f aca="false">IF(B75="","",ROW()-4)</f>
        <v/>
      </c>
      <c r="B75" s="22"/>
      <c r="C75" s="21" t="str">
        <f aca="false">IF(B75="","",CHOOSE(WEEKDAY(B75,2),"LUNES","MARTES","MIÉRCOLES","JUEVES","VIERNES","SÁBADO","DOMINGO"))</f>
        <v/>
      </c>
      <c r="M75" s="23"/>
      <c r="Q75" s="21" t="str">
        <f aca="false">IF(OR(K75="",N75=""),"",K75-N75)</f>
        <v/>
      </c>
      <c r="R75" s="21" t="str">
        <f aca="false">IF(OR(J75="",K75=""),"",J75*K75)</f>
        <v/>
      </c>
      <c r="S75" s="21" t="str">
        <f aca="false">IF(AND(ISNUMBER(J75),ISNUMBER(K75),F75&lt;&gt;"Calentamiento",F75&lt;&gt;"Bilbo"),IF(AND(K75&gt;0,K75&lt;=12),ROUND(J75*(1+(K75+IF(ISNUMBER(L75),L75,0))/30),1),""),"")</f>
        <v/>
      </c>
      <c r="T75" s="21" t="str">
        <f aca="false">IF(AND(F75="Bilbo",ISNUMBER(J75),ISNUMBER(K75)),ROUND(J75*(1+K75/30),1),"")</f>
        <v/>
      </c>
      <c r="W75" s="22"/>
      <c r="X75" s="21" t="str">
        <f aca="false">IF(AND(F75="Bilbo",E75&lt;&gt;"",G75&lt;&gt;"",H75&lt;&gt;""),E75&amp;"|"&amp;G75&amp;"|"&amp;H75,"")</f>
        <v/>
      </c>
      <c r="Y75" s="21" t="str">
        <f aca="false">IF(B75="","",IF(B75&lt;&gt;B74,1,0))</f>
        <v/>
      </c>
    </row>
    <row r="76" customFormat="false" ht="15" hidden="false" customHeight="true" outlineLevel="0" collapsed="false">
      <c r="A76" s="21" t="str">
        <f aca="false">IF(B76="","",ROW()-4)</f>
        <v/>
      </c>
      <c r="B76" s="22"/>
      <c r="C76" s="21" t="str">
        <f aca="false">IF(B76="","",CHOOSE(WEEKDAY(B76,2),"LUNES","MARTES","MIÉRCOLES","JUEVES","VIERNES","SÁBADO","DOMINGO"))</f>
        <v/>
      </c>
      <c r="M76" s="23"/>
      <c r="Q76" s="21" t="str">
        <f aca="false">IF(OR(K76="",N76=""),"",K76-N76)</f>
        <v/>
      </c>
      <c r="R76" s="21" t="str">
        <f aca="false">IF(OR(J76="",K76=""),"",J76*K76)</f>
        <v/>
      </c>
      <c r="S76" s="21" t="str">
        <f aca="false">IF(AND(ISNUMBER(J76),ISNUMBER(K76),F76&lt;&gt;"Calentamiento",F76&lt;&gt;"Bilbo"),IF(AND(K76&gt;0,K76&lt;=12),ROUND(J76*(1+(K76+IF(ISNUMBER(L76),L76,0))/30),1),""),"")</f>
        <v/>
      </c>
      <c r="T76" s="21" t="str">
        <f aca="false">IF(AND(F76="Bilbo",ISNUMBER(J76),ISNUMBER(K76)),ROUND(J76*(1+K76/30),1),"")</f>
        <v/>
      </c>
      <c r="W76" s="22"/>
      <c r="X76" s="21" t="str">
        <f aca="false">IF(AND(F76="Bilbo",E76&lt;&gt;"",G76&lt;&gt;"",H76&lt;&gt;""),E76&amp;"|"&amp;G76&amp;"|"&amp;H76,"")</f>
        <v/>
      </c>
      <c r="Y76" s="21" t="str">
        <f aca="false">IF(B76="","",IF(B76&lt;&gt;B75,1,0))</f>
        <v/>
      </c>
    </row>
    <row r="77" customFormat="false" ht="15" hidden="false" customHeight="true" outlineLevel="0" collapsed="false">
      <c r="A77" s="21" t="str">
        <f aca="false">IF(B77="","",ROW()-4)</f>
        <v/>
      </c>
      <c r="B77" s="22"/>
      <c r="C77" s="21" t="str">
        <f aca="false">IF(B77="","",CHOOSE(WEEKDAY(B77,2),"LUNES","MARTES","MIÉRCOLES","JUEVES","VIERNES","SÁBADO","DOMINGO"))</f>
        <v/>
      </c>
      <c r="M77" s="23"/>
      <c r="Q77" s="21" t="str">
        <f aca="false">IF(OR(K77="",N77=""),"",K77-N77)</f>
        <v/>
      </c>
      <c r="R77" s="21" t="str">
        <f aca="false">IF(OR(J77="",K77=""),"",J77*K77)</f>
        <v/>
      </c>
      <c r="S77" s="21" t="str">
        <f aca="false">IF(AND(ISNUMBER(J77),ISNUMBER(K77),F77&lt;&gt;"Calentamiento",F77&lt;&gt;"Bilbo"),IF(AND(K77&gt;0,K77&lt;=12),ROUND(J77*(1+(K77+IF(ISNUMBER(L77),L77,0))/30),1),""),"")</f>
        <v/>
      </c>
      <c r="T77" s="21" t="str">
        <f aca="false">IF(AND(F77="Bilbo",ISNUMBER(J77),ISNUMBER(K77)),ROUND(J77*(1+K77/30),1),"")</f>
        <v/>
      </c>
      <c r="W77" s="22"/>
      <c r="X77" s="21" t="str">
        <f aca="false">IF(AND(F77="Bilbo",E77&lt;&gt;"",G77&lt;&gt;"",H77&lt;&gt;""),E77&amp;"|"&amp;G77&amp;"|"&amp;H77,"")</f>
        <v/>
      </c>
      <c r="Y77" s="21" t="str">
        <f aca="false">IF(B77="","",IF(B77&lt;&gt;B76,1,0))</f>
        <v/>
      </c>
    </row>
    <row r="78" customFormat="false" ht="15" hidden="false" customHeight="true" outlineLevel="0" collapsed="false">
      <c r="A78" s="21" t="str">
        <f aca="false">IF(B78="","",ROW()-4)</f>
        <v/>
      </c>
      <c r="B78" s="22"/>
      <c r="C78" s="21" t="str">
        <f aca="false">IF(B78="","",CHOOSE(WEEKDAY(B78,2),"LUNES","MARTES","MIÉRCOLES","JUEVES","VIERNES","SÁBADO","DOMINGO"))</f>
        <v/>
      </c>
      <c r="M78" s="23"/>
      <c r="Q78" s="21" t="str">
        <f aca="false">IF(OR(K78="",N78=""),"",K78-N78)</f>
        <v/>
      </c>
      <c r="R78" s="21" t="str">
        <f aca="false">IF(OR(J78="",K78=""),"",J78*K78)</f>
        <v/>
      </c>
      <c r="S78" s="21" t="str">
        <f aca="false">IF(AND(ISNUMBER(J78),ISNUMBER(K78),F78&lt;&gt;"Calentamiento",F78&lt;&gt;"Bilbo"),IF(AND(K78&gt;0,K78&lt;=12),ROUND(J78*(1+(K78+IF(ISNUMBER(L78),L78,0))/30),1),""),"")</f>
        <v/>
      </c>
      <c r="T78" s="21" t="str">
        <f aca="false">IF(AND(F78="Bilbo",ISNUMBER(J78),ISNUMBER(K78)),ROUND(J78*(1+K78/30),1),"")</f>
        <v/>
      </c>
      <c r="W78" s="22"/>
      <c r="X78" s="21" t="str">
        <f aca="false">IF(AND(F78="Bilbo",E78&lt;&gt;"",G78&lt;&gt;"",H78&lt;&gt;""),E78&amp;"|"&amp;G78&amp;"|"&amp;H78,"")</f>
        <v/>
      </c>
      <c r="Y78" s="21" t="str">
        <f aca="false">IF(B78="","",IF(B78&lt;&gt;B77,1,0))</f>
        <v/>
      </c>
    </row>
    <row r="79" customFormat="false" ht="15" hidden="false" customHeight="true" outlineLevel="0" collapsed="false">
      <c r="A79" s="21" t="str">
        <f aca="false">IF(B79="","",ROW()-4)</f>
        <v/>
      </c>
      <c r="B79" s="22"/>
      <c r="C79" s="21" t="str">
        <f aca="false">IF(B79="","",CHOOSE(WEEKDAY(B79,2),"LUNES","MARTES","MIÉRCOLES","JUEVES","VIERNES","SÁBADO","DOMINGO"))</f>
        <v/>
      </c>
      <c r="M79" s="23"/>
      <c r="Q79" s="21" t="str">
        <f aca="false">IF(OR(K79="",N79=""),"",K79-N79)</f>
        <v/>
      </c>
      <c r="R79" s="21" t="str">
        <f aca="false">IF(OR(J79="",K79=""),"",J79*K79)</f>
        <v/>
      </c>
      <c r="S79" s="21" t="str">
        <f aca="false">IF(AND(ISNUMBER(J79),ISNUMBER(K79),F79&lt;&gt;"Calentamiento",F79&lt;&gt;"Bilbo"),IF(AND(K79&gt;0,K79&lt;=12),ROUND(J79*(1+(K79+IF(ISNUMBER(L79),L79,0))/30),1),""),"")</f>
        <v/>
      </c>
      <c r="T79" s="21" t="str">
        <f aca="false">IF(AND(F79="Bilbo",ISNUMBER(J79),ISNUMBER(K79)),ROUND(J79*(1+K79/30),1),"")</f>
        <v/>
      </c>
      <c r="W79" s="22"/>
      <c r="X79" s="21" t="str">
        <f aca="false">IF(AND(F79="Bilbo",E79&lt;&gt;"",G79&lt;&gt;"",H79&lt;&gt;""),E79&amp;"|"&amp;G79&amp;"|"&amp;H79,"")</f>
        <v/>
      </c>
      <c r="Y79" s="21" t="str">
        <f aca="false">IF(B79="","",IF(B79&lt;&gt;B78,1,0))</f>
        <v/>
      </c>
    </row>
    <row r="80" customFormat="false" ht="15" hidden="false" customHeight="true" outlineLevel="0" collapsed="false">
      <c r="A80" s="21" t="str">
        <f aca="false">IF(B80="","",ROW()-4)</f>
        <v/>
      </c>
      <c r="B80" s="22"/>
      <c r="C80" s="21" t="str">
        <f aca="false">IF(B80="","",CHOOSE(WEEKDAY(B80,2),"LUNES","MARTES","MIÉRCOLES","JUEVES","VIERNES","SÁBADO","DOMINGO"))</f>
        <v/>
      </c>
      <c r="M80" s="23"/>
      <c r="Q80" s="21" t="str">
        <f aca="false">IF(OR(K80="",N80=""),"",K80-N80)</f>
        <v/>
      </c>
      <c r="R80" s="21" t="str">
        <f aca="false">IF(OR(J80="",K80=""),"",J80*K80)</f>
        <v/>
      </c>
      <c r="S80" s="21" t="str">
        <f aca="false">IF(AND(ISNUMBER(J80),ISNUMBER(K80),F80&lt;&gt;"Calentamiento",F80&lt;&gt;"Bilbo"),IF(AND(K80&gt;0,K80&lt;=12),ROUND(J80*(1+(K80+IF(ISNUMBER(L80),L80,0))/30),1),""),"")</f>
        <v/>
      </c>
      <c r="T80" s="21" t="str">
        <f aca="false">IF(AND(F80="Bilbo",ISNUMBER(J80),ISNUMBER(K80)),ROUND(J80*(1+K80/30),1),"")</f>
        <v/>
      </c>
      <c r="W80" s="22"/>
      <c r="X80" s="21" t="str">
        <f aca="false">IF(AND(F80="Bilbo",E80&lt;&gt;"",G80&lt;&gt;"",H80&lt;&gt;""),E80&amp;"|"&amp;G80&amp;"|"&amp;H80,"")</f>
        <v/>
      </c>
      <c r="Y80" s="21" t="str">
        <f aca="false">IF(B80="","",IF(B80&lt;&gt;B79,1,0))</f>
        <v/>
      </c>
    </row>
    <row r="81" customFormat="false" ht="15" hidden="false" customHeight="true" outlineLevel="0" collapsed="false">
      <c r="A81" s="21" t="str">
        <f aca="false">IF(B81="","",ROW()-4)</f>
        <v/>
      </c>
      <c r="B81" s="22"/>
      <c r="C81" s="21" t="str">
        <f aca="false">IF(B81="","",CHOOSE(WEEKDAY(B81,2),"LUNES","MARTES","MIÉRCOLES","JUEVES","VIERNES","SÁBADO","DOMINGO"))</f>
        <v/>
      </c>
      <c r="M81" s="23"/>
      <c r="Q81" s="21" t="str">
        <f aca="false">IF(OR(K81="",N81=""),"",K81-N81)</f>
        <v/>
      </c>
      <c r="R81" s="21" t="str">
        <f aca="false">IF(OR(J81="",K81=""),"",J81*K81)</f>
        <v/>
      </c>
      <c r="S81" s="21" t="str">
        <f aca="false">IF(AND(ISNUMBER(J81),ISNUMBER(K81),F81&lt;&gt;"Calentamiento",F81&lt;&gt;"Bilbo"),IF(AND(K81&gt;0,K81&lt;=12),ROUND(J81*(1+(K81+IF(ISNUMBER(L81),L81,0))/30),1),""),"")</f>
        <v/>
      </c>
      <c r="T81" s="21" t="str">
        <f aca="false">IF(AND(F81="Bilbo",ISNUMBER(J81),ISNUMBER(K81)),ROUND(J81*(1+K81/30),1),"")</f>
        <v/>
      </c>
      <c r="W81" s="22"/>
      <c r="X81" s="21" t="str">
        <f aca="false">IF(AND(F81="Bilbo",E81&lt;&gt;"",G81&lt;&gt;"",H81&lt;&gt;""),E81&amp;"|"&amp;G81&amp;"|"&amp;H81,"")</f>
        <v/>
      </c>
      <c r="Y81" s="21" t="str">
        <f aca="false">IF(B81="","",IF(B81&lt;&gt;B80,1,0))</f>
        <v/>
      </c>
    </row>
    <row r="82" customFormat="false" ht="15" hidden="false" customHeight="true" outlineLevel="0" collapsed="false">
      <c r="A82" s="21" t="str">
        <f aca="false">IF(B82="","",ROW()-4)</f>
        <v/>
      </c>
      <c r="B82" s="22"/>
      <c r="C82" s="21" t="str">
        <f aca="false">IF(B82="","",CHOOSE(WEEKDAY(B82,2),"LUNES","MARTES","MIÉRCOLES","JUEVES","VIERNES","SÁBADO","DOMINGO"))</f>
        <v/>
      </c>
      <c r="M82" s="23"/>
      <c r="Q82" s="21" t="str">
        <f aca="false">IF(OR(K82="",N82=""),"",K82-N82)</f>
        <v/>
      </c>
      <c r="R82" s="21" t="str">
        <f aca="false">IF(OR(J82="",K82=""),"",J82*K82)</f>
        <v/>
      </c>
      <c r="S82" s="21" t="str">
        <f aca="false">IF(AND(ISNUMBER(J82),ISNUMBER(K82),F82&lt;&gt;"Calentamiento",F82&lt;&gt;"Bilbo"),IF(AND(K82&gt;0,K82&lt;=12),ROUND(J82*(1+(K82+IF(ISNUMBER(L82),L82,0))/30),1),""),"")</f>
        <v/>
      </c>
      <c r="T82" s="21" t="str">
        <f aca="false">IF(AND(F82="Bilbo",ISNUMBER(J82),ISNUMBER(K82)),ROUND(J82*(1+K82/30),1),"")</f>
        <v/>
      </c>
      <c r="W82" s="22"/>
      <c r="X82" s="21" t="str">
        <f aca="false">IF(AND(F82="Bilbo",E82&lt;&gt;"",G82&lt;&gt;"",H82&lt;&gt;""),E82&amp;"|"&amp;G82&amp;"|"&amp;H82,"")</f>
        <v/>
      </c>
      <c r="Y82" s="21" t="str">
        <f aca="false">IF(B82="","",IF(B82&lt;&gt;B81,1,0))</f>
        <v/>
      </c>
    </row>
    <row r="83" customFormat="false" ht="15" hidden="false" customHeight="true" outlineLevel="0" collapsed="false">
      <c r="A83" s="21" t="str">
        <f aca="false">IF(B83="","",ROW()-4)</f>
        <v/>
      </c>
      <c r="B83" s="22"/>
      <c r="C83" s="21" t="str">
        <f aca="false">IF(B83="","",CHOOSE(WEEKDAY(B83,2),"LUNES","MARTES","MIÉRCOLES","JUEVES","VIERNES","SÁBADO","DOMINGO"))</f>
        <v/>
      </c>
      <c r="M83" s="23"/>
      <c r="Q83" s="21" t="str">
        <f aca="false">IF(OR(K83="",N83=""),"",K83-N83)</f>
        <v/>
      </c>
      <c r="R83" s="21" t="str">
        <f aca="false">IF(OR(J83="",K83=""),"",J83*K83)</f>
        <v/>
      </c>
      <c r="S83" s="21" t="str">
        <f aca="false">IF(AND(ISNUMBER(J83),ISNUMBER(K83),F83&lt;&gt;"Calentamiento",F83&lt;&gt;"Bilbo"),IF(AND(K83&gt;0,K83&lt;=12),ROUND(J83*(1+(K83+IF(ISNUMBER(L83),L83,0))/30),1),""),"")</f>
        <v/>
      </c>
      <c r="T83" s="21" t="str">
        <f aca="false">IF(AND(F83="Bilbo",ISNUMBER(J83),ISNUMBER(K83)),ROUND(J83*(1+K83/30),1),"")</f>
        <v/>
      </c>
      <c r="W83" s="22"/>
      <c r="X83" s="21" t="str">
        <f aca="false">IF(AND(F83="Bilbo",E83&lt;&gt;"",G83&lt;&gt;"",H83&lt;&gt;""),E83&amp;"|"&amp;G83&amp;"|"&amp;H83,"")</f>
        <v/>
      </c>
      <c r="Y83" s="21" t="str">
        <f aca="false">IF(B83="","",IF(B83&lt;&gt;B82,1,0))</f>
        <v/>
      </c>
    </row>
    <row r="84" customFormat="false" ht="15" hidden="false" customHeight="true" outlineLevel="0" collapsed="false">
      <c r="A84" s="21" t="str">
        <f aca="false">IF(B84="","",ROW()-4)</f>
        <v/>
      </c>
      <c r="B84" s="22"/>
      <c r="C84" s="21" t="str">
        <f aca="false">IF(B84="","",CHOOSE(WEEKDAY(B84,2),"LUNES","MARTES","MIÉRCOLES","JUEVES","VIERNES","SÁBADO","DOMINGO"))</f>
        <v/>
      </c>
      <c r="M84" s="23"/>
      <c r="Q84" s="21" t="str">
        <f aca="false">IF(OR(K84="",N84=""),"",K84-N84)</f>
        <v/>
      </c>
      <c r="R84" s="21" t="str">
        <f aca="false">IF(OR(J84="",K84=""),"",J84*K84)</f>
        <v/>
      </c>
      <c r="S84" s="21" t="str">
        <f aca="false">IF(AND(ISNUMBER(J84),ISNUMBER(K84),F84&lt;&gt;"Calentamiento",F84&lt;&gt;"Bilbo"),IF(AND(K84&gt;0,K84&lt;=12),ROUND(J84*(1+(K84+IF(ISNUMBER(L84),L84,0))/30),1),""),"")</f>
        <v/>
      </c>
      <c r="T84" s="21" t="str">
        <f aca="false">IF(AND(F84="Bilbo",ISNUMBER(J84),ISNUMBER(K84)),ROUND(J84*(1+K84/30),1),"")</f>
        <v/>
      </c>
      <c r="W84" s="22"/>
      <c r="X84" s="21" t="str">
        <f aca="false">IF(AND(F84="Bilbo",E84&lt;&gt;"",G84&lt;&gt;"",H84&lt;&gt;""),E84&amp;"|"&amp;G84&amp;"|"&amp;H84,"")</f>
        <v/>
      </c>
      <c r="Y84" s="21" t="str">
        <f aca="false">IF(B84="","",IF(B84&lt;&gt;B83,1,0))</f>
        <v/>
      </c>
    </row>
    <row r="85" customFormat="false" ht="15" hidden="false" customHeight="true" outlineLevel="0" collapsed="false">
      <c r="A85" s="21" t="str">
        <f aca="false">IF(B85="","",ROW()-4)</f>
        <v/>
      </c>
      <c r="B85" s="22"/>
      <c r="C85" s="21" t="str">
        <f aca="false">IF(B85="","",CHOOSE(WEEKDAY(B85,2),"LUNES","MARTES","MIÉRCOLES","JUEVES","VIERNES","SÁBADO","DOMINGO"))</f>
        <v/>
      </c>
      <c r="M85" s="23"/>
      <c r="Q85" s="21" t="str">
        <f aca="false">IF(OR(K85="",N85=""),"",K85-N85)</f>
        <v/>
      </c>
      <c r="R85" s="21" t="str">
        <f aca="false">IF(OR(J85="",K85=""),"",J85*K85)</f>
        <v/>
      </c>
      <c r="S85" s="21" t="str">
        <f aca="false">IF(AND(ISNUMBER(J85),ISNUMBER(K85),F85&lt;&gt;"Calentamiento",F85&lt;&gt;"Bilbo"),IF(AND(K85&gt;0,K85&lt;=12),ROUND(J85*(1+(K85+IF(ISNUMBER(L85),L85,0))/30),1),""),"")</f>
        <v/>
      </c>
      <c r="T85" s="21" t="str">
        <f aca="false">IF(AND(F85="Bilbo",ISNUMBER(J85),ISNUMBER(K85)),ROUND(J85*(1+K85/30),1),"")</f>
        <v/>
      </c>
      <c r="W85" s="22"/>
      <c r="X85" s="21" t="str">
        <f aca="false">IF(AND(F85="Bilbo",E85&lt;&gt;"",G85&lt;&gt;"",H85&lt;&gt;""),E85&amp;"|"&amp;G85&amp;"|"&amp;H85,"")</f>
        <v/>
      </c>
      <c r="Y85" s="21" t="str">
        <f aca="false">IF(B85="","",IF(B85&lt;&gt;B84,1,0))</f>
        <v/>
      </c>
    </row>
    <row r="86" customFormat="false" ht="15" hidden="false" customHeight="true" outlineLevel="0" collapsed="false">
      <c r="A86" s="21" t="str">
        <f aca="false">IF(B86="","",ROW()-4)</f>
        <v/>
      </c>
      <c r="B86" s="22"/>
      <c r="C86" s="21" t="str">
        <f aca="false">IF(B86="","",CHOOSE(WEEKDAY(B86,2),"LUNES","MARTES","MIÉRCOLES","JUEVES","VIERNES","SÁBADO","DOMINGO"))</f>
        <v/>
      </c>
      <c r="M86" s="23"/>
      <c r="Q86" s="21" t="str">
        <f aca="false">IF(OR(K86="",N86=""),"",K86-N86)</f>
        <v/>
      </c>
      <c r="R86" s="21" t="str">
        <f aca="false">IF(OR(J86="",K86=""),"",J86*K86)</f>
        <v/>
      </c>
      <c r="S86" s="21" t="str">
        <f aca="false">IF(AND(ISNUMBER(J86),ISNUMBER(K86),F86&lt;&gt;"Calentamiento",F86&lt;&gt;"Bilbo"),IF(AND(K86&gt;0,K86&lt;=12),ROUND(J86*(1+(K86+IF(ISNUMBER(L86),L86,0))/30),1),""),"")</f>
        <v/>
      </c>
      <c r="T86" s="21" t="str">
        <f aca="false">IF(AND(F86="Bilbo",ISNUMBER(J86),ISNUMBER(K86)),ROUND(J86*(1+K86/30),1),"")</f>
        <v/>
      </c>
      <c r="W86" s="22"/>
      <c r="X86" s="21" t="str">
        <f aca="false">IF(AND(F86="Bilbo",E86&lt;&gt;"",G86&lt;&gt;"",H86&lt;&gt;""),E86&amp;"|"&amp;G86&amp;"|"&amp;H86,"")</f>
        <v/>
      </c>
      <c r="Y86" s="21" t="str">
        <f aca="false">IF(B86="","",IF(B86&lt;&gt;B85,1,0))</f>
        <v/>
      </c>
    </row>
    <row r="87" customFormat="false" ht="15" hidden="false" customHeight="true" outlineLevel="0" collapsed="false">
      <c r="A87" s="21" t="str">
        <f aca="false">IF(B87="","",ROW()-4)</f>
        <v/>
      </c>
      <c r="B87" s="22"/>
      <c r="C87" s="21" t="str">
        <f aca="false">IF(B87="","",CHOOSE(WEEKDAY(B87,2),"LUNES","MARTES","MIÉRCOLES","JUEVES","VIERNES","SÁBADO","DOMINGO"))</f>
        <v/>
      </c>
      <c r="M87" s="23"/>
      <c r="Q87" s="21" t="str">
        <f aca="false">IF(OR(K87="",N87=""),"",K87-N87)</f>
        <v/>
      </c>
      <c r="R87" s="21" t="str">
        <f aca="false">IF(OR(J87="",K87=""),"",J87*K87)</f>
        <v/>
      </c>
      <c r="S87" s="21" t="str">
        <f aca="false">IF(AND(ISNUMBER(J87),ISNUMBER(K87),F87&lt;&gt;"Calentamiento",F87&lt;&gt;"Bilbo"),IF(AND(K87&gt;0,K87&lt;=12),ROUND(J87*(1+(K87+IF(ISNUMBER(L87),L87,0))/30),1),""),"")</f>
        <v/>
      </c>
      <c r="T87" s="21" t="str">
        <f aca="false">IF(AND(F87="Bilbo",ISNUMBER(J87),ISNUMBER(K87)),ROUND(J87*(1+K87/30),1),"")</f>
        <v/>
      </c>
      <c r="W87" s="22"/>
      <c r="X87" s="21" t="str">
        <f aca="false">IF(AND(F87="Bilbo",E87&lt;&gt;"",G87&lt;&gt;"",H87&lt;&gt;""),E87&amp;"|"&amp;G87&amp;"|"&amp;H87,"")</f>
        <v/>
      </c>
      <c r="Y87" s="21" t="str">
        <f aca="false">IF(B87="","",IF(B87&lt;&gt;B86,1,0))</f>
        <v/>
      </c>
    </row>
    <row r="88" customFormat="false" ht="15" hidden="false" customHeight="true" outlineLevel="0" collapsed="false">
      <c r="A88" s="21" t="str">
        <f aca="false">IF(B88="","",ROW()-4)</f>
        <v/>
      </c>
      <c r="B88" s="22"/>
      <c r="C88" s="21" t="str">
        <f aca="false">IF(B88="","",CHOOSE(WEEKDAY(B88,2),"LUNES","MARTES","MIÉRCOLES","JUEVES","VIERNES","SÁBADO","DOMINGO"))</f>
        <v/>
      </c>
      <c r="M88" s="23"/>
      <c r="Q88" s="21" t="str">
        <f aca="false">IF(OR(K88="",N88=""),"",K88-N88)</f>
        <v/>
      </c>
      <c r="R88" s="21" t="str">
        <f aca="false">IF(OR(J88="",K88=""),"",J88*K88)</f>
        <v/>
      </c>
      <c r="S88" s="21" t="str">
        <f aca="false">IF(AND(ISNUMBER(J88),ISNUMBER(K88),F88&lt;&gt;"Calentamiento",F88&lt;&gt;"Bilbo"),IF(AND(K88&gt;0,K88&lt;=12),ROUND(J88*(1+(K88+IF(ISNUMBER(L88),L88,0))/30),1),""),"")</f>
        <v/>
      </c>
      <c r="T88" s="21" t="str">
        <f aca="false">IF(AND(F88="Bilbo",ISNUMBER(J88),ISNUMBER(K88)),ROUND(J88*(1+K88/30),1),"")</f>
        <v/>
      </c>
      <c r="W88" s="22"/>
      <c r="X88" s="21" t="str">
        <f aca="false">IF(AND(F88="Bilbo",E88&lt;&gt;"",G88&lt;&gt;"",H88&lt;&gt;""),E88&amp;"|"&amp;G88&amp;"|"&amp;H88,"")</f>
        <v/>
      </c>
      <c r="Y88" s="21" t="str">
        <f aca="false">IF(B88="","",IF(B88&lt;&gt;B87,1,0))</f>
        <v/>
      </c>
    </row>
    <row r="89" customFormat="false" ht="15" hidden="false" customHeight="true" outlineLevel="0" collapsed="false">
      <c r="A89" s="21" t="str">
        <f aca="false">IF(B89="","",ROW()-4)</f>
        <v/>
      </c>
      <c r="B89" s="22"/>
      <c r="C89" s="21" t="str">
        <f aca="false">IF(B89="","",CHOOSE(WEEKDAY(B89,2),"LUNES","MARTES","MIÉRCOLES","JUEVES","VIERNES","SÁBADO","DOMINGO"))</f>
        <v/>
      </c>
      <c r="M89" s="23"/>
      <c r="Q89" s="21" t="str">
        <f aca="false">IF(OR(K89="",N89=""),"",K89-N89)</f>
        <v/>
      </c>
      <c r="R89" s="21" t="str">
        <f aca="false">IF(OR(J89="",K89=""),"",J89*K89)</f>
        <v/>
      </c>
      <c r="S89" s="21" t="str">
        <f aca="false">IF(AND(ISNUMBER(J89),ISNUMBER(K89),F89&lt;&gt;"Calentamiento",F89&lt;&gt;"Bilbo"),IF(AND(K89&gt;0,K89&lt;=12),ROUND(J89*(1+(K89+IF(ISNUMBER(L89),L89,0))/30),1),""),"")</f>
        <v/>
      </c>
      <c r="T89" s="21" t="str">
        <f aca="false">IF(AND(F89="Bilbo",ISNUMBER(J89),ISNUMBER(K89)),ROUND(J89*(1+K89/30),1),"")</f>
        <v/>
      </c>
      <c r="W89" s="22"/>
      <c r="X89" s="21" t="str">
        <f aca="false">IF(AND(F89="Bilbo",E89&lt;&gt;"",G89&lt;&gt;"",H89&lt;&gt;""),E89&amp;"|"&amp;G89&amp;"|"&amp;H89,"")</f>
        <v/>
      </c>
      <c r="Y89" s="21" t="str">
        <f aca="false">IF(B89="","",IF(B89&lt;&gt;B88,1,0))</f>
        <v/>
      </c>
    </row>
    <row r="90" customFormat="false" ht="15" hidden="false" customHeight="true" outlineLevel="0" collapsed="false">
      <c r="A90" s="21" t="str">
        <f aca="false">IF(B90="","",ROW()-4)</f>
        <v/>
      </c>
      <c r="B90" s="22"/>
      <c r="C90" s="21" t="str">
        <f aca="false">IF(B90="","",CHOOSE(WEEKDAY(B90,2),"LUNES","MARTES","MIÉRCOLES","JUEVES","VIERNES","SÁBADO","DOMINGO"))</f>
        <v/>
      </c>
      <c r="M90" s="23"/>
      <c r="Q90" s="21" t="str">
        <f aca="false">IF(OR(K90="",N90=""),"",K90-N90)</f>
        <v/>
      </c>
      <c r="R90" s="21" t="str">
        <f aca="false">IF(OR(J90="",K90=""),"",J90*K90)</f>
        <v/>
      </c>
      <c r="S90" s="21" t="str">
        <f aca="false">IF(AND(ISNUMBER(J90),ISNUMBER(K90),F90&lt;&gt;"Calentamiento",F90&lt;&gt;"Bilbo"),IF(AND(K90&gt;0,K90&lt;=12),ROUND(J90*(1+(K90+IF(ISNUMBER(L90),L90,0))/30),1),""),"")</f>
        <v/>
      </c>
      <c r="T90" s="21" t="str">
        <f aca="false">IF(AND(F90="Bilbo",ISNUMBER(J90),ISNUMBER(K90)),ROUND(J90*(1+K90/30),1),"")</f>
        <v/>
      </c>
      <c r="W90" s="22"/>
      <c r="X90" s="21" t="str">
        <f aca="false">IF(AND(F90="Bilbo",E90&lt;&gt;"",G90&lt;&gt;"",H90&lt;&gt;""),E90&amp;"|"&amp;G90&amp;"|"&amp;H90,"")</f>
        <v/>
      </c>
      <c r="Y90" s="21" t="str">
        <f aca="false">IF(B90="","",IF(B90&lt;&gt;B89,1,0))</f>
        <v/>
      </c>
    </row>
    <row r="91" customFormat="false" ht="15" hidden="false" customHeight="true" outlineLevel="0" collapsed="false">
      <c r="A91" s="21" t="str">
        <f aca="false">IF(B91="","",ROW()-4)</f>
        <v/>
      </c>
      <c r="B91" s="22"/>
      <c r="C91" s="21" t="str">
        <f aca="false">IF(B91="","",CHOOSE(WEEKDAY(B91,2),"LUNES","MARTES","MIÉRCOLES","JUEVES","VIERNES","SÁBADO","DOMINGO"))</f>
        <v/>
      </c>
      <c r="M91" s="23"/>
      <c r="Q91" s="21" t="str">
        <f aca="false">IF(OR(K91="",N91=""),"",K91-N91)</f>
        <v/>
      </c>
      <c r="R91" s="21" t="str">
        <f aca="false">IF(OR(J91="",K91=""),"",J91*K91)</f>
        <v/>
      </c>
      <c r="S91" s="21" t="str">
        <f aca="false">IF(AND(ISNUMBER(J91),ISNUMBER(K91),F91&lt;&gt;"Calentamiento",F91&lt;&gt;"Bilbo"),IF(AND(K91&gt;0,K91&lt;=12),ROUND(J91*(1+(K91+IF(ISNUMBER(L91),L91,0))/30),1),""),"")</f>
        <v/>
      </c>
      <c r="T91" s="21" t="str">
        <f aca="false">IF(AND(F91="Bilbo",ISNUMBER(J91),ISNUMBER(K91)),ROUND(J91*(1+K91/30),1),"")</f>
        <v/>
      </c>
      <c r="W91" s="22"/>
      <c r="X91" s="21" t="str">
        <f aca="false">IF(AND(F91="Bilbo",E91&lt;&gt;"",G91&lt;&gt;"",H91&lt;&gt;""),E91&amp;"|"&amp;G91&amp;"|"&amp;H91,"")</f>
        <v/>
      </c>
      <c r="Y91" s="21" t="str">
        <f aca="false">IF(B91="","",IF(B91&lt;&gt;B90,1,0))</f>
        <v/>
      </c>
    </row>
    <row r="92" customFormat="false" ht="15" hidden="false" customHeight="true" outlineLevel="0" collapsed="false">
      <c r="A92" s="21" t="str">
        <f aca="false">IF(B92="","",ROW()-4)</f>
        <v/>
      </c>
      <c r="B92" s="22"/>
      <c r="C92" s="21" t="str">
        <f aca="false">IF(B92="","",CHOOSE(WEEKDAY(B92,2),"LUNES","MARTES","MIÉRCOLES","JUEVES","VIERNES","SÁBADO","DOMINGO"))</f>
        <v/>
      </c>
      <c r="M92" s="23"/>
      <c r="Q92" s="21" t="str">
        <f aca="false">IF(OR(K92="",N92=""),"",K92-N92)</f>
        <v/>
      </c>
      <c r="R92" s="21" t="str">
        <f aca="false">IF(OR(J92="",K92=""),"",J92*K92)</f>
        <v/>
      </c>
      <c r="S92" s="21" t="str">
        <f aca="false">IF(AND(ISNUMBER(J92),ISNUMBER(K92),F92&lt;&gt;"Calentamiento",F92&lt;&gt;"Bilbo"),IF(AND(K92&gt;0,K92&lt;=12),ROUND(J92*(1+(K92+IF(ISNUMBER(L92),L92,0))/30),1),""),"")</f>
        <v/>
      </c>
      <c r="T92" s="21" t="str">
        <f aca="false">IF(AND(F92="Bilbo",ISNUMBER(J92),ISNUMBER(K92)),ROUND(J92*(1+K92/30),1),"")</f>
        <v/>
      </c>
      <c r="W92" s="22"/>
      <c r="X92" s="21" t="str">
        <f aca="false">IF(AND(F92="Bilbo",E92&lt;&gt;"",G92&lt;&gt;"",H92&lt;&gt;""),E92&amp;"|"&amp;G92&amp;"|"&amp;H92,"")</f>
        <v/>
      </c>
      <c r="Y92" s="21" t="str">
        <f aca="false">IF(B92="","",IF(B92&lt;&gt;B91,1,0))</f>
        <v/>
      </c>
    </row>
    <row r="93" customFormat="false" ht="15" hidden="false" customHeight="true" outlineLevel="0" collapsed="false">
      <c r="A93" s="21" t="str">
        <f aca="false">IF(B93="","",ROW()-4)</f>
        <v/>
      </c>
      <c r="B93" s="22"/>
      <c r="C93" s="21" t="str">
        <f aca="false">IF(B93="","",CHOOSE(WEEKDAY(B93,2),"LUNES","MARTES","MIÉRCOLES","JUEVES","VIERNES","SÁBADO","DOMINGO"))</f>
        <v/>
      </c>
      <c r="M93" s="23"/>
      <c r="Q93" s="21" t="str">
        <f aca="false">IF(OR(K93="",N93=""),"",K93-N93)</f>
        <v/>
      </c>
      <c r="R93" s="21" t="str">
        <f aca="false">IF(OR(J93="",K93=""),"",J93*K93)</f>
        <v/>
      </c>
      <c r="S93" s="21" t="str">
        <f aca="false">IF(AND(ISNUMBER(J93),ISNUMBER(K93),F93&lt;&gt;"Calentamiento",F93&lt;&gt;"Bilbo"),IF(AND(K93&gt;0,K93&lt;=12),ROUND(J93*(1+(K93+IF(ISNUMBER(L93),L93,0))/30),1),""),"")</f>
        <v/>
      </c>
      <c r="T93" s="21" t="str">
        <f aca="false">IF(AND(F93="Bilbo",ISNUMBER(J93),ISNUMBER(K93)),ROUND(J93*(1+K93/30),1),"")</f>
        <v/>
      </c>
      <c r="W93" s="22"/>
      <c r="X93" s="21" t="str">
        <f aca="false">IF(AND(F93="Bilbo",E93&lt;&gt;"",G93&lt;&gt;"",H93&lt;&gt;""),E93&amp;"|"&amp;G93&amp;"|"&amp;H93,"")</f>
        <v/>
      </c>
      <c r="Y93" s="21" t="str">
        <f aca="false">IF(B93="","",IF(B93&lt;&gt;B92,1,0))</f>
        <v/>
      </c>
    </row>
    <row r="94" customFormat="false" ht="15" hidden="false" customHeight="true" outlineLevel="0" collapsed="false">
      <c r="A94" s="21" t="str">
        <f aca="false">IF(B94="","",ROW()-4)</f>
        <v/>
      </c>
      <c r="B94" s="22"/>
      <c r="C94" s="21" t="str">
        <f aca="false">IF(B94="","",CHOOSE(WEEKDAY(B94,2),"LUNES","MARTES","MIÉRCOLES","JUEVES","VIERNES","SÁBADO","DOMINGO"))</f>
        <v/>
      </c>
      <c r="M94" s="23"/>
      <c r="Q94" s="21" t="str">
        <f aca="false">IF(OR(K94="",N94=""),"",K94-N94)</f>
        <v/>
      </c>
      <c r="R94" s="21" t="str">
        <f aca="false">IF(OR(J94="",K94=""),"",J94*K94)</f>
        <v/>
      </c>
      <c r="S94" s="21" t="str">
        <f aca="false">IF(AND(ISNUMBER(J94),ISNUMBER(K94),F94&lt;&gt;"Calentamiento",F94&lt;&gt;"Bilbo"),IF(AND(K94&gt;0,K94&lt;=12),ROUND(J94*(1+(K94+IF(ISNUMBER(L94),L94,0))/30),1),""),"")</f>
        <v/>
      </c>
      <c r="T94" s="21" t="str">
        <f aca="false">IF(AND(F94="Bilbo",ISNUMBER(J94),ISNUMBER(K94)),ROUND(J94*(1+K94/30),1),"")</f>
        <v/>
      </c>
      <c r="W94" s="22"/>
      <c r="X94" s="21" t="str">
        <f aca="false">IF(AND(F94="Bilbo",E94&lt;&gt;"",G94&lt;&gt;"",H94&lt;&gt;""),E94&amp;"|"&amp;G94&amp;"|"&amp;H94,"")</f>
        <v/>
      </c>
      <c r="Y94" s="21" t="str">
        <f aca="false">IF(B94="","",IF(B94&lt;&gt;B93,1,0))</f>
        <v/>
      </c>
    </row>
    <row r="95" customFormat="false" ht="15" hidden="false" customHeight="true" outlineLevel="0" collapsed="false">
      <c r="A95" s="21" t="str">
        <f aca="false">IF(B95="","",ROW()-4)</f>
        <v/>
      </c>
      <c r="B95" s="22"/>
      <c r="C95" s="21" t="str">
        <f aca="false">IF(B95="","",CHOOSE(WEEKDAY(B95,2),"LUNES","MARTES","MIÉRCOLES","JUEVES","VIERNES","SÁBADO","DOMINGO"))</f>
        <v/>
      </c>
      <c r="M95" s="23"/>
      <c r="Q95" s="21" t="str">
        <f aca="false">IF(OR(K95="",N95=""),"",K95-N95)</f>
        <v/>
      </c>
      <c r="R95" s="21" t="str">
        <f aca="false">IF(OR(J95="",K95=""),"",J95*K95)</f>
        <v/>
      </c>
      <c r="S95" s="21" t="str">
        <f aca="false">IF(AND(ISNUMBER(J95),ISNUMBER(K95),F95&lt;&gt;"Calentamiento",F95&lt;&gt;"Bilbo"),IF(AND(K95&gt;0,K95&lt;=12),ROUND(J95*(1+(K95+IF(ISNUMBER(L95),L95,0))/30),1),""),"")</f>
        <v/>
      </c>
      <c r="T95" s="21" t="str">
        <f aca="false">IF(AND(F95="Bilbo",ISNUMBER(J95),ISNUMBER(K95)),ROUND(J95*(1+K95/30),1),"")</f>
        <v/>
      </c>
      <c r="W95" s="22"/>
      <c r="X95" s="21" t="str">
        <f aca="false">IF(AND(F95="Bilbo",E95&lt;&gt;"",G95&lt;&gt;"",H95&lt;&gt;""),E95&amp;"|"&amp;G95&amp;"|"&amp;H95,"")</f>
        <v/>
      </c>
      <c r="Y95" s="21" t="str">
        <f aca="false">IF(B95="","",IF(B95&lt;&gt;B94,1,0))</f>
        <v/>
      </c>
    </row>
    <row r="96" customFormat="false" ht="15" hidden="false" customHeight="true" outlineLevel="0" collapsed="false">
      <c r="A96" s="21" t="str">
        <f aca="false">IF(B96="","",ROW()-4)</f>
        <v/>
      </c>
      <c r="B96" s="22"/>
      <c r="C96" s="21" t="str">
        <f aca="false">IF(B96="","",CHOOSE(WEEKDAY(B96,2),"LUNES","MARTES","MIÉRCOLES","JUEVES","VIERNES","SÁBADO","DOMINGO"))</f>
        <v/>
      </c>
      <c r="M96" s="23"/>
      <c r="Q96" s="21" t="str">
        <f aca="false">IF(OR(K96="",N96=""),"",K96-N96)</f>
        <v/>
      </c>
      <c r="R96" s="21" t="str">
        <f aca="false">IF(OR(J96="",K96=""),"",J96*K96)</f>
        <v/>
      </c>
      <c r="S96" s="21" t="str">
        <f aca="false">IF(AND(ISNUMBER(J96),ISNUMBER(K96),F96&lt;&gt;"Calentamiento",F96&lt;&gt;"Bilbo"),IF(AND(K96&gt;0,K96&lt;=12),ROUND(J96*(1+(K96+IF(ISNUMBER(L96),L96,0))/30),1),""),"")</f>
        <v/>
      </c>
      <c r="T96" s="21" t="str">
        <f aca="false">IF(AND(F96="Bilbo",ISNUMBER(J96),ISNUMBER(K96)),ROUND(J96*(1+K96/30),1),"")</f>
        <v/>
      </c>
      <c r="W96" s="22"/>
      <c r="X96" s="21" t="str">
        <f aca="false">IF(AND(F96="Bilbo",E96&lt;&gt;"",G96&lt;&gt;"",H96&lt;&gt;""),E96&amp;"|"&amp;G96&amp;"|"&amp;H96,"")</f>
        <v/>
      </c>
      <c r="Y96" s="21" t="str">
        <f aca="false">IF(B96="","",IF(B96&lt;&gt;B95,1,0))</f>
        <v/>
      </c>
    </row>
    <row r="97" customFormat="false" ht="15" hidden="false" customHeight="true" outlineLevel="0" collapsed="false">
      <c r="A97" s="21" t="str">
        <f aca="false">IF(B97="","",ROW()-4)</f>
        <v/>
      </c>
      <c r="B97" s="22"/>
      <c r="C97" s="21" t="str">
        <f aca="false">IF(B97="","",CHOOSE(WEEKDAY(B97,2),"LUNES","MARTES","MIÉRCOLES","JUEVES","VIERNES","SÁBADO","DOMINGO"))</f>
        <v/>
      </c>
      <c r="M97" s="23"/>
      <c r="Q97" s="21" t="str">
        <f aca="false">IF(OR(K97="",N97=""),"",K97-N97)</f>
        <v/>
      </c>
      <c r="R97" s="21" t="str">
        <f aca="false">IF(OR(J97="",K97=""),"",J97*K97)</f>
        <v/>
      </c>
      <c r="S97" s="21" t="str">
        <f aca="false">IF(AND(ISNUMBER(J97),ISNUMBER(K97),F97&lt;&gt;"Calentamiento",F97&lt;&gt;"Bilbo"),IF(AND(K97&gt;0,K97&lt;=12),ROUND(J97*(1+(K97+IF(ISNUMBER(L97),L97,0))/30),1),""),"")</f>
        <v/>
      </c>
      <c r="T97" s="21" t="str">
        <f aca="false">IF(AND(F97="Bilbo",ISNUMBER(J97),ISNUMBER(K97)),ROUND(J97*(1+K97/30),1),"")</f>
        <v/>
      </c>
      <c r="W97" s="22"/>
      <c r="X97" s="21" t="str">
        <f aca="false">IF(AND(F97="Bilbo",E97&lt;&gt;"",G97&lt;&gt;"",H97&lt;&gt;""),E97&amp;"|"&amp;G97&amp;"|"&amp;H97,"")</f>
        <v/>
      </c>
      <c r="Y97" s="21" t="str">
        <f aca="false">IF(B97="","",IF(B97&lt;&gt;B96,1,0))</f>
        <v/>
      </c>
    </row>
    <row r="98" customFormat="false" ht="15" hidden="false" customHeight="true" outlineLevel="0" collapsed="false">
      <c r="A98" s="21" t="str">
        <f aca="false">IF(B98="","",ROW()-4)</f>
        <v/>
      </c>
      <c r="B98" s="22"/>
      <c r="C98" s="21" t="str">
        <f aca="false">IF(B98="","",CHOOSE(WEEKDAY(B98,2),"LUNES","MARTES","MIÉRCOLES","JUEVES","VIERNES","SÁBADO","DOMINGO"))</f>
        <v/>
      </c>
      <c r="M98" s="23"/>
      <c r="Q98" s="21" t="str">
        <f aca="false">IF(OR(K98="",N98=""),"",K98-N98)</f>
        <v/>
      </c>
      <c r="R98" s="21" t="str">
        <f aca="false">IF(OR(J98="",K98=""),"",J98*K98)</f>
        <v/>
      </c>
      <c r="S98" s="21" t="str">
        <f aca="false">IF(AND(ISNUMBER(J98),ISNUMBER(K98),F98&lt;&gt;"Calentamiento",F98&lt;&gt;"Bilbo"),IF(AND(K98&gt;0,K98&lt;=12),ROUND(J98*(1+(K98+IF(ISNUMBER(L98),L98,0))/30),1),""),"")</f>
        <v/>
      </c>
      <c r="T98" s="21" t="str">
        <f aca="false">IF(AND(F98="Bilbo",ISNUMBER(J98),ISNUMBER(K98)),ROUND(J98*(1+K98/30),1),"")</f>
        <v/>
      </c>
      <c r="W98" s="22"/>
      <c r="X98" s="21" t="str">
        <f aca="false">IF(AND(F98="Bilbo",E98&lt;&gt;"",G98&lt;&gt;"",H98&lt;&gt;""),E98&amp;"|"&amp;G98&amp;"|"&amp;H98,"")</f>
        <v/>
      </c>
      <c r="Y98" s="21" t="str">
        <f aca="false">IF(B98="","",IF(B98&lt;&gt;B97,1,0))</f>
        <v/>
      </c>
    </row>
    <row r="99" customFormat="false" ht="15" hidden="false" customHeight="true" outlineLevel="0" collapsed="false">
      <c r="A99" s="21" t="str">
        <f aca="false">IF(B99="","",ROW()-4)</f>
        <v/>
      </c>
      <c r="B99" s="22"/>
      <c r="C99" s="21" t="str">
        <f aca="false">IF(B99="","",CHOOSE(WEEKDAY(B99,2),"LUNES","MARTES","MIÉRCOLES","JUEVES","VIERNES","SÁBADO","DOMINGO"))</f>
        <v/>
      </c>
      <c r="M99" s="23"/>
      <c r="Q99" s="21" t="str">
        <f aca="false">IF(OR(K99="",N99=""),"",K99-N99)</f>
        <v/>
      </c>
      <c r="R99" s="21" t="str">
        <f aca="false">IF(OR(J99="",K99=""),"",J99*K99)</f>
        <v/>
      </c>
      <c r="S99" s="21" t="str">
        <f aca="false">IF(AND(ISNUMBER(J99),ISNUMBER(K99),F99&lt;&gt;"Calentamiento",F99&lt;&gt;"Bilbo"),IF(AND(K99&gt;0,K99&lt;=12),ROUND(J99*(1+(K99+IF(ISNUMBER(L99),L99,0))/30),1),""),"")</f>
        <v/>
      </c>
      <c r="T99" s="21" t="str">
        <f aca="false">IF(AND(F99="Bilbo",ISNUMBER(J99),ISNUMBER(K99)),ROUND(J99*(1+K99/30),1),"")</f>
        <v/>
      </c>
      <c r="W99" s="22"/>
      <c r="X99" s="21" t="str">
        <f aca="false">IF(AND(F99="Bilbo",E99&lt;&gt;"",G99&lt;&gt;"",H99&lt;&gt;""),E99&amp;"|"&amp;G99&amp;"|"&amp;H99,"")</f>
        <v/>
      </c>
      <c r="Y99" s="21" t="str">
        <f aca="false">IF(B99="","",IF(B99&lt;&gt;B98,1,0))</f>
        <v/>
      </c>
    </row>
    <row r="100" customFormat="false" ht="15" hidden="false" customHeight="true" outlineLevel="0" collapsed="false">
      <c r="A100" s="21" t="str">
        <f aca="false">IF(B100="","",ROW()-4)</f>
        <v/>
      </c>
      <c r="B100" s="22"/>
      <c r="C100" s="21" t="str">
        <f aca="false">IF(B100="","",CHOOSE(WEEKDAY(B100,2),"LUNES","MARTES","MIÉRCOLES","JUEVES","VIERNES","SÁBADO","DOMINGO"))</f>
        <v/>
      </c>
      <c r="M100" s="23"/>
      <c r="Q100" s="21" t="str">
        <f aca="false">IF(OR(K100="",N100=""),"",K100-N100)</f>
        <v/>
      </c>
      <c r="R100" s="21" t="str">
        <f aca="false">IF(OR(J100="",K100=""),"",J100*K100)</f>
        <v/>
      </c>
      <c r="S100" s="21" t="str">
        <f aca="false">IF(AND(ISNUMBER(J100),ISNUMBER(K100),F100&lt;&gt;"Calentamiento",F100&lt;&gt;"Bilbo"),IF(AND(K100&gt;0,K100&lt;=12),ROUND(J100*(1+(K100+IF(ISNUMBER(L100),L100,0))/30),1),""),"")</f>
        <v/>
      </c>
      <c r="T100" s="21" t="str">
        <f aca="false">IF(AND(F100="Bilbo",ISNUMBER(J100),ISNUMBER(K100)),ROUND(J100*(1+K100/30),1),"")</f>
        <v/>
      </c>
      <c r="W100" s="22"/>
      <c r="X100" s="21" t="str">
        <f aca="false">IF(AND(F100="Bilbo",E100&lt;&gt;"",G100&lt;&gt;"",H100&lt;&gt;""),E100&amp;"|"&amp;G100&amp;"|"&amp;H100,"")</f>
        <v/>
      </c>
      <c r="Y100" s="21" t="str">
        <f aca="false">IF(B100="","",IF(B100&lt;&gt;B99,1,0))</f>
        <v/>
      </c>
    </row>
    <row r="101" customFormat="false" ht="15" hidden="false" customHeight="true" outlineLevel="0" collapsed="false">
      <c r="A101" s="21" t="str">
        <f aca="false">IF(B101="","",ROW()-4)</f>
        <v/>
      </c>
      <c r="B101" s="22"/>
      <c r="C101" s="21" t="str">
        <f aca="false">IF(B101="","",CHOOSE(WEEKDAY(B101,2),"LUNES","MARTES","MIÉRCOLES","JUEVES","VIERNES","SÁBADO","DOMINGO"))</f>
        <v/>
      </c>
      <c r="M101" s="23"/>
      <c r="Q101" s="21" t="str">
        <f aca="false">IF(OR(K101="",N101=""),"",K101-N101)</f>
        <v/>
      </c>
      <c r="R101" s="21" t="str">
        <f aca="false">IF(OR(J101="",K101=""),"",J101*K101)</f>
        <v/>
      </c>
      <c r="S101" s="21" t="str">
        <f aca="false">IF(AND(ISNUMBER(J101),ISNUMBER(K101),F101&lt;&gt;"Calentamiento",F101&lt;&gt;"Bilbo"),IF(AND(K101&gt;0,K101&lt;=12),ROUND(J101*(1+(K101+IF(ISNUMBER(L101),L101,0))/30),1),""),"")</f>
        <v/>
      </c>
      <c r="T101" s="21" t="str">
        <f aca="false">IF(AND(F101="Bilbo",ISNUMBER(J101),ISNUMBER(K101)),ROUND(J101*(1+K101/30),1),"")</f>
        <v/>
      </c>
      <c r="W101" s="22"/>
      <c r="X101" s="21" t="str">
        <f aca="false">IF(AND(F101="Bilbo",E101&lt;&gt;"",G101&lt;&gt;"",H101&lt;&gt;""),E101&amp;"|"&amp;G101&amp;"|"&amp;H101,"")</f>
        <v/>
      </c>
      <c r="Y101" s="21" t="str">
        <f aca="false">IF(B101="","",IF(B101&lt;&gt;B100,1,0))</f>
        <v/>
      </c>
    </row>
    <row r="102" customFormat="false" ht="15" hidden="false" customHeight="true" outlineLevel="0" collapsed="false">
      <c r="A102" s="21" t="str">
        <f aca="false">IF(B102="","",ROW()-4)</f>
        <v/>
      </c>
      <c r="B102" s="22"/>
      <c r="C102" s="21" t="str">
        <f aca="false">IF(B102="","",CHOOSE(WEEKDAY(B102,2),"LUNES","MARTES","MIÉRCOLES","JUEVES","VIERNES","SÁBADO","DOMINGO"))</f>
        <v/>
      </c>
      <c r="M102" s="23"/>
      <c r="Q102" s="21" t="str">
        <f aca="false">IF(OR(K102="",N102=""),"",K102-N102)</f>
        <v/>
      </c>
      <c r="R102" s="21" t="str">
        <f aca="false">IF(OR(J102="",K102=""),"",J102*K102)</f>
        <v/>
      </c>
      <c r="S102" s="21" t="str">
        <f aca="false">IF(AND(ISNUMBER(J102),ISNUMBER(K102),F102&lt;&gt;"Calentamiento",F102&lt;&gt;"Bilbo"),IF(AND(K102&gt;0,K102&lt;=12),ROUND(J102*(1+(K102+IF(ISNUMBER(L102),L102,0))/30),1),""),"")</f>
        <v/>
      </c>
      <c r="T102" s="21" t="str">
        <f aca="false">IF(AND(F102="Bilbo",ISNUMBER(J102),ISNUMBER(K102)),ROUND(J102*(1+K102/30),1),"")</f>
        <v/>
      </c>
      <c r="W102" s="22"/>
      <c r="X102" s="21" t="str">
        <f aca="false">IF(AND(F102="Bilbo",E102&lt;&gt;"",G102&lt;&gt;"",H102&lt;&gt;""),E102&amp;"|"&amp;G102&amp;"|"&amp;H102,"")</f>
        <v/>
      </c>
      <c r="Y102" s="21" t="str">
        <f aca="false">IF(B102="","",IF(B102&lt;&gt;B101,1,0))</f>
        <v/>
      </c>
    </row>
    <row r="103" customFormat="false" ht="15" hidden="false" customHeight="true" outlineLevel="0" collapsed="false">
      <c r="A103" s="21" t="str">
        <f aca="false">IF(B103="","",ROW()-4)</f>
        <v/>
      </c>
      <c r="B103" s="22"/>
      <c r="C103" s="21" t="str">
        <f aca="false">IF(B103="","",CHOOSE(WEEKDAY(B103,2),"LUNES","MARTES","MIÉRCOLES","JUEVES","VIERNES","SÁBADO","DOMINGO"))</f>
        <v/>
      </c>
      <c r="M103" s="23"/>
      <c r="Q103" s="21" t="str">
        <f aca="false">IF(OR(K103="",N103=""),"",K103-N103)</f>
        <v/>
      </c>
      <c r="R103" s="21" t="str">
        <f aca="false">IF(OR(J103="",K103=""),"",J103*K103)</f>
        <v/>
      </c>
      <c r="S103" s="21" t="str">
        <f aca="false">IF(AND(ISNUMBER(J103),ISNUMBER(K103),F103&lt;&gt;"Calentamiento",F103&lt;&gt;"Bilbo"),IF(AND(K103&gt;0,K103&lt;=12),ROUND(J103*(1+(K103+IF(ISNUMBER(L103),L103,0))/30),1),""),"")</f>
        <v/>
      </c>
      <c r="T103" s="21" t="str">
        <f aca="false">IF(AND(F103="Bilbo",ISNUMBER(J103),ISNUMBER(K103)),ROUND(J103*(1+K103/30),1),"")</f>
        <v/>
      </c>
      <c r="W103" s="22"/>
      <c r="X103" s="21" t="str">
        <f aca="false">IF(AND(F103="Bilbo",E103&lt;&gt;"",G103&lt;&gt;"",H103&lt;&gt;""),E103&amp;"|"&amp;G103&amp;"|"&amp;H103,"")</f>
        <v/>
      </c>
      <c r="Y103" s="21" t="str">
        <f aca="false">IF(B103="","",IF(B103&lt;&gt;B102,1,0))</f>
        <v/>
      </c>
    </row>
    <row r="104" customFormat="false" ht="15" hidden="false" customHeight="true" outlineLevel="0" collapsed="false">
      <c r="A104" s="21" t="str">
        <f aca="false">IF(B104="","",ROW()-4)</f>
        <v/>
      </c>
      <c r="B104" s="22"/>
      <c r="C104" s="21" t="str">
        <f aca="false">IF(B104="","",CHOOSE(WEEKDAY(B104,2),"LUNES","MARTES","MIÉRCOLES","JUEVES","VIERNES","SÁBADO","DOMINGO"))</f>
        <v/>
      </c>
      <c r="M104" s="23"/>
      <c r="Q104" s="21" t="str">
        <f aca="false">IF(OR(K104="",N104=""),"",K104-N104)</f>
        <v/>
      </c>
      <c r="R104" s="21" t="str">
        <f aca="false">IF(OR(J104="",K104=""),"",J104*K104)</f>
        <v/>
      </c>
      <c r="S104" s="21" t="str">
        <f aca="false">IF(AND(ISNUMBER(J104),ISNUMBER(K104),F104&lt;&gt;"Calentamiento",F104&lt;&gt;"Bilbo"),IF(AND(K104&gt;0,K104&lt;=12),ROUND(J104*(1+(K104+IF(ISNUMBER(L104),L104,0))/30),1),""),"")</f>
        <v/>
      </c>
      <c r="T104" s="21" t="str">
        <f aca="false">IF(AND(F104="Bilbo",ISNUMBER(J104),ISNUMBER(K104)),ROUND(J104*(1+K104/30),1),"")</f>
        <v/>
      </c>
      <c r="W104" s="22"/>
      <c r="X104" s="21" t="str">
        <f aca="false">IF(AND(F104="Bilbo",E104&lt;&gt;"",G104&lt;&gt;"",H104&lt;&gt;""),E104&amp;"|"&amp;G104&amp;"|"&amp;H104,"")</f>
        <v/>
      </c>
      <c r="Y104" s="21" t="str">
        <f aca="false">IF(B104="","",IF(B104&lt;&gt;B103,1,0))</f>
        <v/>
      </c>
    </row>
    <row r="105" customFormat="false" ht="15" hidden="false" customHeight="true" outlineLevel="0" collapsed="false">
      <c r="A105" s="21" t="str">
        <f aca="false">IF(B105="","",ROW()-4)</f>
        <v/>
      </c>
      <c r="B105" s="22"/>
      <c r="C105" s="21" t="str">
        <f aca="false">IF(B105="","",CHOOSE(WEEKDAY(B105,2),"LUNES","MARTES","MIÉRCOLES","JUEVES","VIERNES","SÁBADO","DOMINGO"))</f>
        <v/>
      </c>
      <c r="M105" s="23"/>
      <c r="Q105" s="21" t="str">
        <f aca="false">IF(OR(K105="",N105=""),"",K105-N105)</f>
        <v/>
      </c>
      <c r="R105" s="21" t="str">
        <f aca="false">IF(OR(J105="",K105=""),"",J105*K105)</f>
        <v/>
      </c>
      <c r="S105" s="21" t="str">
        <f aca="false">IF(AND(ISNUMBER(J105),ISNUMBER(K105),F105&lt;&gt;"Calentamiento",F105&lt;&gt;"Bilbo"),IF(AND(K105&gt;0,K105&lt;=12),ROUND(J105*(1+(K105+IF(ISNUMBER(L105),L105,0))/30),1),""),"")</f>
        <v/>
      </c>
      <c r="T105" s="21" t="str">
        <f aca="false">IF(AND(F105="Bilbo",ISNUMBER(J105),ISNUMBER(K105)),ROUND(J105*(1+K105/30),1),"")</f>
        <v/>
      </c>
      <c r="W105" s="22"/>
      <c r="X105" s="21" t="str">
        <f aca="false">IF(AND(F105="Bilbo",E105&lt;&gt;"",G105&lt;&gt;"",H105&lt;&gt;""),E105&amp;"|"&amp;G105&amp;"|"&amp;H105,"")</f>
        <v/>
      </c>
      <c r="Y105" s="21" t="str">
        <f aca="false">IF(B105="","",IF(B105&lt;&gt;B104,1,0))</f>
        <v/>
      </c>
    </row>
    <row r="106" customFormat="false" ht="15" hidden="false" customHeight="true" outlineLevel="0" collapsed="false">
      <c r="A106" s="21" t="str">
        <f aca="false">IF(B106="","",ROW()-4)</f>
        <v/>
      </c>
      <c r="B106" s="22"/>
      <c r="C106" s="21" t="str">
        <f aca="false">IF(B106="","",CHOOSE(WEEKDAY(B106,2),"LUNES","MARTES","MIÉRCOLES","JUEVES","VIERNES","SÁBADO","DOMINGO"))</f>
        <v/>
      </c>
      <c r="M106" s="23"/>
      <c r="Q106" s="21" t="str">
        <f aca="false">IF(OR(K106="",N106=""),"",K106-N106)</f>
        <v/>
      </c>
      <c r="R106" s="21" t="str">
        <f aca="false">IF(OR(J106="",K106=""),"",J106*K106)</f>
        <v/>
      </c>
      <c r="S106" s="21" t="str">
        <f aca="false">IF(AND(ISNUMBER(J106),ISNUMBER(K106),F106&lt;&gt;"Calentamiento",F106&lt;&gt;"Bilbo"),IF(AND(K106&gt;0,K106&lt;=12),ROUND(J106*(1+(K106+IF(ISNUMBER(L106),L106,0))/30),1),""),"")</f>
        <v/>
      </c>
      <c r="T106" s="21" t="str">
        <f aca="false">IF(AND(F106="Bilbo",ISNUMBER(J106),ISNUMBER(K106)),ROUND(J106*(1+K106/30),1),"")</f>
        <v/>
      </c>
      <c r="W106" s="22"/>
      <c r="X106" s="21" t="str">
        <f aca="false">IF(AND(F106="Bilbo",E106&lt;&gt;"",G106&lt;&gt;"",H106&lt;&gt;""),E106&amp;"|"&amp;G106&amp;"|"&amp;H106,"")</f>
        <v/>
      </c>
      <c r="Y106" s="21" t="str">
        <f aca="false">IF(B106="","",IF(B106&lt;&gt;B105,1,0))</f>
        <v/>
      </c>
    </row>
    <row r="107" customFormat="false" ht="15" hidden="false" customHeight="true" outlineLevel="0" collapsed="false">
      <c r="A107" s="21" t="str">
        <f aca="false">IF(B107="","",ROW()-4)</f>
        <v/>
      </c>
      <c r="B107" s="22"/>
      <c r="C107" s="21" t="str">
        <f aca="false">IF(B107="","",CHOOSE(WEEKDAY(B107,2),"LUNES","MARTES","MIÉRCOLES","JUEVES","VIERNES","SÁBADO","DOMINGO"))</f>
        <v/>
      </c>
      <c r="M107" s="23"/>
      <c r="Q107" s="21" t="str">
        <f aca="false">IF(OR(K107="",N107=""),"",K107-N107)</f>
        <v/>
      </c>
      <c r="R107" s="21" t="str">
        <f aca="false">IF(OR(J107="",K107=""),"",J107*K107)</f>
        <v/>
      </c>
      <c r="S107" s="21" t="str">
        <f aca="false">IF(AND(ISNUMBER(J107),ISNUMBER(K107),F107&lt;&gt;"Calentamiento",F107&lt;&gt;"Bilbo"),IF(AND(K107&gt;0,K107&lt;=12),ROUND(J107*(1+(K107+IF(ISNUMBER(L107),L107,0))/30),1),""),"")</f>
        <v/>
      </c>
      <c r="T107" s="21" t="str">
        <f aca="false">IF(AND(F107="Bilbo",ISNUMBER(J107),ISNUMBER(K107)),ROUND(J107*(1+K107/30),1),"")</f>
        <v/>
      </c>
      <c r="W107" s="22"/>
      <c r="X107" s="21" t="str">
        <f aca="false">IF(AND(F107="Bilbo",E107&lt;&gt;"",G107&lt;&gt;"",H107&lt;&gt;""),E107&amp;"|"&amp;G107&amp;"|"&amp;H107,"")</f>
        <v/>
      </c>
      <c r="Y107" s="21" t="str">
        <f aca="false">IF(B107="","",IF(B107&lt;&gt;B106,1,0))</f>
        <v/>
      </c>
    </row>
    <row r="108" customFormat="false" ht="15" hidden="false" customHeight="true" outlineLevel="0" collapsed="false">
      <c r="A108" s="21" t="str">
        <f aca="false">IF(B108="","",ROW()-4)</f>
        <v/>
      </c>
      <c r="B108" s="22"/>
      <c r="C108" s="21" t="str">
        <f aca="false">IF(B108="","",CHOOSE(WEEKDAY(B108,2),"LUNES","MARTES","MIÉRCOLES","JUEVES","VIERNES","SÁBADO","DOMINGO"))</f>
        <v/>
      </c>
      <c r="M108" s="23"/>
      <c r="Q108" s="21" t="str">
        <f aca="false">IF(OR(K108="",N108=""),"",K108-N108)</f>
        <v/>
      </c>
      <c r="R108" s="21" t="str">
        <f aca="false">IF(OR(J108="",K108=""),"",J108*K108)</f>
        <v/>
      </c>
      <c r="S108" s="21" t="str">
        <f aca="false">IF(AND(ISNUMBER(J108),ISNUMBER(K108),F108&lt;&gt;"Calentamiento",F108&lt;&gt;"Bilbo"),IF(AND(K108&gt;0,K108&lt;=12),ROUND(J108*(1+(K108+IF(ISNUMBER(L108),L108,0))/30),1),""),"")</f>
        <v/>
      </c>
      <c r="T108" s="21" t="str">
        <f aca="false">IF(AND(F108="Bilbo",ISNUMBER(J108),ISNUMBER(K108)),ROUND(J108*(1+K108/30),1),"")</f>
        <v/>
      </c>
      <c r="W108" s="22"/>
      <c r="X108" s="21" t="str">
        <f aca="false">IF(AND(F108="Bilbo",E108&lt;&gt;"",G108&lt;&gt;"",H108&lt;&gt;""),E108&amp;"|"&amp;G108&amp;"|"&amp;H108,"")</f>
        <v/>
      </c>
      <c r="Y108" s="21" t="str">
        <f aca="false">IF(B108="","",IF(B108&lt;&gt;B107,1,0))</f>
        <v/>
      </c>
    </row>
    <row r="109" customFormat="false" ht="15" hidden="false" customHeight="true" outlineLevel="0" collapsed="false">
      <c r="A109" s="21" t="str">
        <f aca="false">IF(B109="","",ROW()-4)</f>
        <v/>
      </c>
      <c r="B109" s="22"/>
      <c r="C109" s="21" t="str">
        <f aca="false">IF(B109="","",CHOOSE(WEEKDAY(B109,2),"LUNES","MARTES","MIÉRCOLES","JUEVES","VIERNES","SÁBADO","DOMINGO"))</f>
        <v/>
      </c>
      <c r="M109" s="23"/>
      <c r="Q109" s="21" t="str">
        <f aca="false">IF(OR(K109="",N109=""),"",K109-N109)</f>
        <v/>
      </c>
      <c r="R109" s="21" t="str">
        <f aca="false">IF(OR(J109="",K109=""),"",J109*K109)</f>
        <v/>
      </c>
      <c r="S109" s="21" t="str">
        <f aca="false">IF(AND(ISNUMBER(J109),ISNUMBER(K109),F109&lt;&gt;"Calentamiento",F109&lt;&gt;"Bilbo"),IF(AND(K109&gt;0,K109&lt;=12),ROUND(J109*(1+(K109+IF(ISNUMBER(L109),L109,0))/30),1),""),"")</f>
        <v/>
      </c>
      <c r="T109" s="21" t="str">
        <f aca="false">IF(AND(F109="Bilbo",ISNUMBER(J109),ISNUMBER(K109)),ROUND(J109*(1+K109/30),1),"")</f>
        <v/>
      </c>
      <c r="W109" s="22"/>
      <c r="X109" s="21" t="str">
        <f aca="false">IF(AND(F109="Bilbo",E109&lt;&gt;"",G109&lt;&gt;"",H109&lt;&gt;""),E109&amp;"|"&amp;G109&amp;"|"&amp;H109,"")</f>
        <v/>
      </c>
      <c r="Y109" s="21" t="str">
        <f aca="false">IF(B109="","",IF(B109&lt;&gt;B108,1,0))</f>
        <v/>
      </c>
    </row>
    <row r="110" customFormat="false" ht="15" hidden="false" customHeight="true" outlineLevel="0" collapsed="false">
      <c r="A110" s="21" t="str">
        <f aca="false">IF(B110="","",ROW()-4)</f>
        <v/>
      </c>
      <c r="B110" s="22"/>
      <c r="C110" s="21" t="str">
        <f aca="false">IF(B110="","",CHOOSE(WEEKDAY(B110,2),"LUNES","MARTES","MIÉRCOLES","JUEVES","VIERNES","SÁBADO","DOMINGO"))</f>
        <v/>
      </c>
      <c r="M110" s="23"/>
      <c r="Q110" s="21" t="str">
        <f aca="false">IF(OR(K110="",N110=""),"",K110-N110)</f>
        <v/>
      </c>
      <c r="R110" s="21" t="str">
        <f aca="false">IF(OR(J110="",K110=""),"",J110*K110)</f>
        <v/>
      </c>
      <c r="S110" s="21" t="str">
        <f aca="false">IF(AND(ISNUMBER(J110),ISNUMBER(K110),F110&lt;&gt;"Calentamiento",F110&lt;&gt;"Bilbo"),IF(AND(K110&gt;0,K110&lt;=12),ROUND(J110*(1+(K110+IF(ISNUMBER(L110),L110,0))/30),1),""),"")</f>
        <v/>
      </c>
      <c r="T110" s="21" t="str">
        <f aca="false">IF(AND(F110="Bilbo",ISNUMBER(J110),ISNUMBER(K110)),ROUND(J110*(1+K110/30),1),"")</f>
        <v/>
      </c>
      <c r="W110" s="22"/>
      <c r="X110" s="21" t="str">
        <f aca="false">IF(AND(F110="Bilbo",E110&lt;&gt;"",G110&lt;&gt;"",H110&lt;&gt;""),E110&amp;"|"&amp;G110&amp;"|"&amp;H110,"")</f>
        <v/>
      </c>
      <c r="Y110" s="21" t="str">
        <f aca="false">IF(B110="","",IF(B110&lt;&gt;B109,1,0))</f>
        <v/>
      </c>
    </row>
    <row r="111" customFormat="false" ht="15" hidden="false" customHeight="true" outlineLevel="0" collapsed="false">
      <c r="A111" s="21" t="str">
        <f aca="false">IF(B111="","",ROW()-4)</f>
        <v/>
      </c>
      <c r="B111" s="22"/>
      <c r="C111" s="21" t="str">
        <f aca="false">IF(B111="","",CHOOSE(WEEKDAY(B111,2),"LUNES","MARTES","MIÉRCOLES","JUEVES","VIERNES","SÁBADO","DOMINGO"))</f>
        <v/>
      </c>
      <c r="M111" s="23"/>
      <c r="Q111" s="21" t="str">
        <f aca="false">IF(OR(K111="",N111=""),"",K111-N111)</f>
        <v/>
      </c>
      <c r="R111" s="21" t="str">
        <f aca="false">IF(OR(J111="",K111=""),"",J111*K111)</f>
        <v/>
      </c>
      <c r="S111" s="21" t="str">
        <f aca="false">IF(AND(ISNUMBER(J111),ISNUMBER(K111),F111&lt;&gt;"Calentamiento",F111&lt;&gt;"Bilbo"),IF(AND(K111&gt;0,K111&lt;=12),ROUND(J111*(1+(K111+IF(ISNUMBER(L111),L111,0))/30),1),""),"")</f>
        <v/>
      </c>
      <c r="T111" s="21" t="str">
        <f aca="false">IF(AND(F111="Bilbo",ISNUMBER(J111),ISNUMBER(K111)),ROUND(J111*(1+K111/30),1),"")</f>
        <v/>
      </c>
      <c r="W111" s="22"/>
      <c r="X111" s="21" t="str">
        <f aca="false">IF(AND(F111="Bilbo",E111&lt;&gt;"",G111&lt;&gt;"",H111&lt;&gt;""),E111&amp;"|"&amp;G111&amp;"|"&amp;H111,"")</f>
        <v/>
      </c>
      <c r="Y111" s="21" t="str">
        <f aca="false">IF(B111="","",IF(B111&lt;&gt;B110,1,0))</f>
        <v/>
      </c>
    </row>
    <row r="112" customFormat="false" ht="15" hidden="false" customHeight="true" outlineLevel="0" collapsed="false">
      <c r="A112" s="21" t="str">
        <f aca="false">IF(B112="","",ROW()-4)</f>
        <v/>
      </c>
      <c r="B112" s="22"/>
      <c r="C112" s="21" t="str">
        <f aca="false">IF(B112="","",CHOOSE(WEEKDAY(B112,2),"LUNES","MARTES","MIÉRCOLES","JUEVES","VIERNES","SÁBADO","DOMINGO"))</f>
        <v/>
      </c>
      <c r="M112" s="23"/>
      <c r="Q112" s="21" t="str">
        <f aca="false">IF(OR(K112="",N112=""),"",K112-N112)</f>
        <v/>
      </c>
      <c r="R112" s="21" t="str">
        <f aca="false">IF(OR(J112="",K112=""),"",J112*K112)</f>
        <v/>
      </c>
      <c r="S112" s="21" t="str">
        <f aca="false">IF(AND(ISNUMBER(J112),ISNUMBER(K112),F112&lt;&gt;"Calentamiento",F112&lt;&gt;"Bilbo"),IF(AND(K112&gt;0,K112&lt;=12),ROUND(J112*(1+(K112+IF(ISNUMBER(L112),L112,0))/30),1),""),"")</f>
        <v/>
      </c>
      <c r="T112" s="21" t="str">
        <f aca="false">IF(AND(F112="Bilbo",ISNUMBER(J112),ISNUMBER(K112)),ROUND(J112*(1+K112/30),1),"")</f>
        <v/>
      </c>
      <c r="W112" s="22"/>
      <c r="X112" s="21" t="str">
        <f aca="false">IF(AND(F112="Bilbo",E112&lt;&gt;"",G112&lt;&gt;"",H112&lt;&gt;""),E112&amp;"|"&amp;G112&amp;"|"&amp;H112,"")</f>
        <v/>
      </c>
      <c r="Y112" s="21" t="str">
        <f aca="false">IF(B112="","",IF(B112&lt;&gt;B111,1,0))</f>
        <v/>
      </c>
    </row>
    <row r="113" customFormat="false" ht="15" hidden="false" customHeight="true" outlineLevel="0" collapsed="false">
      <c r="A113" s="21" t="str">
        <f aca="false">IF(B113="","",ROW()-4)</f>
        <v/>
      </c>
      <c r="B113" s="22"/>
      <c r="C113" s="21" t="str">
        <f aca="false">IF(B113="","",CHOOSE(WEEKDAY(B113,2),"LUNES","MARTES","MIÉRCOLES","JUEVES","VIERNES","SÁBADO","DOMINGO"))</f>
        <v/>
      </c>
      <c r="M113" s="23"/>
      <c r="Q113" s="21" t="str">
        <f aca="false">IF(OR(K113="",N113=""),"",K113-N113)</f>
        <v/>
      </c>
      <c r="R113" s="21" t="str">
        <f aca="false">IF(OR(J113="",K113=""),"",J113*K113)</f>
        <v/>
      </c>
      <c r="S113" s="21" t="str">
        <f aca="false">IF(AND(ISNUMBER(J113),ISNUMBER(K113),F113&lt;&gt;"Calentamiento",F113&lt;&gt;"Bilbo"),IF(AND(K113&gt;0,K113&lt;=12),ROUND(J113*(1+(K113+IF(ISNUMBER(L113),L113,0))/30),1),""),"")</f>
        <v/>
      </c>
      <c r="T113" s="21" t="str">
        <f aca="false">IF(AND(F113="Bilbo",ISNUMBER(J113),ISNUMBER(K113)),ROUND(J113*(1+K113/30),1),"")</f>
        <v/>
      </c>
      <c r="W113" s="22"/>
      <c r="X113" s="21" t="str">
        <f aca="false">IF(AND(F113="Bilbo",E113&lt;&gt;"",G113&lt;&gt;"",H113&lt;&gt;""),E113&amp;"|"&amp;G113&amp;"|"&amp;H113,"")</f>
        <v/>
      </c>
      <c r="Y113" s="21" t="str">
        <f aca="false">IF(B113="","",IF(B113&lt;&gt;B112,1,0))</f>
        <v/>
      </c>
    </row>
    <row r="114" customFormat="false" ht="15" hidden="false" customHeight="true" outlineLevel="0" collapsed="false">
      <c r="A114" s="21" t="str">
        <f aca="false">IF(B114="","",ROW()-4)</f>
        <v/>
      </c>
      <c r="B114" s="22"/>
      <c r="C114" s="21" t="str">
        <f aca="false">IF(B114="","",CHOOSE(WEEKDAY(B114,2),"LUNES","MARTES","MIÉRCOLES","JUEVES","VIERNES","SÁBADO","DOMINGO"))</f>
        <v/>
      </c>
      <c r="M114" s="23"/>
      <c r="Q114" s="21" t="str">
        <f aca="false">IF(OR(K114="",N114=""),"",K114-N114)</f>
        <v/>
      </c>
      <c r="R114" s="21" t="str">
        <f aca="false">IF(OR(J114="",K114=""),"",J114*K114)</f>
        <v/>
      </c>
      <c r="S114" s="21" t="str">
        <f aca="false">IF(AND(ISNUMBER(J114),ISNUMBER(K114),F114&lt;&gt;"Calentamiento",F114&lt;&gt;"Bilbo"),IF(AND(K114&gt;0,K114&lt;=12),ROUND(J114*(1+(K114+IF(ISNUMBER(L114),L114,0))/30),1),""),"")</f>
        <v/>
      </c>
      <c r="T114" s="21" t="str">
        <f aca="false">IF(AND(F114="Bilbo",ISNUMBER(J114),ISNUMBER(K114)),ROUND(J114*(1+K114/30),1),"")</f>
        <v/>
      </c>
      <c r="W114" s="22"/>
      <c r="X114" s="21" t="str">
        <f aca="false">IF(AND(F114="Bilbo",E114&lt;&gt;"",G114&lt;&gt;"",H114&lt;&gt;""),E114&amp;"|"&amp;G114&amp;"|"&amp;H114,"")</f>
        <v/>
      </c>
      <c r="Y114" s="21" t="str">
        <f aca="false">IF(B114="","",IF(B114&lt;&gt;B113,1,0))</f>
        <v/>
      </c>
    </row>
    <row r="115" customFormat="false" ht="15" hidden="false" customHeight="true" outlineLevel="0" collapsed="false">
      <c r="A115" s="21" t="str">
        <f aca="false">IF(B115="","",ROW()-4)</f>
        <v/>
      </c>
      <c r="B115" s="22"/>
      <c r="C115" s="21" t="str">
        <f aca="false">IF(B115="","",CHOOSE(WEEKDAY(B115,2),"LUNES","MARTES","MIÉRCOLES","JUEVES","VIERNES","SÁBADO","DOMINGO"))</f>
        <v/>
      </c>
      <c r="M115" s="23"/>
      <c r="Q115" s="21" t="str">
        <f aca="false">IF(OR(K115="",N115=""),"",K115-N115)</f>
        <v/>
      </c>
      <c r="R115" s="21" t="str">
        <f aca="false">IF(OR(J115="",K115=""),"",J115*K115)</f>
        <v/>
      </c>
      <c r="S115" s="21" t="str">
        <f aca="false">IF(AND(ISNUMBER(J115),ISNUMBER(K115),F115&lt;&gt;"Calentamiento",F115&lt;&gt;"Bilbo"),IF(AND(K115&gt;0,K115&lt;=12),ROUND(J115*(1+(K115+IF(ISNUMBER(L115),L115,0))/30),1),""),"")</f>
        <v/>
      </c>
      <c r="T115" s="21" t="str">
        <f aca="false">IF(AND(F115="Bilbo",ISNUMBER(J115),ISNUMBER(K115)),ROUND(J115*(1+K115/30),1),"")</f>
        <v/>
      </c>
      <c r="W115" s="22"/>
      <c r="X115" s="21" t="str">
        <f aca="false">IF(AND(F115="Bilbo",E115&lt;&gt;"",G115&lt;&gt;"",H115&lt;&gt;""),E115&amp;"|"&amp;G115&amp;"|"&amp;H115,"")</f>
        <v/>
      </c>
      <c r="Y115" s="21" t="str">
        <f aca="false">IF(B115="","",IF(B115&lt;&gt;B114,1,0))</f>
        <v/>
      </c>
    </row>
    <row r="116" customFormat="false" ht="15" hidden="false" customHeight="true" outlineLevel="0" collapsed="false">
      <c r="A116" s="21" t="str">
        <f aca="false">IF(B116="","",ROW()-4)</f>
        <v/>
      </c>
      <c r="B116" s="22"/>
      <c r="C116" s="21" t="str">
        <f aca="false">IF(B116="","",CHOOSE(WEEKDAY(B116,2),"LUNES","MARTES","MIÉRCOLES","JUEVES","VIERNES","SÁBADO","DOMINGO"))</f>
        <v/>
      </c>
      <c r="M116" s="23"/>
      <c r="Q116" s="21" t="str">
        <f aca="false">IF(OR(K116="",N116=""),"",K116-N116)</f>
        <v/>
      </c>
      <c r="R116" s="21" t="str">
        <f aca="false">IF(OR(J116="",K116=""),"",J116*K116)</f>
        <v/>
      </c>
      <c r="S116" s="21" t="str">
        <f aca="false">IF(AND(ISNUMBER(J116),ISNUMBER(K116),F116&lt;&gt;"Calentamiento",F116&lt;&gt;"Bilbo"),IF(AND(K116&gt;0,K116&lt;=12),ROUND(J116*(1+(K116+IF(ISNUMBER(L116),L116,0))/30),1),""),"")</f>
        <v/>
      </c>
      <c r="T116" s="21" t="str">
        <f aca="false">IF(AND(F116="Bilbo",ISNUMBER(J116),ISNUMBER(K116)),ROUND(J116*(1+K116/30),1),"")</f>
        <v/>
      </c>
      <c r="W116" s="22"/>
      <c r="X116" s="21" t="str">
        <f aca="false">IF(AND(F116="Bilbo",E116&lt;&gt;"",G116&lt;&gt;"",H116&lt;&gt;""),E116&amp;"|"&amp;G116&amp;"|"&amp;H116,"")</f>
        <v/>
      </c>
      <c r="Y116" s="21" t="str">
        <f aca="false">IF(B116="","",IF(B116&lt;&gt;B115,1,0))</f>
        <v/>
      </c>
    </row>
    <row r="117" customFormat="false" ht="15" hidden="false" customHeight="true" outlineLevel="0" collapsed="false">
      <c r="A117" s="21" t="str">
        <f aca="false">IF(B117="","",ROW()-4)</f>
        <v/>
      </c>
      <c r="B117" s="22"/>
      <c r="C117" s="21" t="str">
        <f aca="false">IF(B117="","",CHOOSE(WEEKDAY(B117,2),"LUNES","MARTES","MIÉRCOLES","JUEVES","VIERNES","SÁBADO","DOMINGO"))</f>
        <v/>
      </c>
      <c r="M117" s="23"/>
      <c r="Q117" s="21" t="str">
        <f aca="false">IF(OR(K117="",N117=""),"",K117-N117)</f>
        <v/>
      </c>
      <c r="R117" s="21" t="str">
        <f aca="false">IF(OR(J117="",K117=""),"",J117*K117)</f>
        <v/>
      </c>
      <c r="S117" s="21" t="str">
        <f aca="false">IF(AND(ISNUMBER(J117),ISNUMBER(K117),F117&lt;&gt;"Calentamiento",F117&lt;&gt;"Bilbo"),IF(AND(K117&gt;0,K117&lt;=12),ROUND(J117*(1+(K117+IF(ISNUMBER(L117),L117,0))/30),1),""),"")</f>
        <v/>
      </c>
      <c r="T117" s="21" t="str">
        <f aca="false">IF(AND(F117="Bilbo",ISNUMBER(J117),ISNUMBER(K117)),ROUND(J117*(1+K117/30),1),"")</f>
        <v/>
      </c>
      <c r="W117" s="22"/>
      <c r="X117" s="21" t="str">
        <f aca="false">IF(AND(F117="Bilbo",E117&lt;&gt;"",G117&lt;&gt;"",H117&lt;&gt;""),E117&amp;"|"&amp;G117&amp;"|"&amp;H117,"")</f>
        <v/>
      </c>
      <c r="Y117" s="21" t="str">
        <f aca="false">IF(B117="","",IF(B117&lt;&gt;B116,1,0))</f>
        <v/>
      </c>
    </row>
    <row r="118" customFormat="false" ht="15" hidden="false" customHeight="true" outlineLevel="0" collapsed="false">
      <c r="A118" s="21" t="str">
        <f aca="false">IF(B118="","",ROW()-4)</f>
        <v/>
      </c>
      <c r="B118" s="22"/>
      <c r="C118" s="21" t="str">
        <f aca="false">IF(B118="","",CHOOSE(WEEKDAY(B118,2),"LUNES","MARTES","MIÉRCOLES","JUEVES","VIERNES","SÁBADO","DOMINGO"))</f>
        <v/>
      </c>
      <c r="M118" s="23"/>
      <c r="Q118" s="21" t="str">
        <f aca="false">IF(OR(K118="",N118=""),"",K118-N118)</f>
        <v/>
      </c>
      <c r="R118" s="21" t="str">
        <f aca="false">IF(OR(J118="",K118=""),"",J118*K118)</f>
        <v/>
      </c>
      <c r="S118" s="21" t="str">
        <f aca="false">IF(AND(ISNUMBER(J118),ISNUMBER(K118),F118&lt;&gt;"Calentamiento",F118&lt;&gt;"Bilbo"),IF(AND(K118&gt;0,K118&lt;=12),ROUND(J118*(1+(K118+IF(ISNUMBER(L118),L118,0))/30),1),""),"")</f>
        <v/>
      </c>
      <c r="T118" s="21" t="str">
        <f aca="false">IF(AND(F118="Bilbo",ISNUMBER(J118),ISNUMBER(K118)),ROUND(J118*(1+K118/30),1),"")</f>
        <v/>
      </c>
      <c r="W118" s="22"/>
      <c r="X118" s="21" t="str">
        <f aca="false">IF(AND(F118="Bilbo",E118&lt;&gt;"",G118&lt;&gt;"",H118&lt;&gt;""),E118&amp;"|"&amp;G118&amp;"|"&amp;H118,"")</f>
        <v/>
      </c>
      <c r="Y118" s="21" t="str">
        <f aca="false">IF(B118="","",IF(B118&lt;&gt;B117,1,0))</f>
        <v/>
      </c>
    </row>
    <row r="119" customFormat="false" ht="15" hidden="false" customHeight="true" outlineLevel="0" collapsed="false">
      <c r="A119" s="21" t="str">
        <f aca="false">IF(B119="","",ROW()-4)</f>
        <v/>
      </c>
      <c r="B119" s="22"/>
      <c r="C119" s="21" t="str">
        <f aca="false">IF(B119="","",CHOOSE(WEEKDAY(B119,2),"LUNES","MARTES","MIÉRCOLES","JUEVES","VIERNES","SÁBADO","DOMINGO"))</f>
        <v/>
      </c>
      <c r="M119" s="23"/>
      <c r="Q119" s="21" t="str">
        <f aca="false">IF(OR(K119="",N119=""),"",K119-N119)</f>
        <v/>
      </c>
      <c r="R119" s="21" t="str">
        <f aca="false">IF(OR(J119="",K119=""),"",J119*K119)</f>
        <v/>
      </c>
      <c r="S119" s="21" t="str">
        <f aca="false">IF(AND(ISNUMBER(J119),ISNUMBER(K119),F119&lt;&gt;"Calentamiento",F119&lt;&gt;"Bilbo"),IF(AND(K119&gt;0,K119&lt;=12),ROUND(J119*(1+(K119+IF(ISNUMBER(L119),L119,0))/30),1),""),"")</f>
        <v/>
      </c>
      <c r="T119" s="21" t="str">
        <f aca="false">IF(AND(F119="Bilbo",ISNUMBER(J119),ISNUMBER(K119)),ROUND(J119*(1+K119/30),1),"")</f>
        <v/>
      </c>
      <c r="W119" s="22"/>
      <c r="X119" s="21" t="str">
        <f aca="false">IF(AND(F119="Bilbo",E119&lt;&gt;"",G119&lt;&gt;"",H119&lt;&gt;""),E119&amp;"|"&amp;G119&amp;"|"&amp;H119,"")</f>
        <v/>
      </c>
      <c r="Y119" s="21" t="str">
        <f aca="false">IF(B119="","",IF(B119&lt;&gt;B118,1,0))</f>
        <v/>
      </c>
    </row>
    <row r="120" customFormat="false" ht="15" hidden="false" customHeight="true" outlineLevel="0" collapsed="false">
      <c r="A120" s="21" t="str">
        <f aca="false">IF(B120="","",ROW()-4)</f>
        <v/>
      </c>
      <c r="B120" s="22"/>
      <c r="C120" s="21" t="str">
        <f aca="false">IF(B120="","",CHOOSE(WEEKDAY(B120,2),"LUNES","MARTES","MIÉRCOLES","JUEVES","VIERNES","SÁBADO","DOMINGO"))</f>
        <v/>
      </c>
      <c r="M120" s="23"/>
      <c r="Q120" s="21" t="str">
        <f aca="false">IF(OR(K120="",N120=""),"",K120-N120)</f>
        <v/>
      </c>
      <c r="R120" s="21" t="str">
        <f aca="false">IF(OR(J120="",K120=""),"",J120*K120)</f>
        <v/>
      </c>
      <c r="S120" s="21" t="str">
        <f aca="false">IF(AND(ISNUMBER(J120),ISNUMBER(K120),F120&lt;&gt;"Calentamiento",F120&lt;&gt;"Bilbo"),IF(AND(K120&gt;0,K120&lt;=12),ROUND(J120*(1+(K120+IF(ISNUMBER(L120),L120,0))/30),1),""),"")</f>
        <v/>
      </c>
      <c r="T120" s="21" t="str">
        <f aca="false">IF(AND(F120="Bilbo",ISNUMBER(J120),ISNUMBER(K120)),ROUND(J120*(1+K120/30),1),"")</f>
        <v/>
      </c>
      <c r="W120" s="22"/>
      <c r="X120" s="21" t="str">
        <f aca="false">IF(AND(F120="Bilbo",E120&lt;&gt;"",G120&lt;&gt;"",H120&lt;&gt;""),E120&amp;"|"&amp;G120&amp;"|"&amp;H120,"")</f>
        <v/>
      </c>
      <c r="Y120" s="21" t="str">
        <f aca="false">IF(B120="","",IF(B120&lt;&gt;B119,1,0))</f>
        <v/>
      </c>
    </row>
    <row r="121" customFormat="false" ht="15" hidden="false" customHeight="true" outlineLevel="0" collapsed="false">
      <c r="A121" s="21" t="str">
        <f aca="false">IF(B121="","",ROW()-4)</f>
        <v/>
      </c>
      <c r="B121" s="22"/>
      <c r="C121" s="21" t="str">
        <f aca="false">IF(B121="","",CHOOSE(WEEKDAY(B121,2),"LUNES","MARTES","MIÉRCOLES","JUEVES","VIERNES","SÁBADO","DOMINGO"))</f>
        <v/>
      </c>
      <c r="M121" s="23"/>
      <c r="Q121" s="21" t="str">
        <f aca="false">IF(OR(K121="",N121=""),"",K121-N121)</f>
        <v/>
      </c>
      <c r="R121" s="21" t="str">
        <f aca="false">IF(OR(J121="",K121=""),"",J121*K121)</f>
        <v/>
      </c>
      <c r="S121" s="21" t="str">
        <f aca="false">IF(AND(ISNUMBER(J121),ISNUMBER(K121),F121&lt;&gt;"Calentamiento",F121&lt;&gt;"Bilbo"),IF(AND(K121&gt;0,K121&lt;=12),ROUND(J121*(1+(K121+IF(ISNUMBER(L121),L121,0))/30),1),""),"")</f>
        <v/>
      </c>
      <c r="T121" s="21" t="str">
        <f aca="false">IF(AND(F121="Bilbo",ISNUMBER(J121),ISNUMBER(K121)),ROUND(J121*(1+K121/30),1),"")</f>
        <v/>
      </c>
      <c r="W121" s="22"/>
      <c r="X121" s="21" t="str">
        <f aca="false">IF(AND(F121="Bilbo",E121&lt;&gt;"",G121&lt;&gt;"",H121&lt;&gt;""),E121&amp;"|"&amp;G121&amp;"|"&amp;H121,"")</f>
        <v/>
      </c>
      <c r="Y121" s="21" t="str">
        <f aca="false">IF(B121="","",IF(B121&lt;&gt;B120,1,0))</f>
        <v/>
      </c>
    </row>
    <row r="122" customFormat="false" ht="15" hidden="false" customHeight="true" outlineLevel="0" collapsed="false">
      <c r="A122" s="21" t="str">
        <f aca="false">IF(B122="","",ROW()-4)</f>
        <v/>
      </c>
      <c r="B122" s="22"/>
      <c r="C122" s="21" t="str">
        <f aca="false">IF(B122="","",CHOOSE(WEEKDAY(B122,2),"LUNES","MARTES","MIÉRCOLES","JUEVES","VIERNES","SÁBADO","DOMINGO"))</f>
        <v/>
      </c>
      <c r="M122" s="23"/>
      <c r="Q122" s="21" t="str">
        <f aca="false">IF(OR(K122="",N122=""),"",K122-N122)</f>
        <v/>
      </c>
      <c r="R122" s="21" t="str">
        <f aca="false">IF(OR(J122="",K122=""),"",J122*K122)</f>
        <v/>
      </c>
      <c r="S122" s="21" t="str">
        <f aca="false">IF(AND(ISNUMBER(J122),ISNUMBER(K122),F122&lt;&gt;"Calentamiento",F122&lt;&gt;"Bilbo"),IF(AND(K122&gt;0,K122&lt;=12),ROUND(J122*(1+(K122+IF(ISNUMBER(L122),L122,0))/30),1),""),"")</f>
        <v/>
      </c>
      <c r="T122" s="21" t="str">
        <f aca="false">IF(AND(F122="Bilbo",ISNUMBER(J122),ISNUMBER(K122)),ROUND(J122*(1+K122/30),1),"")</f>
        <v/>
      </c>
      <c r="W122" s="22"/>
      <c r="X122" s="21" t="str">
        <f aca="false">IF(AND(F122="Bilbo",E122&lt;&gt;"",G122&lt;&gt;"",H122&lt;&gt;""),E122&amp;"|"&amp;G122&amp;"|"&amp;H122,"")</f>
        <v/>
      </c>
      <c r="Y122" s="21" t="str">
        <f aca="false">IF(B122="","",IF(B122&lt;&gt;B121,1,0))</f>
        <v/>
      </c>
    </row>
    <row r="123" customFormat="false" ht="15" hidden="false" customHeight="true" outlineLevel="0" collapsed="false">
      <c r="A123" s="21" t="str">
        <f aca="false">IF(B123="","",ROW()-4)</f>
        <v/>
      </c>
      <c r="B123" s="22"/>
      <c r="C123" s="21" t="str">
        <f aca="false">IF(B123="","",CHOOSE(WEEKDAY(B123,2),"LUNES","MARTES","MIÉRCOLES","JUEVES","VIERNES","SÁBADO","DOMINGO"))</f>
        <v/>
      </c>
      <c r="M123" s="23"/>
      <c r="Q123" s="21" t="str">
        <f aca="false">IF(OR(K123="",N123=""),"",K123-N123)</f>
        <v/>
      </c>
      <c r="R123" s="21" t="str">
        <f aca="false">IF(OR(J123="",K123=""),"",J123*K123)</f>
        <v/>
      </c>
      <c r="S123" s="21" t="str">
        <f aca="false">IF(AND(ISNUMBER(J123),ISNUMBER(K123),F123&lt;&gt;"Calentamiento",F123&lt;&gt;"Bilbo"),IF(AND(K123&gt;0,K123&lt;=12),ROUND(J123*(1+(K123+IF(ISNUMBER(L123),L123,0))/30),1),""),"")</f>
        <v/>
      </c>
      <c r="T123" s="21" t="str">
        <f aca="false">IF(AND(F123="Bilbo",ISNUMBER(J123),ISNUMBER(K123)),ROUND(J123*(1+K123/30),1),"")</f>
        <v/>
      </c>
      <c r="W123" s="22"/>
      <c r="X123" s="21" t="str">
        <f aca="false">IF(AND(F123="Bilbo",E123&lt;&gt;"",G123&lt;&gt;"",H123&lt;&gt;""),E123&amp;"|"&amp;G123&amp;"|"&amp;H123,"")</f>
        <v/>
      </c>
      <c r="Y123" s="21" t="str">
        <f aca="false">IF(B123="","",IF(B123&lt;&gt;B122,1,0))</f>
        <v/>
      </c>
    </row>
    <row r="124" customFormat="false" ht="15" hidden="false" customHeight="true" outlineLevel="0" collapsed="false">
      <c r="A124" s="21" t="str">
        <f aca="false">IF(B124="","",ROW()-4)</f>
        <v/>
      </c>
      <c r="B124" s="22"/>
      <c r="C124" s="21" t="str">
        <f aca="false">IF(B124="","",CHOOSE(WEEKDAY(B124,2),"LUNES","MARTES","MIÉRCOLES","JUEVES","VIERNES","SÁBADO","DOMINGO"))</f>
        <v/>
      </c>
      <c r="M124" s="23"/>
      <c r="Q124" s="21" t="str">
        <f aca="false">IF(OR(K124="",N124=""),"",K124-N124)</f>
        <v/>
      </c>
      <c r="R124" s="21" t="str">
        <f aca="false">IF(OR(J124="",K124=""),"",J124*K124)</f>
        <v/>
      </c>
      <c r="S124" s="21" t="str">
        <f aca="false">IF(AND(ISNUMBER(J124),ISNUMBER(K124),F124&lt;&gt;"Calentamiento",F124&lt;&gt;"Bilbo"),IF(AND(K124&gt;0,K124&lt;=12),ROUND(J124*(1+(K124+IF(ISNUMBER(L124),L124,0))/30),1),""),"")</f>
        <v/>
      </c>
      <c r="T124" s="21" t="str">
        <f aca="false">IF(AND(F124="Bilbo",ISNUMBER(J124),ISNUMBER(K124)),ROUND(J124*(1+K124/30),1),"")</f>
        <v/>
      </c>
      <c r="W124" s="22"/>
      <c r="X124" s="21" t="str">
        <f aca="false">IF(AND(F124="Bilbo",E124&lt;&gt;"",G124&lt;&gt;"",H124&lt;&gt;""),E124&amp;"|"&amp;G124&amp;"|"&amp;H124,"")</f>
        <v/>
      </c>
      <c r="Y124" s="21" t="str">
        <f aca="false">IF(B124="","",IF(B124&lt;&gt;B123,1,0))</f>
        <v/>
      </c>
    </row>
    <row r="125" customFormat="false" ht="15" hidden="false" customHeight="true" outlineLevel="0" collapsed="false">
      <c r="A125" s="21" t="str">
        <f aca="false">IF(B125="","",ROW()-4)</f>
        <v/>
      </c>
      <c r="B125" s="22"/>
      <c r="C125" s="21" t="str">
        <f aca="false">IF(B125="","",CHOOSE(WEEKDAY(B125,2),"LUNES","MARTES","MIÉRCOLES","JUEVES","VIERNES","SÁBADO","DOMINGO"))</f>
        <v/>
      </c>
      <c r="M125" s="23"/>
      <c r="Q125" s="21" t="str">
        <f aca="false">IF(OR(K125="",N125=""),"",K125-N125)</f>
        <v/>
      </c>
      <c r="R125" s="21" t="str">
        <f aca="false">IF(OR(J125="",K125=""),"",J125*K125)</f>
        <v/>
      </c>
      <c r="S125" s="21" t="str">
        <f aca="false">IF(AND(ISNUMBER(J125),ISNUMBER(K125),F125&lt;&gt;"Calentamiento",F125&lt;&gt;"Bilbo"),IF(AND(K125&gt;0,K125&lt;=12),ROUND(J125*(1+(K125+IF(ISNUMBER(L125),L125,0))/30),1),""),"")</f>
        <v/>
      </c>
      <c r="T125" s="21" t="str">
        <f aca="false">IF(AND(F125="Bilbo",ISNUMBER(J125),ISNUMBER(K125)),ROUND(J125*(1+K125/30),1),"")</f>
        <v/>
      </c>
      <c r="W125" s="22"/>
      <c r="X125" s="21" t="str">
        <f aca="false">IF(AND(F125="Bilbo",E125&lt;&gt;"",G125&lt;&gt;"",H125&lt;&gt;""),E125&amp;"|"&amp;G125&amp;"|"&amp;H125,"")</f>
        <v/>
      </c>
      <c r="Y125" s="21" t="str">
        <f aca="false">IF(B125="","",IF(B125&lt;&gt;B124,1,0))</f>
        <v/>
      </c>
    </row>
    <row r="126" customFormat="false" ht="15" hidden="false" customHeight="true" outlineLevel="0" collapsed="false">
      <c r="A126" s="21" t="str">
        <f aca="false">IF(B126="","",ROW()-4)</f>
        <v/>
      </c>
      <c r="B126" s="22"/>
      <c r="C126" s="21" t="str">
        <f aca="false">IF(B126="","",CHOOSE(WEEKDAY(B126,2),"LUNES","MARTES","MIÉRCOLES","JUEVES","VIERNES","SÁBADO","DOMINGO"))</f>
        <v/>
      </c>
      <c r="M126" s="23"/>
      <c r="Q126" s="21" t="str">
        <f aca="false">IF(OR(K126="",N126=""),"",K126-N126)</f>
        <v/>
      </c>
      <c r="R126" s="21" t="str">
        <f aca="false">IF(OR(J126="",K126=""),"",J126*K126)</f>
        <v/>
      </c>
      <c r="S126" s="21" t="str">
        <f aca="false">IF(AND(ISNUMBER(J126),ISNUMBER(K126),F126&lt;&gt;"Calentamiento",F126&lt;&gt;"Bilbo"),IF(AND(K126&gt;0,K126&lt;=12),ROUND(J126*(1+(K126+IF(ISNUMBER(L126),L126,0))/30),1),""),"")</f>
        <v/>
      </c>
      <c r="T126" s="21" t="str">
        <f aca="false">IF(AND(F126="Bilbo",ISNUMBER(J126),ISNUMBER(K126)),ROUND(J126*(1+K126/30),1),"")</f>
        <v/>
      </c>
      <c r="W126" s="22"/>
      <c r="X126" s="21" t="str">
        <f aca="false">IF(AND(F126="Bilbo",E126&lt;&gt;"",G126&lt;&gt;"",H126&lt;&gt;""),E126&amp;"|"&amp;G126&amp;"|"&amp;H126,"")</f>
        <v/>
      </c>
      <c r="Y126" s="21" t="str">
        <f aca="false">IF(B126="","",IF(B126&lt;&gt;B125,1,0))</f>
        <v/>
      </c>
    </row>
    <row r="127" customFormat="false" ht="15" hidden="false" customHeight="true" outlineLevel="0" collapsed="false">
      <c r="A127" s="21" t="str">
        <f aca="false">IF(B127="","",ROW()-4)</f>
        <v/>
      </c>
      <c r="B127" s="22"/>
      <c r="C127" s="21" t="str">
        <f aca="false">IF(B127="","",CHOOSE(WEEKDAY(B127,2),"LUNES","MARTES","MIÉRCOLES","JUEVES","VIERNES","SÁBADO","DOMINGO"))</f>
        <v/>
      </c>
      <c r="M127" s="23"/>
      <c r="Q127" s="21" t="str">
        <f aca="false">IF(OR(K127="",N127=""),"",K127-N127)</f>
        <v/>
      </c>
      <c r="R127" s="21" t="str">
        <f aca="false">IF(OR(J127="",K127=""),"",J127*K127)</f>
        <v/>
      </c>
      <c r="S127" s="21" t="str">
        <f aca="false">IF(AND(ISNUMBER(J127),ISNUMBER(K127),F127&lt;&gt;"Calentamiento",F127&lt;&gt;"Bilbo"),IF(AND(K127&gt;0,K127&lt;=12),ROUND(J127*(1+(K127+IF(ISNUMBER(L127),L127,0))/30),1),""),"")</f>
        <v/>
      </c>
      <c r="T127" s="21" t="str">
        <f aca="false">IF(AND(F127="Bilbo",ISNUMBER(J127),ISNUMBER(K127)),ROUND(J127*(1+K127/30),1),"")</f>
        <v/>
      </c>
      <c r="W127" s="22"/>
      <c r="X127" s="21" t="str">
        <f aca="false">IF(AND(F127="Bilbo",E127&lt;&gt;"",G127&lt;&gt;"",H127&lt;&gt;""),E127&amp;"|"&amp;G127&amp;"|"&amp;H127,"")</f>
        <v/>
      </c>
      <c r="Y127" s="21" t="str">
        <f aca="false">IF(B127="","",IF(B127&lt;&gt;B126,1,0))</f>
        <v/>
      </c>
    </row>
    <row r="128" customFormat="false" ht="15" hidden="false" customHeight="true" outlineLevel="0" collapsed="false">
      <c r="A128" s="21" t="str">
        <f aca="false">IF(B128="","",ROW()-4)</f>
        <v/>
      </c>
      <c r="B128" s="22"/>
      <c r="C128" s="21" t="str">
        <f aca="false">IF(B128="","",CHOOSE(WEEKDAY(B128,2),"LUNES","MARTES","MIÉRCOLES","JUEVES","VIERNES","SÁBADO","DOMINGO"))</f>
        <v/>
      </c>
      <c r="M128" s="23"/>
      <c r="Q128" s="21" t="str">
        <f aca="false">IF(OR(K128="",N128=""),"",K128-N128)</f>
        <v/>
      </c>
      <c r="R128" s="21" t="str">
        <f aca="false">IF(OR(J128="",K128=""),"",J128*K128)</f>
        <v/>
      </c>
      <c r="S128" s="21" t="str">
        <f aca="false">IF(AND(ISNUMBER(J128),ISNUMBER(K128),F128&lt;&gt;"Calentamiento",F128&lt;&gt;"Bilbo"),IF(AND(K128&gt;0,K128&lt;=12),ROUND(J128*(1+(K128+IF(ISNUMBER(L128),L128,0))/30),1),""),"")</f>
        <v/>
      </c>
      <c r="T128" s="21" t="str">
        <f aca="false">IF(AND(F128="Bilbo",ISNUMBER(J128),ISNUMBER(K128)),ROUND(J128*(1+K128/30),1),"")</f>
        <v/>
      </c>
      <c r="W128" s="22"/>
      <c r="X128" s="21" t="str">
        <f aca="false">IF(AND(F128="Bilbo",E128&lt;&gt;"",G128&lt;&gt;"",H128&lt;&gt;""),E128&amp;"|"&amp;G128&amp;"|"&amp;H128,"")</f>
        <v/>
      </c>
      <c r="Y128" s="21" t="str">
        <f aca="false">IF(B128="","",IF(B128&lt;&gt;B127,1,0))</f>
        <v/>
      </c>
    </row>
    <row r="129" customFormat="false" ht="15" hidden="false" customHeight="true" outlineLevel="0" collapsed="false">
      <c r="A129" s="21" t="str">
        <f aca="false">IF(B129="","",ROW()-4)</f>
        <v/>
      </c>
      <c r="B129" s="22"/>
      <c r="C129" s="21" t="str">
        <f aca="false">IF(B129="","",CHOOSE(WEEKDAY(B129,2),"LUNES","MARTES","MIÉRCOLES","JUEVES","VIERNES","SÁBADO","DOMINGO"))</f>
        <v/>
      </c>
      <c r="M129" s="23"/>
      <c r="Q129" s="21" t="str">
        <f aca="false">IF(OR(K129="",N129=""),"",K129-N129)</f>
        <v/>
      </c>
      <c r="R129" s="21" t="str">
        <f aca="false">IF(OR(J129="",K129=""),"",J129*K129)</f>
        <v/>
      </c>
      <c r="S129" s="21" t="str">
        <f aca="false">IF(AND(ISNUMBER(J129),ISNUMBER(K129),F129&lt;&gt;"Calentamiento",F129&lt;&gt;"Bilbo"),IF(AND(K129&gt;0,K129&lt;=12),ROUND(J129*(1+(K129+IF(ISNUMBER(L129),L129,0))/30),1),""),"")</f>
        <v/>
      </c>
      <c r="T129" s="21" t="str">
        <f aca="false">IF(AND(F129="Bilbo",ISNUMBER(J129),ISNUMBER(K129)),ROUND(J129*(1+K129/30),1),"")</f>
        <v/>
      </c>
      <c r="W129" s="22"/>
      <c r="X129" s="21" t="str">
        <f aca="false">IF(AND(F129="Bilbo",E129&lt;&gt;"",G129&lt;&gt;"",H129&lt;&gt;""),E129&amp;"|"&amp;G129&amp;"|"&amp;H129,"")</f>
        <v/>
      </c>
      <c r="Y129" s="21" t="str">
        <f aca="false">IF(B129="","",IF(B129&lt;&gt;B128,1,0))</f>
        <v/>
      </c>
    </row>
    <row r="130" customFormat="false" ht="15" hidden="false" customHeight="true" outlineLevel="0" collapsed="false">
      <c r="A130" s="21" t="str">
        <f aca="false">IF(B130="","",ROW()-4)</f>
        <v/>
      </c>
      <c r="B130" s="22"/>
      <c r="C130" s="21" t="str">
        <f aca="false">IF(B130="","",CHOOSE(WEEKDAY(B130,2),"LUNES","MARTES","MIÉRCOLES","JUEVES","VIERNES","SÁBADO","DOMINGO"))</f>
        <v/>
      </c>
      <c r="M130" s="23"/>
      <c r="Q130" s="21" t="str">
        <f aca="false">IF(OR(K130="",N130=""),"",K130-N130)</f>
        <v/>
      </c>
      <c r="R130" s="21" t="str">
        <f aca="false">IF(OR(J130="",K130=""),"",J130*K130)</f>
        <v/>
      </c>
      <c r="S130" s="21" t="str">
        <f aca="false">IF(AND(ISNUMBER(J130),ISNUMBER(K130),F130&lt;&gt;"Calentamiento",F130&lt;&gt;"Bilbo"),IF(AND(K130&gt;0,K130&lt;=12),ROUND(J130*(1+(K130+IF(ISNUMBER(L130),L130,0))/30),1),""),"")</f>
        <v/>
      </c>
      <c r="T130" s="21" t="str">
        <f aca="false">IF(AND(F130="Bilbo",ISNUMBER(J130),ISNUMBER(K130)),ROUND(J130*(1+K130/30),1),"")</f>
        <v/>
      </c>
      <c r="W130" s="22"/>
      <c r="X130" s="21" t="str">
        <f aca="false">IF(AND(F130="Bilbo",E130&lt;&gt;"",G130&lt;&gt;"",H130&lt;&gt;""),E130&amp;"|"&amp;G130&amp;"|"&amp;H130,"")</f>
        <v/>
      </c>
      <c r="Y130" s="21" t="str">
        <f aca="false">IF(B130="","",IF(B130&lt;&gt;B129,1,0))</f>
        <v/>
      </c>
    </row>
    <row r="131" customFormat="false" ht="15" hidden="false" customHeight="true" outlineLevel="0" collapsed="false">
      <c r="A131" s="21" t="str">
        <f aca="false">IF(B131="","",ROW()-4)</f>
        <v/>
      </c>
      <c r="B131" s="22"/>
      <c r="C131" s="21" t="str">
        <f aca="false">IF(B131="","",CHOOSE(WEEKDAY(B131,2),"LUNES","MARTES","MIÉRCOLES","JUEVES","VIERNES","SÁBADO","DOMINGO"))</f>
        <v/>
      </c>
      <c r="M131" s="23"/>
      <c r="Q131" s="21" t="str">
        <f aca="false">IF(OR(K131="",N131=""),"",K131-N131)</f>
        <v/>
      </c>
      <c r="R131" s="21" t="str">
        <f aca="false">IF(OR(J131="",K131=""),"",J131*K131)</f>
        <v/>
      </c>
      <c r="S131" s="21" t="str">
        <f aca="false">IF(AND(ISNUMBER(J131),ISNUMBER(K131),F131&lt;&gt;"Calentamiento",F131&lt;&gt;"Bilbo"),IF(AND(K131&gt;0,K131&lt;=12),ROUND(J131*(1+(K131+IF(ISNUMBER(L131),L131,0))/30),1),""),"")</f>
        <v/>
      </c>
      <c r="T131" s="21" t="str">
        <f aca="false">IF(AND(F131="Bilbo",ISNUMBER(J131),ISNUMBER(K131)),ROUND(J131*(1+K131/30),1),"")</f>
        <v/>
      </c>
      <c r="W131" s="22"/>
      <c r="X131" s="21" t="str">
        <f aca="false">IF(AND(F131="Bilbo",E131&lt;&gt;"",G131&lt;&gt;"",H131&lt;&gt;""),E131&amp;"|"&amp;G131&amp;"|"&amp;H131,"")</f>
        <v/>
      </c>
      <c r="Y131" s="21" t="str">
        <f aca="false">IF(B131="","",IF(B131&lt;&gt;B130,1,0))</f>
        <v/>
      </c>
    </row>
    <row r="132" customFormat="false" ht="15" hidden="false" customHeight="true" outlineLevel="0" collapsed="false">
      <c r="A132" s="21" t="str">
        <f aca="false">IF(B132="","",ROW()-4)</f>
        <v/>
      </c>
      <c r="B132" s="22"/>
      <c r="C132" s="21" t="str">
        <f aca="false">IF(B132="","",CHOOSE(WEEKDAY(B132,2),"LUNES","MARTES","MIÉRCOLES","JUEVES","VIERNES","SÁBADO","DOMINGO"))</f>
        <v/>
      </c>
      <c r="M132" s="23"/>
      <c r="Q132" s="21" t="str">
        <f aca="false">IF(OR(K132="",N132=""),"",K132-N132)</f>
        <v/>
      </c>
      <c r="R132" s="21" t="str">
        <f aca="false">IF(OR(J132="",K132=""),"",J132*K132)</f>
        <v/>
      </c>
      <c r="S132" s="21" t="str">
        <f aca="false">IF(AND(ISNUMBER(J132),ISNUMBER(K132),F132&lt;&gt;"Calentamiento",F132&lt;&gt;"Bilbo"),IF(AND(K132&gt;0,K132&lt;=12),ROUND(J132*(1+(K132+IF(ISNUMBER(L132),L132,0))/30),1),""),"")</f>
        <v/>
      </c>
      <c r="T132" s="21" t="str">
        <f aca="false">IF(AND(F132="Bilbo",ISNUMBER(J132),ISNUMBER(K132)),ROUND(J132*(1+K132/30),1),"")</f>
        <v/>
      </c>
      <c r="W132" s="22"/>
      <c r="X132" s="21" t="str">
        <f aca="false">IF(AND(F132="Bilbo",E132&lt;&gt;"",G132&lt;&gt;"",H132&lt;&gt;""),E132&amp;"|"&amp;G132&amp;"|"&amp;H132,"")</f>
        <v/>
      </c>
      <c r="Y132" s="21" t="str">
        <f aca="false">IF(B132="","",IF(B132&lt;&gt;B131,1,0))</f>
        <v/>
      </c>
    </row>
    <row r="133" customFormat="false" ht="15" hidden="false" customHeight="true" outlineLevel="0" collapsed="false">
      <c r="A133" s="21" t="str">
        <f aca="false">IF(B133="","",ROW()-4)</f>
        <v/>
      </c>
      <c r="B133" s="22"/>
      <c r="C133" s="21" t="str">
        <f aca="false">IF(B133="","",CHOOSE(WEEKDAY(B133,2),"LUNES","MARTES","MIÉRCOLES","JUEVES","VIERNES","SÁBADO","DOMINGO"))</f>
        <v/>
      </c>
      <c r="M133" s="23"/>
      <c r="Q133" s="21" t="str">
        <f aca="false">IF(OR(K133="",N133=""),"",K133-N133)</f>
        <v/>
      </c>
      <c r="R133" s="21" t="str">
        <f aca="false">IF(OR(J133="",K133=""),"",J133*K133)</f>
        <v/>
      </c>
      <c r="S133" s="21" t="str">
        <f aca="false">IF(AND(ISNUMBER(J133),ISNUMBER(K133),F133&lt;&gt;"Calentamiento",F133&lt;&gt;"Bilbo"),IF(AND(K133&gt;0,K133&lt;=12),ROUND(J133*(1+(K133+IF(ISNUMBER(L133),L133,0))/30),1),""),"")</f>
        <v/>
      </c>
      <c r="T133" s="21" t="str">
        <f aca="false">IF(AND(F133="Bilbo",ISNUMBER(J133),ISNUMBER(K133)),ROUND(J133*(1+K133/30),1),"")</f>
        <v/>
      </c>
      <c r="W133" s="22"/>
      <c r="X133" s="21" t="str">
        <f aca="false">IF(AND(F133="Bilbo",E133&lt;&gt;"",G133&lt;&gt;"",H133&lt;&gt;""),E133&amp;"|"&amp;G133&amp;"|"&amp;H133,"")</f>
        <v/>
      </c>
      <c r="Y133" s="21" t="str">
        <f aca="false">IF(B133="","",IF(B133&lt;&gt;B132,1,0))</f>
        <v/>
      </c>
    </row>
    <row r="134" customFormat="false" ht="15" hidden="false" customHeight="true" outlineLevel="0" collapsed="false">
      <c r="A134" s="21" t="str">
        <f aca="false">IF(B134="","",ROW()-4)</f>
        <v/>
      </c>
      <c r="B134" s="22"/>
      <c r="C134" s="21" t="str">
        <f aca="false">IF(B134="","",CHOOSE(WEEKDAY(B134,2),"LUNES","MARTES","MIÉRCOLES","JUEVES","VIERNES","SÁBADO","DOMINGO"))</f>
        <v/>
      </c>
      <c r="M134" s="23"/>
      <c r="Q134" s="21" t="str">
        <f aca="false">IF(OR(K134="",N134=""),"",K134-N134)</f>
        <v/>
      </c>
      <c r="R134" s="21" t="str">
        <f aca="false">IF(OR(J134="",K134=""),"",J134*K134)</f>
        <v/>
      </c>
      <c r="S134" s="21" t="str">
        <f aca="false">IF(AND(ISNUMBER(J134),ISNUMBER(K134),F134&lt;&gt;"Calentamiento",F134&lt;&gt;"Bilbo"),IF(AND(K134&gt;0,K134&lt;=12),ROUND(J134*(1+(K134+IF(ISNUMBER(L134),L134,0))/30),1),""),"")</f>
        <v/>
      </c>
      <c r="T134" s="21" t="str">
        <f aca="false">IF(AND(F134="Bilbo",ISNUMBER(J134),ISNUMBER(K134)),ROUND(J134*(1+K134/30),1),"")</f>
        <v/>
      </c>
      <c r="W134" s="22"/>
      <c r="X134" s="21" t="str">
        <f aca="false">IF(AND(F134="Bilbo",E134&lt;&gt;"",G134&lt;&gt;"",H134&lt;&gt;""),E134&amp;"|"&amp;G134&amp;"|"&amp;H134,"")</f>
        <v/>
      </c>
      <c r="Y134" s="21" t="str">
        <f aca="false">IF(B134="","",IF(B134&lt;&gt;B133,1,0))</f>
        <v/>
      </c>
    </row>
    <row r="135" customFormat="false" ht="15" hidden="false" customHeight="true" outlineLevel="0" collapsed="false">
      <c r="A135" s="21" t="str">
        <f aca="false">IF(B135="","",ROW()-4)</f>
        <v/>
      </c>
      <c r="B135" s="22"/>
      <c r="C135" s="21" t="str">
        <f aca="false">IF(B135="","",CHOOSE(WEEKDAY(B135,2),"LUNES","MARTES","MIÉRCOLES","JUEVES","VIERNES","SÁBADO","DOMINGO"))</f>
        <v/>
      </c>
      <c r="M135" s="23"/>
      <c r="Q135" s="21" t="str">
        <f aca="false">IF(OR(K135="",N135=""),"",K135-N135)</f>
        <v/>
      </c>
      <c r="R135" s="21" t="str">
        <f aca="false">IF(OR(J135="",K135=""),"",J135*K135)</f>
        <v/>
      </c>
      <c r="S135" s="21" t="str">
        <f aca="false">IF(AND(ISNUMBER(J135),ISNUMBER(K135),F135&lt;&gt;"Calentamiento",F135&lt;&gt;"Bilbo"),IF(AND(K135&gt;0,K135&lt;=12),ROUND(J135*(1+(K135+IF(ISNUMBER(L135),L135,0))/30),1),""),"")</f>
        <v/>
      </c>
      <c r="T135" s="21" t="str">
        <f aca="false">IF(AND(F135="Bilbo",ISNUMBER(J135),ISNUMBER(K135)),ROUND(J135*(1+K135/30),1),"")</f>
        <v/>
      </c>
      <c r="W135" s="22"/>
      <c r="X135" s="21" t="str">
        <f aca="false">IF(AND(F135="Bilbo",E135&lt;&gt;"",G135&lt;&gt;"",H135&lt;&gt;""),E135&amp;"|"&amp;G135&amp;"|"&amp;H135,"")</f>
        <v/>
      </c>
      <c r="Y135" s="21" t="str">
        <f aca="false">IF(B135="","",IF(B135&lt;&gt;B134,1,0))</f>
        <v/>
      </c>
    </row>
    <row r="136" customFormat="false" ht="15" hidden="false" customHeight="true" outlineLevel="0" collapsed="false">
      <c r="A136" s="21" t="str">
        <f aca="false">IF(B136="","",ROW()-4)</f>
        <v/>
      </c>
      <c r="B136" s="22"/>
      <c r="C136" s="21" t="str">
        <f aca="false">IF(B136="","",CHOOSE(WEEKDAY(B136,2),"LUNES","MARTES","MIÉRCOLES","JUEVES","VIERNES","SÁBADO","DOMINGO"))</f>
        <v/>
      </c>
      <c r="M136" s="23"/>
      <c r="Q136" s="21" t="str">
        <f aca="false">IF(OR(K136="",N136=""),"",K136-N136)</f>
        <v/>
      </c>
      <c r="R136" s="21" t="str">
        <f aca="false">IF(OR(J136="",K136=""),"",J136*K136)</f>
        <v/>
      </c>
      <c r="S136" s="21" t="str">
        <f aca="false">IF(AND(ISNUMBER(J136),ISNUMBER(K136),F136&lt;&gt;"Calentamiento",F136&lt;&gt;"Bilbo"),IF(AND(K136&gt;0,K136&lt;=12),ROUND(J136*(1+(K136+IF(ISNUMBER(L136),L136,0))/30),1),""),"")</f>
        <v/>
      </c>
      <c r="T136" s="21" t="str">
        <f aca="false">IF(AND(F136="Bilbo",ISNUMBER(J136),ISNUMBER(K136)),ROUND(J136*(1+K136/30),1),"")</f>
        <v/>
      </c>
      <c r="W136" s="22"/>
      <c r="X136" s="21" t="str">
        <f aca="false">IF(AND(F136="Bilbo",E136&lt;&gt;"",G136&lt;&gt;"",H136&lt;&gt;""),E136&amp;"|"&amp;G136&amp;"|"&amp;H136,"")</f>
        <v/>
      </c>
      <c r="Y136" s="21" t="str">
        <f aca="false">IF(B136="","",IF(B136&lt;&gt;B135,1,0))</f>
        <v/>
      </c>
    </row>
    <row r="137" customFormat="false" ht="15" hidden="false" customHeight="true" outlineLevel="0" collapsed="false">
      <c r="A137" s="21" t="str">
        <f aca="false">IF(B137="","",ROW()-4)</f>
        <v/>
      </c>
      <c r="B137" s="22"/>
      <c r="C137" s="21" t="str">
        <f aca="false">IF(B137="","",CHOOSE(WEEKDAY(B137,2),"LUNES","MARTES","MIÉRCOLES","JUEVES","VIERNES","SÁBADO","DOMINGO"))</f>
        <v/>
      </c>
      <c r="M137" s="23"/>
      <c r="Q137" s="21" t="str">
        <f aca="false">IF(OR(K137="",N137=""),"",K137-N137)</f>
        <v/>
      </c>
      <c r="R137" s="21" t="str">
        <f aca="false">IF(OR(J137="",K137=""),"",J137*K137)</f>
        <v/>
      </c>
      <c r="S137" s="21" t="str">
        <f aca="false">IF(AND(ISNUMBER(J137),ISNUMBER(K137),F137&lt;&gt;"Calentamiento",F137&lt;&gt;"Bilbo"),IF(AND(K137&gt;0,K137&lt;=12),ROUND(J137*(1+(K137+IF(ISNUMBER(L137),L137,0))/30),1),""),"")</f>
        <v/>
      </c>
      <c r="T137" s="21" t="str">
        <f aca="false">IF(AND(F137="Bilbo",ISNUMBER(J137),ISNUMBER(K137)),ROUND(J137*(1+K137/30),1),"")</f>
        <v/>
      </c>
      <c r="W137" s="22"/>
      <c r="X137" s="21" t="str">
        <f aca="false">IF(AND(F137="Bilbo",E137&lt;&gt;"",G137&lt;&gt;"",H137&lt;&gt;""),E137&amp;"|"&amp;G137&amp;"|"&amp;H137,"")</f>
        <v/>
      </c>
      <c r="Y137" s="21" t="str">
        <f aca="false">IF(B137="","",IF(B137&lt;&gt;B136,1,0))</f>
        <v/>
      </c>
    </row>
    <row r="138" customFormat="false" ht="15" hidden="false" customHeight="true" outlineLevel="0" collapsed="false">
      <c r="A138" s="21" t="str">
        <f aca="false">IF(B138="","",ROW()-4)</f>
        <v/>
      </c>
      <c r="B138" s="22"/>
      <c r="C138" s="21" t="str">
        <f aca="false">IF(B138="","",CHOOSE(WEEKDAY(B138,2),"LUNES","MARTES","MIÉRCOLES","JUEVES","VIERNES","SÁBADO","DOMINGO"))</f>
        <v/>
      </c>
      <c r="M138" s="23"/>
      <c r="Q138" s="21" t="str">
        <f aca="false">IF(OR(K138="",N138=""),"",K138-N138)</f>
        <v/>
      </c>
      <c r="R138" s="21" t="str">
        <f aca="false">IF(OR(J138="",K138=""),"",J138*K138)</f>
        <v/>
      </c>
      <c r="S138" s="21" t="str">
        <f aca="false">IF(AND(ISNUMBER(J138),ISNUMBER(K138),F138&lt;&gt;"Calentamiento",F138&lt;&gt;"Bilbo"),IF(AND(K138&gt;0,K138&lt;=12),ROUND(J138*(1+(K138+IF(ISNUMBER(L138),L138,0))/30),1),""),"")</f>
        <v/>
      </c>
      <c r="T138" s="21" t="str">
        <f aca="false">IF(AND(F138="Bilbo",ISNUMBER(J138),ISNUMBER(K138)),ROUND(J138*(1+K138/30),1),"")</f>
        <v/>
      </c>
      <c r="W138" s="22"/>
      <c r="X138" s="21" t="str">
        <f aca="false">IF(AND(F138="Bilbo",E138&lt;&gt;"",G138&lt;&gt;"",H138&lt;&gt;""),E138&amp;"|"&amp;G138&amp;"|"&amp;H138,"")</f>
        <v/>
      </c>
      <c r="Y138" s="21" t="str">
        <f aca="false">IF(B138="","",IF(B138&lt;&gt;B137,1,0))</f>
        <v/>
      </c>
    </row>
    <row r="139" customFormat="false" ht="15" hidden="false" customHeight="true" outlineLevel="0" collapsed="false">
      <c r="A139" s="21" t="str">
        <f aca="false">IF(B139="","",ROW()-4)</f>
        <v/>
      </c>
      <c r="B139" s="22"/>
      <c r="C139" s="21" t="str">
        <f aca="false">IF(B139="","",CHOOSE(WEEKDAY(B139,2),"LUNES","MARTES","MIÉRCOLES","JUEVES","VIERNES","SÁBADO","DOMINGO"))</f>
        <v/>
      </c>
      <c r="M139" s="23"/>
      <c r="Q139" s="21" t="str">
        <f aca="false">IF(OR(K139="",N139=""),"",K139-N139)</f>
        <v/>
      </c>
      <c r="R139" s="21" t="str">
        <f aca="false">IF(OR(J139="",K139=""),"",J139*K139)</f>
        <v/>
      </c>
      <c r="S139" s="21" t="str">
        <f aca="false">IF(AND(ISNUMBER(J139),ISNUMBER(K139),F139&lt;&gt;"Calentamiento",F139&lt;&gt;"Bilbo"),IF(AND(K139&gt;0,K139&lt;=12),ROUND(J139*(1+(K139+IF(ISNUMBER(L139),L139,0))/30),1),""),"")</f>
        <v/>
      </c>
      <c r="T139" s="21" t="str">
        <f aca="false">IF(AND(F139="Bilbo",ISNUMBER(J139),ISNUMBER(K139)),ROUND(J139*(1+K139/30),1),"")</f>
        <v/>
      </c>
      <c r="W139" s="22"/>
      <c r="X139" s="21" t="str">
        <f aca="false">IF(AND(F139="Bilbo",E139&lt;&gt;"",G139&lt;&gt;"",H139&lt;&gt;""),E139&amp;"|"&amp;G139&amp;"|"&amp;H139,"")</f>
        <v/>
      </c>
      <c r="Y139" s="21" t="str">
        <f aca="false">IF(B139="","",IF(B139&lt;&gt;B138,1,0))</f>
        <v/>
      </c>
    </row>
    <row r="140" customFormat="false" ht="15" hidden="false" customHeight="true" outlineLevel="0" collapsed="false">
      <c r="A140" s="21" t="str">
        <f aca="false">IF(B140="","",ROW()-4)</f>
        <v/>
      </c>
      <c r="B140" s="22"/>
      <c r="C140" s="21" t="str">
        <f aca="false">IF(B140="","",CHOOSE(WEEKDAY(B140,2),"LUNES","MARTES","MIÉRCOLES","JUEVES","VIERNES","SÁBADO","DOMINGO"))</f>
        <v/>
      </c>
      <c r="M140" s="23"/>
      <c r="Q140" s="21" t="str">
        <f aca="false">IF(OR(K140="",N140=""),"",K140-N140)</f>
        <v/>
      </c>
      <c r="R140" s="21" t="str">
        <f aca="false">IF(OR(J140="",K140=""),"",J140*K140)</f>
        <v/>
      </c>
      <c r="S140" s="21" t="str">
        <f aca="false">IF(AND(ISNUMBER(J140),ISNUMBER(K140),F140&lt;&gt;"Calentamiento",F140&lt;&gt;"Bilbo"),IF(AND(K140&gt;0,K140&lt;=12),ROUND(J140*(1+(K140+IF(ISNUMBER(L140),L140,0))/30),1),""),"")</f>
        <v/>
      </c>
      <c r="T140" s="21" t="str">
        <f aca="false">IF(AND(F140="Bilbo",ISNUMBER(J140),ISNUMBER(K140)),ROUND(J140*(1+K140/30),1),"")</f>
        <v/>
      </c>
      <c r="W140" s="22"/>
      <c r="X140" s="21" t="str">
        <f aca="false">IF(AND(F140="Bilbo",E140&lt;&gt;"",G140&lt;&gt;"",H140&lt;&gt;""),E140&amp;"|"&amp;G140&amp;"|"&amp;H140,"")</f>
        <v/>
      </c>
      <c r="Y140" s="21" t="str">
        <f aca="false">IF(B140="","",IF(B140&lt;&gt;B139,1,0))</f>
        <v/>
      </c>
    </row>
    <row r="141" customFormat="false" ht="15" hidden="false" customHeight="true" outlineLevel="0" collapsed="false">
      <c r="A141" s="21" t="str">
        <f aca="false">IF(B141="","",ROW()-4)</f>
        <v/>
      </c>
      <c r="B141" s="22"/>
      <c r="C141" s="21" t="str">
        <f aca="false">IF(B141="","",CHOOSE(WEEKDAY(B141,2),"LUNES","MARTES","MIÉRCOLES","JUEVES","VIERNES","SÁBADO","DOMINGO"))</f>
        <v/>
      </c>
      <c r="M141" s="23"/>
      <c r="Q141" s="21" t="str">
        <f aca="false">IF(OR(K141="",N141=""),"",K141-N141)</f>
        <v/>
      </c>
      <c r="R141" s="21" t="str">
        <f aca="false">IF(OR(J141="",K141=""),"",J141*K141)</f>
        <v/>
      </c>
      <c r="S141" s="21" t="str">
        <f aca="false">IF(AND(ISNUMBER(J141),ISNUMBER(K141),F141&lt;&gt;"Calentamiento",F141&lt;&gt;"Bilbo"),IF(AND(K141&gt;0,K141&lt;=12),ROUND(J141*(1+(K141+IF(ISNUMBER(L141),L141,0))/30),1),""),"")</f>
        <v/>
      </c>
      <c r="T141" s="21" t="str">
        <f aca="false">IF(AND(F141="Bilbo",ISNUMBER(J141),ISNUMBER(K141)),ROUND(J141*(1+K141/30),1),"")</f>
        <v/>
      </c>
      <c r="W141" s="22"/>
      <c r="X141" s="21" t="str">
        <f aca="false">IF(AND(F141="Bilbo",E141&lt;&gt;"",G141&lt;&gt;"",H141&lt;&gt;""),E141&amp;"|"&amp;G141&amp;"|"&amp;H141,"")</f>
        <v/>
      </c>
      <c r="Y141" s="21" t="str">
        <f aca="false">IF(B141="","",IF(B141&lt;&gt;B140,1,0))</f>
        <v/>
      </c>
    </row>
    <row r="142" customFormat="false" ht="15" hidden="false" customHeight="true" outlineLevel="0" collapsed="false">
      <c r="A142" s="21" t="str">
        <f aca="false">IF(B142="","",ROW()-4)</f>
        <v/>
      </c>
      <c r="B142" s="22"/>
      <c r="C142" s="21" t="str">
        <f aca="false">IF(B142="","",CHOOSE(WEEKDAY(B142,2),"LUNES","MARTES","MIÉRCOLES","JUEVES","VIERNES","SÁBADO","DOMINGO"))</f>
        <v/>
      </c>
      <c r="M142" s="23"/>
      <c r="Q142" s="21" t="str">
        <f aca="false">IF(OR(K142="",N142=""),"",K142-N142)</f>
        <v/>
      </c>
      <c r="R142" s="21" t="str">
        <f aca="false">IF(OR(J142="",K142=""),"",J142*K142)</f>
        <v/>
      </c>
      <c r="S142" s="21" t="str">
        <f aca="false">IF(AND(ISNUMBER(J142),ISNUMBER(K142),F142&lt;&gt;"Calentamiento",F142&lt;&gt;"Bilbo"),IF(AND(K142&gt;0,K142&lt;=12),ROUND(J142*(1+(K142+IF(ISNUMBER(L142),L142,0))/30),1),""),"")</f>
        <v/>
      </c>
      <c r="T142" s="21" t="str">
        <f aca="false">IF(AND(F142="Bilbo",ISNUMBER(J142),ISNUMBER(K142)),ROUND(J142*(1+K142/30),1),"")</f>
        <v/>
      </c>
      <c r="W142" s="22"/>
      <c r="X142" s="21" t="str">
        <f aca="false">IF(AND(F142="Bilbo",E142&lt;&gt;"",G142&lt;&gt;"",H142&lt;&gt;""),E142&amp;"|"&amp;G142&amp;"|"&amp;H142,"")</f>
        <v/>
      </c>
      <c r="Y142" s="21" t="str">
        <f aca="false">IF(B142="","",IF(B142&lt;&gt;B141,1,0))</f>
        <v/>
      </c>
    </row>
    <row r="143" customFormat="false" ht="15" hidden="false" customHeight="true" outlineLevel="0" collapsed="false">
      <c r="A143" s="21" t="str">
        <f aca="false">IF(B143="","",ROW()-4)</f>
        <v/>
      </c>
      <c r="B143" s="22"/>
      <c r="C143" s="21" t="str">
        <f aca="false">IF(B143="","",CHOOSE(WEEKDAY(B143,2),"LUNES","MARTES","MIÉRCOLES","JUEVES","VIERNES","SÁBADO","DOMINGO"))</f>
        <v/>
      </c>
      <c r="M143" s="23"/>
      <c r="Q143" s="21" t="str">
        <f aca="false">IF(OR(K143="",N143=""),"",K143-N143)</f>
        <v/>
      </c>
      <c r="R143" s="21" t="str">
        <f aca="false">IF(OR(J143="",K143=""),"",J143*K143)</f>
        <v/>
      </c>
      <c r="S143" s="21" t="str">
        <f aca="false">IF(AND(ISNUMBER(J143),ISNUMBER(K143),F143&lt;&gt;"Calentamiento",F143&lt;&gt;"Bilbo"),IF(AND(K143&gt;0,K143&lt;=12),ROUND(J143*(1+(K143+IF(ISNUMBER(L143),L143,0))/30),1),""),"")</f>
        <v/>
      </c>
      <c r="T143" s="21" t="str">
        <f aca="false">IF(AND(F143="Bilbo",ISNUMBER(J143),ISNUMBER(K143)),ROUND(J143*(1+K143/30),1),"")</f>
        <v/>
      </c>
      <c r="W143" s="22"/>
      <c r="X143" s="21" t="str">
        <f aca="false">IF(AND(F143="Bilbo",E143&lt;&gt;"",G143&lt;&gt;"",H143&lt;&gt;""),E143&amp;"|"&amp;G143&amp;"|"&amp;H143,"")</f>
        <v/>
      </c>
      <c r="Y143" s="21" t="str">
        <f aca="false">IF(B143="","",IF(B143&lt;&gt;B142,1,0))</f>
        <v/>
      </c>
    </row>
    <row r="144" customFormat="false" ht="15" hidden="false" customHeight="true" outlineLevel="0" collapsed="false">
      <c r="A144" s="21" t="str">
        <f aca="false">IF(B144="","",ROW()-4)</f>
        <v/>
      </c>
      <c r="B144" s="22"/>
      <c r="C144" s="21" t="str">
        <f aca="false">IF(B144="","",CHOOSE(WEEKDAY(B144,2),"LUNES","MARTES","MIÉRCOLES","JUEVES","VIERNES","SÁBADO","DOMINGO"))</f>
        <v/>
      </c>
      <c r="M144" s="23"/>
      <c r="Q144" s="21" t="str">
        <f aca="false">IF(OR(K144="",N144=""),"",K144-N144)</f>
        <v/>
      </c>
      <c r="R144" s="21" t="str">
        <f aca="false">IF(OR(J144="",K144=""),"",J144*K144)</f>
        <v/>
      </c>
      <c r="S144" s="21" t="str">
        <f aca="false">IF(AND(ISNUMBER(J144),ISNUMBER(K144),F144&lt;&gt;"Calentamiento",F144&lt;&gt;"Bilbo"),IF(AND(K144&gt;0,K144&lt;=12),ROUND(J144*(1+(K144+IF(ISNUMBER(L144),L144,0))/30),1),""),"")</f>
        <v/>
      </c>
      <c r="T144" s="21" t="str">
        <f aca="false">IF(AND(F144="Bilbo",ISNUMBER(J144),ISNUMBER(K144)),ROUND(J144*(1+K144/30),1),"")</f>
        <v/>
      </c>
      <c r="W144" s="22"/>
      <c r="X144" s="21" t="str">
        <f aca="false">IF(AND(F144="Bilbo",E144&lt;&gt;"",G144&lt;&gt;"",H144&lt;&gt;""),E144&amp;"|"&amp;G144&amp;"|"&amp;H144,"")</f>
        <v/>
      </c>
      <c r="Y144" s="21" t="str">
        <f aca="false">IF(B144="","",IF(B144&lt;&gt;B143,1,0))</f>
        <v/>
      </c>
    </row>
    <row r="145" customFormat="false" ht="15" hidden="false" customHeight="true" outlineLevel="0" collapsed="false">
      <c r="A145" s="21" t="str">
        <f aca="false">IF(B145="","",ROW()-4)</f>
        <v/>
      </c>
      <c r="B145" s="22"/>
      <c r="C145" s="21" t="str">
        <f aca="false">IF(B145="","",CHOOSE(WEEKDAY(B145,2),"LUNES","MARTES","MIÉRCOLES","JUEVES","VIERNES","SÁBADO","DOMINGO"))</f>
        <v/>
      </c>
      <c r="M145" s="23"/>
      <c r="Q145" s="21" t="str">
        <f aca="false">IF(OR(K145="",N145=""),"",K145-N145)</f>
        <v/>
      </c>
      <c r="R145" s="21" t="str">
        <f aca="false">IF(OR(J145="",K145=""),"",J145*K145)</f>
        <v/>
      </c>
      <c r="S145" s="21" t="str">
        <f aca="false">IF(AND(ISNUMBER(J145),ISNUMBER(K145),F145&lt;&gt;"Calentamiento",F145&lt;&gt;"Bilbo"),IF(AND(K145&gt;0,K145&lt;=12),ROUND(J145*(1+(K145+IF(ISNUMBER(L145),L145,0))/30),1),""),"")</f>
        <v/>
      </c>
      <c r="T145" s="21" t="str">
        <f aca="false">IF(AND(F145="Bilbo",ISNUMBER(J145),ISNUMBER(K145)),ROUND(J145*(1+K145/30),1),"")</f>
        <v/>
      </c>
      <c r="W145" s="22"/>
      <c r="X145" s="21" t="str">
        <f aca="false">IF(AND(F145="Bilbo",E145&lt;&gt;"",G145&lt;&gt;"",H145&lt;&gt;""),E145&amp;"|"&amp;G145&amp;"|"&amp;H145,"")</f>
        <v/>
      </c>
      <c r="Y145" s="21" t="str">
        <f aca="false">IF(B145="","",IF(B145&lt;&gt;B144,1,0))</f>
        <v/>
      </c>
    </row>
    <row r="146" customFormat="false" ht="15" hidden="false" customHeight="true" outlineLevel="0" collapsed="false">
      <c r="A146" s="21" t="str">
        <f aca="false">IF(B146="","",ROW()-4)</f>
        <v/>
      </c>
      <c r="B146" s="22"/>
      <c r="C146" s="21" t="str">
        <f aca="false">IF(B146="","",CHOOSE(WEEKDAY(B146,2),"LUNES","MARTES","MIÉRCOLES","JUEVES","VIERNES","SÁBADO","DOMINGO"))</f>
        <v/>
      </c>
      <c r="M146" s="23"/>
      <c r="Q146" s="21" t="str">
        <f aca="false">IF(OR(K146="",N146=""),"",K146-N146)</f>
        <v/>
      </c>
      <c r="R146" s="21" t="str">
        <f aca="false">IF(OR(J146="",K146=""),"",J146*K146)</f>
        <v/>
      </c>
      <c r="S146" s="21" t="str">
        <f aca="false">IF(AND(ISNUMBER(J146),ISNUMBER(K146),F146&lt;&gt;"Calentamiento",F146&lt;&gt;"Bilbo"),IF(AND(K146&gt;0,K146&lt;=12),ROUND(J146*(1+(K146+IF(ISNUMBER(L146),L146,0))/30),1),""),"")</f>
        <v/>
      </c>
      <c r="T146" s="21" t="str">
        <f aca="false">IF(AND(F146="Bilbo",ISNUMBER(J146),ISNUMBER(K146)),ROUND(J146*(1+K146/30),1),"")</f>
        <v/>
      </c>
      <c r="W146" s="22"/>
      <c r="X146" s="21" t="str">
        <f aca="false">IF(AND(F146="Bilbo",E146&lt;&gt;"",G146&lt;&gt;"",H146&lt;&gt;""),E146&amp;"|"&amp;G146&amp;"|"&amp;H146,"")</f>
        <v/>
      </c>
      <c r="Y146" s="21" t="str">
        <f aca="false">IF(B146="","",IF(B146&lt;&gt;B145,1,0))</f>
        <v/>
      </c>
    </row>
    <row r="147" customFormat="false" ht="15" hidden="false" customHeight="true" outlineLevel="0" collapsed="false">
      <c r="A147" s="21" t="str">
        <f aca="false">IF(B147="","",ROW()-4)</f>
        <v/>
      </c>
      <c r="B147" s="22"/>
      <c r="C147" s="21" t="str">
        <f aca="false">IF(B147="","",CHOOSE(WEEKDAY(B147,2),"LUNES","MARTES","MIÉRCOLES","JUEVES","VIERNES","SÁBADO","DOMINGO"))</f>
        <v/>
      </c>
      <c r="M147" s="23"/>
      <c r="Q147" s="21" t="str">
        <f aca="false">IF(OR(K147="",N147=""),"",K147-N147)</f>
        <v/>
      </c>
      <c r="R147" s="21" t="str">
        <f aca="false">IF(OR(J147="",K147=""),"",J147*K147)</f>
        <v/>
      </c>
      <c r="S147" s="21" t="str">
        <f aca="false">IF(AND(ISNUMBER(J147),ISNUMBER(K147),F147&lt;&gt;"Calentamiento",F147&lt;&gt;"Bilbo"),IF(AND(K147&gt;0,K147&lt;=12),ROUND(J147*(1+(K147+IF(ISNUMBER(L147),L147,0))/30),1),""),"")</f>
        <v/>
      </c>
      <c r="T147" s="21" t="str">
        <f aca="false">IF(AND(F147="Bilbo",ISNUMBER(J147),ISNUMBER(K147)),ROUND(J147*(1+K147/30),1),"")</f>
        <v/>
      </c>
      <c r="W147" s="22"/>
      <c r="X147" s="21" t="str">
        <f aca="false">IF(AND(F147="Bilbo",E147&lt;&gt;"",G147&lt;&gt;"",H147&lt;&gt;""),E147&amp;"|"&amp;G147&amp;"|"&amp;H147,"")</f>
        <v/>
      </c>
      <c r="Y147" s="21" t="str">
        <f aca="false">IF(B147="","",IF(B147&lt;&gt;B146,1,0))</f>
        <v/>
      </c>
    </row>
    <row r="148" customFormat="false" ht="15" hidden="false" customHeight="true" outlineLevel="0" collapsed="false">
      <c r="A148" s="21" t="str">
        <f aca="false">IF(B148="","",ROW()-4)</f>
        <v/>
      </c>
      <c r="B148" s="22"/>
      <c r="C148" s="21" t="str">
        <f aca="false">IF(B148="","",CHOOSE(WEEKDAY(B148,2),"LUNES","MARTES","MIÉRCOLES","JUEVES","VIERNES","SÁBADO","DOMINGO"))</f>
        <v/>
      </c>
      <c r="M148" s="23"/>
      <c r="Q148" s="21" t="str">
        <f aca="false">IF(OR(K148="",N148=""),"",K148-N148)</f>
        <v/>
      </c>
      <c r="R148" s="21" t="str">
        <f aca="false">IF(OR(J148="",K148=""),"",J148*K148)</f>
        <v/>
      </c>
      <c r="S148" s="21" t="str">
        <f aca="false">IF(AND(ISNUMBER(J148),ISNUMBER(K148),F148&lt;&gt;"Calentamiento",F148&lt;&gt;"Bilbo"),IF(AND(K148&gt;0,K148&lt;=12),ROUND(J148*(1+(K148+IF(ISNUMBER(L148),L148,0))/30),1),""),"")</f>
        <v/>
      </c>
      <c r="T148" s="21" t="str">
        <f aca="false">IF(AND(F148="Bilbo",ISNUMBER(J148),ISNUMBER(K148)),ROUND(J148*(1+K148/30),1),"")</f>
        <v/>
      </c>
      <c r="W148" s="22"/>
      <c r="X148" s="21" t="str">
        <f aca="false">IF(AND(F148="Bilbo",E148&lt;&gt;"",G148&lt;&gt;"",H148&lt;&gt;""),E148&amp;"|"&amp;G148&amp;"|"&amp;H148,"")</f>
        <v/>
      </c>
      <c r="Y148" s="21" t="str">
        <f aca="false">IF(B148="","",IF(B148&lt;&gt;B147,1,0))</f>
        <v/>
      </c>
    </row>
    <row r="149" customFormat="false" ht="15" hidden="false" customHeight="true" outlineLevel="0" collapsed="false">
      <c r="A149" s="21" t="str">
        <f aca="false">IF(B149="","",ROW()-4)</f>
        <v/>
      </c>
      <c r="B149" s="22"/>
      <c r="C149" s="21" t="str">
        <f aca="false">IF(B149="","",CHOOSE(WEEKDAY(B149,2),"LUNES","MARTES","MIÉRCOLES","JUEVES","VIERNES","SÁBADO","DOMINGO"))</f>
        <v/>
      </c>
      <c r="M149" s="23"/>
      <c r="Q149" s="21" t="str">
        <f aca="false">IF(OR(K149="",N149=""),"",K149-N149)</f>
        <v/>
      </c>
      <c r="R149" s="21" t="str">
        <f aca="false">IF(OR(J149="",K149=""),"",J149*K149)</f>
        <v/>
      </c>
      <c r="S149" s="21" t="str">
        <f aca="false">IF(AND(ISNUMBER(J149),ISNUMBER(K149),F149&lt;&gt;"Calentamiento",F149&lt;&gt;"Bilbo"),IF(AND(K149&gt;0,K149&lt;=12),ROUND(J149*(1+(K149+IF(ISNUMBER(L149),L149,0))/30),1),""),"")</f>
        <v/>
      </c>
      <c r="T149" s="21" t="str">
        <f aca="false">IF(AND(F149="Bilbo",ISNUMBER(J149),ISNUMBER(K149)),ROUND(J149*(1+K149/30),1),"")</f>
        <v/>
      </c>
      <c r="W149" s="22"/>
      <c r="X149" s="21" t="str">
        <f aca="false">IF(AND(F149="Bilbo",E149&lt;&gt;"",G149&lt;&gt;"",H149&lt;&gt;""),E149&amp;"|"&amp;G149&amp;"|"&amp;H149,"")</f>
        <v/>
      </c>
      <c r="Y149" s="21" t="str">
        <f aca="false">IF(B149="","",IF(B149&lt;&gt;B148,1,0))</f>
        <v/>
      </c>
    </row>
    <row r="150" customFormat="false" ht="15" hidden="false" customHeight="true" outlineLevel="0" collapsed="false">
      <c r="A150" s="21" t="str">
        <f aca="false">IF(B150="","",ROW()-4)</f>
        <v/>
      </c>
      <c r="B150" s="22"/>
      <c r="C150" s="21" t="str">
        <f aca="false">IF(B150="","",CHOOSE(WEEKDAY(B150,2),"LUNES","MARTES","MIÉRCOLES","JUEVES","VIERNES","SÁBADO","DOMINGO"))</f>
        <v/>
      </c>
      <c r="M150" s="23"/>
      <c r="Q150" s="21" t="str">
        <f aca="false">IF(OR(K150="",N150=""),"",K150-N150)</f>
        <v/>
      </c>
      <c r="R150" s="21" t="str">
        <f aca="false">IF(OR(J150="",K150=""),"",J150*K150)</f>
        <v/>
      </c>
      <c r="S150" s="21" t="str">
        <f aca="false">IF(AND(ISNUMBER(J150),ISNUMBER(K150),F150&lt;&gt;"Calentamiento",F150&lt;&gt;"Bilbo"),IF(AND(K150&gt;0,K150&lt;=12),ROUND(J150*(1+(K150+IF(ISNUMBER(L150),L150,0))/30),1),""),"")</f>
        <v/>
      </c>
      <c r="T150" s="21" t="str">
        <f aca="false">IF(AND(F150="Bilbo",ISNUMBER(J150),ISNUMBER(K150)),ROUND(J150*(1+K150/30),1),"")</f>
        <v/>
      </c>
      <c r="W150" s="22"/>
      <c r="X150" s="21" t="str">
        <f aca="false">IF(AND(F150="Bilbo",E150&lt;&gt;"",G150&lt;&gt;"",H150&lt;&gt;""),E150&amp;"|"&amp;G150&amp;"|"&amp;H150,"")</f>
        <v/>
      </c>
      <c r="Y150" s="21" t="str">
        <f aca="false">IF(B150="","",IF(B150&lt;&gt;B149,1,0))</f>
        <v/>
      </c>
    </row>
    <row r="151" customFormat="false" ht="15" hidden="false" customHeight="true" outlineLevel="0" collapsed="false">
      <c r="A151" s="21" t="str">
        <f aca="false">IF(B151="","",ROW()-4)</f>
        <v/>
      </c>
      <c r="B151" s="22"/>
      <c r="C151" s="21" t="str">
        <f aca="false">IF(B151="","",CHOOSE(WEEKDAY(B151,2),"LUNES","MARTES","MIÉRCOLES","JUEVES","VIERNES","SÁBADO","DOMINGO"))</f>
        <v/>
      </c>
      <c r="M151" s="23"/>
      <c r="Q151" s="21" t="str">
        <f aca="false">IF(OR(K151="",N151=""),"",K151-N151)</f>
        <v/>
      </c>
      <c r="R151" s="21" t="str">
        <f aca="false">IF(OR(J151="",K151=""),"",J151*K151)</f>
        <v/>
      </c>
      <c r="S151" s="21" t="str">
        <f aca="false">IF(AND(ISNUMBER(J151),ISNUMBER(K151),F151&lt;&gt;"Calentamiento",F151&lt;&gt;"Bilbo"),IF(AND(K151&gt;0,K151&lt;=12),ROUND(J151*(1+(K151+IF(ISNUMBER(L151),L151,0))/30),1),""),"")</f>
        <v/>
      </c>
      <c r="T151" s="21" t="str">
        <f aca="false">IF(AND(F151="Bilbo",ISNUMBER(J151),ISNUMBER(K151)),ROUND(J151*(1+K151/30),1),"")</f>
        <v/>
      </c>
      <c r="W151" s="22"/>
      <c r="X151" s="21" t="str">
        <f aca="false">IF(AND(F151="Bilbo",E151&lt;&gt;"",G151&lt;&gt;"",H151&lt;&gt;""),E151&amp;"|"&amp;G151&amp;"|"&amp;H151,"")</f>
        <v/>
      </c>
      <c r="Y151" s="21" t="str">
        <f aca="false">IF(B151="","",IF(B151&lt;&gt;B150,1,0))</f>
        <v/>
      </c>
    </row>
    <row r="152" customFormat="false" ht="15" hidden="false" customHeight="true" outlineLevel="0" collapsed="false">
      <c r="A152" s="21" t="str">
        <f aca="false">IF(B152="","",ROW()-4)</f>
        <v/>
      </c>
      <c r="B152" s="22"/>
      <c r="C152" s="21" t="str">
        <f aca="false">IF(B152="","",CHOOSE(WEEKDAY(B152,2),"LUNES","MARTES","MIÉRCOLES","JUEVES","VIERNES","SÁBADO","DOMINGO"))</f>
        <v/>
      </c>
      <c r="M152" s="23"/>
      <c r="Q152" s="21" t="str">
        <f aca="false">IF(OR(K152="",N152=""),"",K152-N152)</f>
        <v/>
      </c>
      <c r="R152" s="21" t="str">
        <f aca="false">IF(OR(J152="",K152=""),"",J152*K152)</f>
        <v/>
      </c>
      <c r="S152" s="21" t="str">
        <f aca="false">IF(AND(ISNUMBER(J152),ISNUMBER(K152),F152&lt;&gt;"Calentamiento",F152&lt;&gt;"Bilbo"),IF(AND(K152&gt;0,K152&lt;=12),ROUND(J152*(1+(K152+IF(ISNUMBER(L152),L152,0))/30),1),""),"")</f>
        <v/>
      </c>
      <c r="T152" s="21" t="str">
        <f aca="false">IF(AND(F152="Bilbo",ISNUMBER(J152),ISNUMBER(K152)),ROUND(J152*(1+K152/30),1),"")</f>
        <v/>
      </c>
      <c r="W152" s="22"/>
      <c r="X152" s="21" t="str">
        <f aca="false">IF(AND(F152="Bilbo",E152&lt;&gt;"",G152&lt;&gt;"",H152&lt;&gt;""),E152&amp;"|"&amp;G152&amp;"|"&amp;H152,"")</f>
        <v/>
      </c>
      <c r="Y152" s="21" t="str">
        <f aca="false">IF(B152="","",IF(B152&lt;&gt;B151,1,0))</f>
        <v/>
      </c>
    </row>
    <row r="153" customFormat="false" ht="15" hidden="false" customHeight="true" outlineLevel="0" collapsed="false">
      <c r="A153" s="21" t="str">
        <f aca="false">IF(B153="","",ROW()-4)</f>
        <v/>
      </c>
      <c r="B153" s="22"/>
      <c r="C153" s="21" t="str">
        <f aca="false">IF(B153="","",CHOOSE(WEEKDAY(B153,2),"LUNES","MARTES","MIÉRCOLES","JUEVES","VIERNES","SÁBADO","DOMINGO"))</f>
        <v/>
      </c>
      <c r="M153" s="23"/>
      <c r="Q153" s="21" t="str">
        <f aca="false">IF(OR(K153="",N153=""),"",K153-N153)</f>
        <v/>
      </c>
      <c r="R153" s="21" t="str">
        <f aca="false">IF(OR(J153="",K153=""),"",J153*K153)</f>
        <v/>
      </c>
      <c r="S153" s="21" t="str">
        <f aca="false">IF(AND(ISNUMBER(J153),ISNUMBER(K153),F153&lt;&gt;"Calentamiento",F153&lt;&gt;"Bilbo"),IF(AND(K153&gt;0,K153&lt;=12),ROUND(J153*(1+(K153+IF(ISNUMBER(L153),L153,0))/30),1),""),"")</f>
        <v/>
      </c>
      <c r="T153" s="21" t="str">
        <f aca="false">IF(AND(F153="Bilbo",ISNUMBER(J153),ISNUMBER(K153)),ROUND(J153*(1+K153/30),1),"")</f>
        <v/>
      </c>
      <c r="W153" s="22"/>
      <c r="X153" s="21" t="str">
        <f aca="false">IF(AND(F153="Bilbo",E153&lt;&gt;"",G153&lt;&gt;"",H153&lt;&gt;""),E153&amp;"|"&amp;G153&amp;"|"&amp;H153,"")</f>
        <v/>
      </c>
      <c r="Y153" s="21" t="str">
        <f aca="false">IF(B153="","",IF(B153&lt;&gt;B152,1,0))</f>
        <v/>
      </c>
    </row>
    <row r="154" customFormat="false" ht="15" hidden="false" customHeight="true" outlineLevel="0" collapsed="false">
      <c r="A154" s="21" t="str">
        <f aca="false">IF(B154="","",ROW()-4)</f>
        <v/>
      </c>
      <c r="B154" s="22"/>
      <c r="C154" s="21" t="str">
        <f aca="false">IF(B154="","",CHOOSE(WEEKDAY(B154,2),"LUNES","MARTES","MIÉRCOLES","JUEVES","VIERNES","SÁBADO","DOMINGO"))</f>
        <v/>
      </c>
      <c r="M154" s="23"/>
      <c r="Q154" s="21" t="str">
        <f aca="false">IF(OR(K154="",N154=""),"",K154-N154)</f>
        <v/>
      </c>
      <c r="R154" s="21" t="str">
        <f aca="false">IF(OR(J154="",K154=""),"",J154*K154)</f>
        <v/>
      </c>
      <c r="S154" s="21" t="str">
        <f aca="false">IF(AND(ISNUMBER(J154),ISNUMBER(K154),F154&lt;&gt;"Calentamiento",F154&lt;&gt;"Bilbo"),IF(AND(K154&gt;0,K154&lt;=12),ROUND(J154*(1+(K154+IF(ISNUMBER(L154),L154,0))/30),1),""),"")</f>
        <v/>
      </c>
      <c r="T154" s="21" t="str">
        <f aca="false">IF(AND(F154="Bilbo",ISNUMBER(J154),ISNUMBER(K154)),ROUND(J154*(1+K154/30),1),"")</f>
        <v/>
      </c>
      <c r="W154" s="22"/>
      <c r="X154" s="21" t="str">
        <f aca="false">IF(AND(F154="Bilbo",E154&lt;&gt;"",G154&lt;&gt;"",H154&lt;&gt;""),E154&amp;"|"&amp;G154&amp;"|"&amp;H154,"")</f>
        <v/>
      </c>
      <c r="Y154" s="21" t="str">
        <f aca="false">IF(B154="","",IF(B154&lt;&gt;B153,1,0))</f>
        <v/>
      </c>
    </row>
    <row r="155" customFormat="false" ht="15" hidden="false" customHeight="true" outlineLevel="0" collapsed="false">
      <c r="A155" s="21" t="str">
        <f aca="false">IF(B155="","",ROW()-4)</f>
        <v/>
      </c>
      <c r="B155" s="22"/>
      <c r="C155" s="21" t="str">
        <f aca="false">IF(B155="","",CHOOSE(WEEKDAY(B155,2),"LUNES","MARTES","MIÉRCOLES","JUEVES","VIERNES","SÁBADO","DOMINGO"))</f>
        <v/>
      </c>
      <c r="M155" s="23"/>
      <c r="Q155" s="21" t="str">
        <f aca="false">IF(OR(K155="",N155=""),"",K155-N155)</f>
        <v/>
      </c>
      <c r="R155" s="21" t="str">
        <f aca="false">IF(OR(J155="",K155=""),"",J155*K155)</f>
        <v/>
      </c>
      <c r="S155" s="21" t="str">
        <f aca="false">IF(AND(ISNUMBER(J155),ISNUMBER(K155),F155&lt;&gt;"Calentamiento",F155&lt;&gt;"Bilbo"),IF(AND(K155&gt;0,K155&lt;=12),ROUND(J155*(1+(K155+IF(ISNUMBER(L155),L155,0))/30),1),""),"")</f>
        <v/>
      </c>
      <c r="T155" s="21" t="str">
        <f aca="false">IF(AND(F155="Bilbo",ISNUMBER(J155),ISNUMBER(K155)),ROUND(J155*(1+K155/30),1),"")</f>
        <v/>
      </c>
      <c r="W155" s="22"/>
      <c r="X155" s="21" t="str">
        <f aca="false">IF(AND(F155="Bilbo",E155&lt;&gt;"",G155&lt;&gt;"",H155&lt;&gt;""),E155&amp;"|"&amp;G155&amp;"|"&amp;H155,"")</f>
        <v/>
      </c>
      <c r="Y155" s="21" t="str">
        <f aca="false">IF(B155="","",IF(B155&lt;&gt;B154,1,0))</f>
        <v/>
      </c>
    </row>
    <row r="156" customFormat="false" ht="15" hidden="false" customHeight="true" outlineLevel="0" collapsed="false">
      <c r="A156" s="21" t="str">
        <f aca="false">IF(B156="","",ROW()-4)</f>
        <v/>
      </c>
      <c r="B156" s="22"/>
      <c r="C156" s="21" t="str">
        <f aca="false">IF(B156="","",CHOOSE(WEEKDAY(B156,2),"LUNES","MARTES","MIÉRCOLES","JUEVES","VIERNES","SÁBADO","DOMINGO"))</f>
        <v/>
      </c>
      <c r="M156" s="23"/>
      <c r="Q156" s="21" t="str">
        <f aca="false">IF(OR(K156="",N156=""),"",K156-N156)</f>
        <v/>
      </c>
      <c r="R156" s="21" t="str">
        <f aca="false">IF(OR(J156="",K156=""),"",J156*K156)</f>
        <v/>
      </c>
      <c r="S156" s="21" t="str">
        <f aca="false">IF(AND(ISNUMBER(J156),ISNUMBER(K156),F156&lt;&gt;"Calentamiento",F156&lt;&gt;"Bilbo"),IF(AND(K156&gt;0,K156&lt;=12),ROUND(J156*(1+(K156+IF(ISNUMBER(L156),L156,0))/30),1),""),"")</f>
        <v/>
      </c>
      <c r="T156" s="21" t="str">
        <f aca="false">IF(AND(F156="Bilbo",ISNUMBER(J156),ISNUMBER(K156)),ROUND(J156*(1+K156/30),1),"")</f>
        <v/>
      </c>
      <c r="W156" s="22"/>
      <c r="X156" s="21" t="str">
        <f aca="false">IF(AND(F156="Bilbo",E156&lt;&gt;"",G156&lt;&gt;"",H156&lt;&gt;""),E156&amp;"|"&amp;G156&amp;"|"&amp;H156,"")</f>
        <v/>
      </c>
      <c r="Y156" s="21" t="str">
        <f aca="false">IF(B156="","",IF(B156&lt;&gt;B155,1,0))</f>
        <v/>
      </c>
    </row>
    <row r="157" customFormat="false" ht="15" hidden="false" customHeight="true" outlineLevel="0" collapsed="false">
      <c r="A157" s="21" t="str">
        <f aca="false">IF(B157="","",ROW()-4)</f>
        <v/>
      </c>
      <c r="B157" s="22"/>
      <c r="C157" s="21" t="str">
        <f aca="false">IF(B157="","",CHOOSE(WEEKDAY(B157,2),"LUNES","MARTES","MIÉRCOLES","JUEVES","VIERNES","SÁBADO","DOMINGO"))</f>
        <v/>
      </c>
      <c r="M157" s="23"/>
      <c r="Q157" s="21" t="str">
        <f aca="false">IF(OR(K157="",N157=""),"",K157-N157)</f>
        <v/>
      </c>
      <c r="R157" s="21" t="str">
        <f aca="false">IF(OR(J157="",K157=""),"",J157*K157)</f>
        <v/>
      </c>
      <c r="S157" s="21" t="str">
        <f aca="false">IF(AND(ISNUMBER(J157),ISNUMBER(K157),F157&lt;&gt;"Calentamiento",F157&lt;&gt;"Bilbo"),IF(AND(K157&gt;0,K157&lt;=12),ROUND(J157*(1+(K157+IF(ISNUMBER(L157),L157,0))/30),1),""),"")</f>
        <v/>
      </c>
      <c r="T157" s="21" t="str">
        <f aca="false">IF(AND(F157="Bilbo",ISNUMBER(J157),ISNUMBER(K157)),ROUND(J157*(1+K157/30),1),"")</f>
        <v/>
      </c>
      <c r="W157" s="22"/>
      <c r="X157" s="21" t="str">
        <f aca="false">IF(AND(F157="Bilbo",E157&lt;&gt;"",G157&lt;&gt;"",H157&lt;&gt;""),E157&amp;"|"&amp;G157&amp;"|"&amp;H157,"")</f>
        <v/>
      </c>
      <c r="Y157" s="21" t="str">
        <f aca="false">IF(B157="","",IF(B157&lt;&gt;B156,1,0))</f>
        <v/>
      </c>
    </row>
    <row r="158" customFormat="false" ht="15" hidden="false" customHeight="true" outlineLevel="0" collapsed="false">
      <c r="A158" s="21" t="str">
        <f aca="false">IF(B158="","",ROW()-4)</f>
        <v/>
      </c>
      <c r="B158" s="22"/>
      <c r="C158" s="21" t="str">
        <f aca="false">IF(B158="","",CHOOSE(WEEKDAY(B158,2),"LUNES","MARTES","MIÉRCOLES","JUEVES","VIERNES","SÁBADO","DOMINGO"))</f>
        <v/>
      </c>
      <c r="M158" s="23"/>
      <c r="Q158" s="21" t="str">
        <f aca="false">IF(OR(K158="",N158=""),"",K158-N158)</f>
        <v/>
      </c>
      <c r="R158" s="21" t="str">
        <f aca="false">IF(OR(J158="",K158=""),"",J158*K158)</f>
        <v/>
      </c>
      <c r="S158" s="21" t="str">
        <f aca="false">IF(AND(ISNUMBER(J158),ISNUMBER(K158),F158&lt;&gt;"Calentamiento",F158&lt;&gt;"Bilbo"),IF(AND(K158&gt;0,K158&lt;=12),ROUND(J158*(1+(K158+IF(ISNUMBER(L158),L158,0))/30),1),""),"")</f>
        <v/>
      </c>
      <c r="T158" s="21" t="str">
        <f aca="false">IF(AND(F158="Bilbo",ISNUMBER(J158),ISNUMBER(K158)),ROUND(J158*(1+K158/30),1),"")</f>
        <v/>
      </c>
      <c r="W158" s="22"/>
      <c r="X158" s="21" t="str">
        <f aca="false">IF(AND(F158="Bilbo",E158&lt;&gt;"",G158&lt;&gt;"",H158&lt;&gt;""),E158&amp;"|"&amp;G158&amp;"|"&amp;H158,"")</f>
        <v/>
      </c>
      <c r="Y158" s="21" t="str">
        <f aca="false">IF(B158="","",IF(B158&lt;&gt;B157,1,0))</f>
        <v/>
      </c>
    </row>
    <row r="159" customFormat="false" ht="15" hidden="false" customHeight="true" outlineLevel="0" collapsed="false">
      <c r="A159" s="21" t="str">
        <f aca="false">IF(B159="","",ROW()-4)</f>
        <v/>
      </c>
      <c r="B159" s="22"/>
      <c r="C159" s="21" t="str">
        <f aca="false">IF(B159="","",CHOOSE(WEEKDAY(B159,2),"LUNES","MARTES","MIÉRCOLES","JUEVES","VIERNES","SÁBADO","DOMINGO"))</f>
        <v/>
      </c>
      <c r="M159" s="23"/>
      <c r="Q159" s="21" t="str">
        <f aca="false">IF(OR(K159="",N159=""),"",K159-N159)</f>
        <v/>
      </c>
      <c r="R159" s="21" t="str">
        <f aca="false">IF(OR(J159="",K159=""),"",J159*K159)</f>
        <v/>
      </c>
      <c r="S159" s="21" t="str">
        <f aca="false">IF(AND(ISNUMBER(J159),ISNUMBER(K159),F159&lt;&gt;"Calentamiento",F159&lt;&gt;"Bilbo"),IF(AND(K159&gt;0,K159&lt;=12),ROUND(J159*(1+(K159+IF(ISNUMBER(L159),L159,0))/30),1),""),"")</f>
        <v/>
      </c>
      <c r="T159" s="21" t="str">
        <f aca="false">IF(AND(F159="Bilbo",ISNUMBER(J159),ISNUMBER(K159)),ROUND(J159*(1+K159/30),1),"")</f>
        <v/>
      </c>
      <c r="W159" s="22"/>
      <c r="X159" s="21" t="str">
        <f aca="false">IF(AND(F159="Bilbo",E159&lt;&gt;"",G159&lt;&gt;"",H159&lt;&gt;""),E159&amp;"|"&amp;G159&amp;"|"&amp;H159,"")</f>
        <v/>
      </c>
      <c r="Y159" s="21" t="str">
        <f aca="false">IF(B159="","",IF(B159&lt;&gt;B158,1,0))</f>
        <v/>
      </c>
    </row>
    <row r="160" customFormat="false" ht="15" hidden="false" customHeight="true" outlineLevel="0" collapsed="false">
      <c r="A160" s="21" t="str">
        <f aca="false">IF(B160="","",ROW()-4)</f>
        <v/>
      </c>
      <c r="B160" s="22"/>
      <c r="C160" s="21" t="str">
        <f aca="false">IF(B160="","",CHOOSE(WEEKDAY(B160,2),"LUNES","MARTES","MIÉRCOLES","JUEVES","VIERNES","SÁBADO","DOMINGO"))</f>
        <v/>
      </c>
      <c r="M160" s="23"/>
      <c r="Q160" s="21" t="str">
        <f aca="false">IF(OR(K160="",N160=""),"",K160-N160)</f>
        <v/>
      </c>
      <c r="R160" s="21" t="str">
        <f aca="false">IF(OR(J160="",K160=""),"",J160*K160)</f>
        <v/>
      </c>
      <c r="S160" s="21" t="str">
        <f aca="false">IF(AND(ISNUMBER(J160),ISNUMBER(K160),F160&lt;&gt;"Calentamiento",F160&lt;&gt;"Bilbo"),IF(AND(K160&gt;0,K160&lt;=12),ROUND(J160*(1+(K160+IF(ISNUMBER(L160),L160,0))/30),1),""),"")</f>
        <v/>
      </c>
      <c r="T160" s="21" t="str">
        <f aca="false">IF(AND(F160="Bilbo",ISNUMBER(J160),ISNUMBER(K160)),ROUND(J160*(1+K160/30),1),"")</f>
        <v/>
      </c>
      <c r="W160" s="22"/>
      <c r="X160" s="21" t="str">
        <f aca="false">IF(AND(F160="Bilbo",E160&lt;&gt;"",G160&lt;&gt;"",H160&lt;&gt;""),E160&amp;"|"&amp;G160&amp;"|"&amp;H160,"")</f>
        <v/>
      </c>
      <c r="Y160" s="21" t="str">
        <f aca="false">IF(B160="","",IF(B160&lt;&gt;B159,1,0))</f>
        <v/>
      </c>
    </row>
    <row r="161" customFormat="false" ht="15" hidden="false" customHeight="true" outlineLevel="0" collapsed="false">
      <c r="A161" s="21" t="str">
        <f aca="false">IF(B161="","",ROW()-4)</f>
        <v/>
      </c>
      <c r="B161" s="22"/>
      <c r="C161" s="21" t="str">
        <f aca="false">IF(B161="","",CHOOSE(WEEKDAY(B161,2),"LUNES","MARTES","MIÉRCOLES","JUEVES","VIERNES","SÁBADO","DOMINGO"))</f>
        <v/>
      </c>
      <c r="M161" s="23"/>
      <c r="Q161" s="21" t="str">
        <f aca="false">IF(OR(K161="",N161=""),"",K161-N161)</f>
        <v/>
      </c>
      <c r="R161" s="21" t="str">
        <f aca="false">IF(OR(J161="",K161=""),"",J161*K161)</f>
        <v/>
      </c>
      <c r="S161" s="21" t="str">
        <f aca="false">IF(AND(ISNUMBER(J161),ISNUMBER(K161),F161&lt;&gt;"Calentamiento",F161&lt;&gt;"Bilbo"),IF(AND(K161&gt;0,K161&lt;=12),ROUND(J161*(1+(K161+IF(ISNUMBER(L161),L161,0))/30),1),""),"")</f>
        <v/>
      </c>
      <c r="T161" s="21" t="str">
        <f aca="false">IF(AND(F161="Bilbo",ISNUMBER(J161),ISNUMBER(K161)),ROUND(J161*(1+K161/30),1),"")</f>
        <v/>
      </c>
      <c r="W161" s="22"/>
      <c r="X161" s="21" t="str">
        <f aca="false">IF(AND(F161="Bilbo",E161&lt;&gt;"",G161&lt;&gt;"",H161&lt;&gt;""),E161&amp;"|"&amp;G161&amp;"|"&amp;H161,"")</f>
        <v/>
      </c>
      <c r="Y161" s="21" t="str">
        <f aca="false">IF(B161="","",IF(B161&lt;&gt;B160,1,0))</f>
        <v/>
      </c>
    </row>
    <row r="162" customFormat="false" ht="15" hidden="false" customHeight="true" outlineLevel="0" collapsed="false">
      <c r="A162" s="21" t="str">
        <f aca="false">IF(B162="","",ROW()-4)</f>
        <v/>
      </c>
      <c r="B162" s="22"/>
      <c r="C162" s="21" t="str">
        <f aca="false">IF(B162="","",CHOOSE(WEEKDAY(B162,2),"LUNES","MARTES","MIÉRCOLES","JUEVES","VIERNES","SÁBADO","DOMINGO"))</f>
        <v/>
      </c>
      <c r="M162" s="23"/>
      <c r="Q162" s="21" t="str">
        <f aca="false">IF(OR(K162="",N162=""),"",K162-N162)</f>
        <v/>
      </c>
      <c r="R162" s="21" t="str">
        <f aca="false">IF(OR(J162="",K162=""),"",J162*K162)</f>
        <v/>
      </c>
      <c r="S162" s="21" t="str">
        <f aca="false">IF(AND(ISNUMBER(J162),ISNUMBER(K162),F162&lt;&gt;"Calentamiento",F162&lt;&gt;"Bilbo"),IF(AND(K162&gt;0,K162&lt;=12),ROUND(J162*(1+(K162+IF(ISNUMBER(L162),L162,0))/30),1),""),"")</f>
        <v/>
      </c>
      <c r="T162" s="21" t="str">
        <f aca="false">IF(AND(F162="Bilbo",ISNUMBER(J162),ISNUMBER(K162)),ROUND(J162*(1+K162/30),1),"")</f>
        <v/>
      </c>
      <c r="W162" s="22"/>
      <c r="X162" s="21" t="str">
        <f aca="false">IF(AND(F162="Bilbo",E162&lt;&gt;"",G162&lt;&gt;"",H162&lt;&gt;""),E162&amp;"|"&amp;G162&amp;"|"&amp;H162,"")</f>
        <v/>
      </c>
      <c r="Y162" s="21" t="str">
        <f aca="false">IF(B162="","",IF(B162&lt;&gt;B161,1,0))</f>
        <v/>
      </c>
    </row>
    <row r="163" customFormat="false" ht="15" hidden="false" customHeight="true" outlineLevel="0" collapsed="false">
      <c r="A163" s="21" t="str">
        <f aca="false">IF(B163="","",ROW()-4)</f>
        <v/>
      </c>
      <c r="B163" s="22"/>
      <c r="C163" s="21" t="str">
        <f aca="false">IF(B163="","",CHOOSE(WEEKDAY(B163,2),"LUNES","MARTES","MIÉRCOLES","JUEVES","VIERNES","SÁBADO","DOMINGO"))</f>
        <v/>
      </c>
      <c r="M163" s="23"/>
      <c r="Q163" s="21" t="str">
        <f aca="false">IF(OR(K163="",N163=""),"",K163-N163)</f>
        <v/>
      </c>
      <c r="R163" s="21" t="str">
        <f aca="false">IF(OR(J163="",K163=""),"",J163*K163)</f>
        <v/>
      </c>
      <c r="S163" s="21" t="str">
        <f aca="false">IF(AND(ISNUMBER(J163),ISNUMBER(K163),F163&lt;&gt;"Calentamiento",F163&lt;&gt;"Bilbo"),IF(AND(K163&gt;0,K163&lt;=12),ROUND(J163*(1+(K163+IF(ISNUMBER(L163),L163,0))/30),1),""),"")</f>
        <v/>
      </c>
      <c r="T163" s="21" t="str">
        <f aca="false">IF(AND(F163="Bilbo",ISNUMBER(J163),ISNUMBER(K163)),ROUND(J163*(1+K163/30),1),"")</f>
        <v/>
      </c>
      <c r="W163" s="22"/>
      <c r="X163" s="21" t="str">
        <f aca="false">IF(AND(F163="Bilbo",E163&lt;&gt;"",G163&lt;&gt;"",H163&lt;&gt;""),E163&amp;"|"&amp;G163&amp;"|"&amp;H163,"")</f>
        <v/>
      </c>
      <c r="Y163" s="21" t="str">
        <f aca="false">IF(B163="","",IF(B163&lt;&gt;B162,1,0))</f>
        <v/>
      </c>
    </row>
    <row r="164" customFormat="false" ht="15" hidden="false" customHeight="true" outlineLevel="0" collapsed="false">
      <c r="A164" s="21" t="str">
        <f aca="false">IF(B164="","",ROW()-4)</f>
        <v/>
      </c>
      <c r="B164" s="22"/>
      <c r="C164" s="21" t="str">
        <f aca="false">IF(B164="","",CHOOSE(WEEKDAY(B164,2),"LUNES","MARTES","MIÉRCOLES","JUEVES","VIERNES","SÁBADO","DOMINGO"))</f>
        <v/>
      </c>
      <c r="M164" s="23"/>
      <c r="Q164" s="21" t="str">
        <f aca="false">IF(OR(K164="",N164=""),"",K164-N164)</f>
        <v/>
      </c>
      <c r="R164" s="21" t="str">
        <f aca="false">IF(OR(J164="",K164=""),"",J164*K164)</f>
        <v/>
      </c>
      <c r="S164" s="21" t="str">
        <f aca="false">IF(AND(ISNUMBER(J164),ISNUMBER(K164),F164&lt;&gt;"Calentamiento",F164&lt;&gt;"Bilbo"),IF(AND(K164&gt;0,K164&lt;=12),ROUND(J164*(1+(K164+IF(ISNUMBER(L164),L164,0))/30),1),""),"")</f>
        <v/>
      </c>
      <c r="T164" s="21" t="str">
        <f aca="false">IF(AND(F164="Bilbo",ISNUMBER(J164),ISNUMBER(K164)),ROUND(J164*(1+K164/30),1),"")</f>
        <v/>
      </c>
      <c r="W164" s="22"/>
      <c r="X164" s="21" t="str">
        <f aca="false">IF(AND(F164="Bilbo",E164&lt;&gt;"",G164&lt;&gt;"",H164&lt;&gt;""),E164&amp;"|"&amp;G164&amp;"|"&amp;H164,"")</f>
        <v/>
      </c>
      <c r="Y164" s="21" t="str">
        <f aca="false">IF(B164="","",IF(B164&lt;&gt;B163,1,0))</f>
        <v/>
      </c>
    </row>
    <row r="165" customFormat="false" ht="15" hidden="false" customHeight="true" outlineLevel="0" collapsed="false">
      <c r="A165" s="21" t="str">
        <f aca="false">IF(B165="","",ROW()-4)</f>
        <v/>
      </c>
      <c r="B165" s="22"/>
      <c r="C165" s="21" t="str">
        <f aca="false">IF(B165="","",CHOOSE(WEEKDAY(B165,2),"LUNES","MARTES","MIÉRCOLES","JUEVES","VIERNES","SÁBADO","DOMINGO"))</f>
        <v/>
      </c>
      <c r="M165" s="23"/>
      <c r="Q165" s="21" t="str">
        <f aca="false">IF(OR(K165="",N165=""),"",K165-N165)</f>
        <v/>
      </c>
      <c r="R165" s="21" t="str">
        <f aca="false">IF(OR(J165="",K165=""),"",J165*K165)</f>
        <v/>
      </c>
      <c r="S165" s="21" t="str">
        <f aca="false">IF(AND(ISNUMBER(J165),ISNUMBER(K165),F165&lt;&gt;"Calentamiento",F165&lt;&gt;"Bilbo"),IF(AND(K165&gt;0,K165&lt;=12),ROUND(J165*(1+(K165+IF(ISNUMBER(L165),L165,0))/30),1),""),"")</f>
        <v/>
      </c>
      <c r="T165" s="21" t="str">
        <f aca="false">IF(AND(F165="Bilbo",ISNUMBER(J165),ISNUMBER(K165)),ROUND(J165*(1+K165/30),1),"")</f>
        <v/>
      </c>
      <c r="W165" s="22"/>
      <c r="X165" s="21" t="str">
        <f aca="false">IF(AND(F165="Bilbo",E165&lt;&gt;"",G165&lt;&gt;"",H165&lt;&gt;""),E165&amp;"|"&amp;G165&amp;"|"&amp;H165,"")</f>
        <v/>
      </c>
      <c r="Y165" s="21" t="str">
        <f aca="false">IF(B165="","",IF(B165&lt;&gt;B164,1,0))</f>
        <v/>
      </c>
    </row>
    <row r="166" customFormat="false" ht="15" hidden="false" customHeight="true" outlineLevel="0" collapsed="false">
      <c r="A166" s="21" t="str">
        <f aca="false">IF(B166="","",ROW()-4)</f>
        <v/>
      </c>
      <c r="B166" s="22"/>
      <c r="C166" s="21" t="str">
        <f aca="false">IF(B166="","",CHOOSE(WEEKDAY(B166,2),"LUNES","MARTES","MIÉRCOLES","JUEVES","VIERNES","SÁBADO","DOMINGO"))</f>
        <v/>
      </c>
      <c r="M166" s="23"/>
      <c r="Q166" s="21" t="str">
        <f aca="false">IF(OR(K166="",N166=""),"",K166-N166)</f>
        <v/>
      </c>
      <c r="R166" s="21" t="str">
        <f aca="false">IF(OR(J166="",K166=""),"",J166*K166)</f>
        <v/>
      </c>
      <c r="S166" s="21" t="str">
        <f aca="false">IF(AND(ISNUMBER(J166),ISNUMBER(K166),F166&lt;&gt;"Calentamiento",F166&lt;&gt;"Bilbo"),IF(AND(K166&gt;0,K166&lt;=12),ROUND(J166*(1+(K166+IF(ISNUMBER(L166),L166,0))/30),1),""),"")</f>
        <v/>
      </c>
      <c r="T166" s="21" t="str">
        <f aca="false">IF(AND(F166="Bilbo",ISNUMBER(J166),ISNUMBER(K166)),ROUND(J166*(1+K166/30),1),"")</f>
        <v/>
      </c>
      <c r="W166" s="22"/>
      <c r="X166" s="21" t="str">
        <f aca="false">IF(AND(F166="Bilbo",E166&lt;&gt;"",G166&lt;&gt;"",H166&lt;&gt;""),E166&amp;"|"&amp;G166&amp;"|"&amp;H166,"")</f>
        <v/>
      </c>
      <c r="Y166" s="21" t="str">
        <f aca="false">IF(B166="","",IF(B166&lt;&gt;B165,1,0))</f>
        <v/>
      </c>
    </row>
    <row r="167" customFormat="false" ht="15" hidden="false" customHeight="true" outlineLevel="0" collapsed="false">
      <c r="A167" s="21" t="str">
        <f aca="false">IF(B167="","",ROW()-4)</f>
        <v/>
      </c>
      <c r="B167" s="22"/>
      <c r="C167" s="21" t="str">
        <f aca="false">IF(B167="","",CHOOSE(WEEKDAY(B167,2),"LUNES","MARTES","MIÉRCOLES","JUEVES","VIERNES","SÁBADO","DOMINGO"))</f>
        <v/>
      </c>
      <c r="M167" s="23"/>
      <c r="Q167" s="21" t="str">
        <f aca="false">IF(OR(K167="",N167=""),"",K167-N167)</f>
        <v/>
      </c>
      <c r="R167" s="21" t="str">
        <f aca="false">IF(OR(J167="",K167=""),"",J167*K167)</f>
        <v/>
      </c>
      <c r="S167" s="21" t="str">
        <f aca="false">IF(AND(ISNUMBER(J167),ISNUMBER(K167),F167&lt;&gt;"Calentamiento",F167&lt;&gt;"Bilbo"),IF(AND(K167&gt;0,K167&lt;=12),ROUND(J167*(1+(K167+IF(ISNUMBER(L167),L167,0))/30),1),""),"")</f>
        <v/>
      </c>
      <c r="T167" s="21" t="str">
        <f aca="false">IF(AND(F167="Bilbo",ISNUMBER(J167),ISNUMBER(K167)),ROUND(J167*(1+K167/30),1),"")</f>
        <v/>
      </c>
      <c r="W167" s="22"/>
      <c r="X167" s="21" t="str">
        <f aca="false">IF(AND(F167="Bilbo",E167&lt;&gt;"",G167&lt;&gt;"",H167&lt;&gt;""),E167&amp;"|"&amp;G167&amp;"|"&amp;H167,"")</f>
        <v/>
      </c>
      <c r="Y167" s="21" t="str">
        <f aca="false">IF(B167="","",IF(B167&lt;&gt;B166,1,0))</f>
        <v/>
      </c>
    </row>
    <row r="168" customFormat="false" ht="15" hidden="false" customHeight="true" outlineLevel="0" collapsed="false">
      <c r="A168" s="21" t="str">
        <f aca="false">IF(B168="","",ROW()-4)</f>
        <v/>
      </c>
      <c r="B168" s="22"/>
      <c r="C168" s="21" t="str">
        <f aca="false">IF(B168="","",CHOOSE(WEEKDAY(B168,2),"LUNES","MARTES","MIÉRCOLES","JUEVES","VIERNES","SÁBADO","DOMINGO"))</f>
        <v/>
      </c>
      <c r="M168" s="23"/>
      <c r="Q168" s="21" t="str">
        <f aca="false">IF(OR(K168="",N168=""),"",K168-N168)</f>
        <v/>
      </c>
      <c r="R168" s="21" t="str">
        <f aca="false">IF(OR(J168="",K168=""),"",J168*K168)</f>
        <v/>
      </c>
      <c r="S168" s="21" t="str">
        <f aca="false">IF(AND(ISNUMBER(J168),ISNUMBER(K168),F168&lt;&gt;"Calentamiento",F168&lt;&gt;"Bilbo"),IF(AND(K168&gt;0,K168&lt;=12),ROUND(J168*(1+(K168+IF(ISNUMBER(L168),L168,0))/30),1),""),"")</f>
        <v/>
      </c>
      <c r="T168" s="21" t="str">
        <f aca="false">IF(AND(F168="Bilbo",ISNUMBER(J168),ISNUMBER(K168)),ROUND(J168*(1+K168/30),1),"")</f>
        <v/>
      </c>
      <c r="W168" s="22"/>
      <c r="X168" s="21" t="str">
        <f aca="false">IF(AND(F168="Bilbo",E168&lt;&gt;"",G168&lt;&gt;"",H168&lt;&gt;""),E168&amp;"|"&amp;G168&amp;"|"&amp;H168,"")</f>
        <v/>
      </c>
      <c r="Y168" s="21" t="str">
        <f aca="false">IF(B168="","",IF(B168&lt;&gt;B167,1,0))</f>
        <v/>
      </c>
    </row>
    <row r="169" customFormat="false" ht="15" hidden="false" customHeight="true" outlineLevel="0" collapsed="false">
      <c r="A169" s="21" t="str">
        <f aca="false">IF(B169="","",ROW()-4)</f>
        <v/>
      </c>
      <c r="B169" s="22"/>
      <c r="C169" s="21" t="str">
        <f aca="false">IF(B169="","",CHOOSE(WEEKDAY(B169,2),"LUNES","MARTES","MIÉRCOLES","JUEVES","VIERNES","SÁBADO","DOMINGO"))</f>
        <v/>
      </c>
      <c r="M169" s="23"/>
      <c r="Q169" s="21" t="str">
        <f aca="false">IF(OR(K169="",N169=""),"",K169-N169)</f>
        <v/>
      </c>
      <c r="R169" s="21" t="str">
        <f aca="false">IF(OR(J169="",K169=""),"",J169*K169)</f>
        <v/>
      </c>
      <c r="S169" s="21" t="str">
        <f aca="false">IF(AND(ISNUMBER(J169),ISNUMBER(K169),F169&lt;&gt;"Calentamiento",F169&lt;&gt;"Bilbo"),IF(AND(K169&gt;0,K169&lt;=12),ROUND(J169*(1+(K169+IF(ISNUMBER(L169),L169,0))/30),1),""),"")</f>
        <v/>
      </c>
      <c r="T169" s="21" t="str">
        <f aca="false">IF(AND(F169="Bilbo",ISNUMBER(J169),ISNUMBER(K169)),ROUND(J169*(1+K169/30),1),"")</f>
        <v/>
      </c>
      <c r="W169" s="22"/>
      <c r="X169" s="21" t="str">
        <f aca="false">IF(AND(F169="Bilbo",E169&lt;&gt;"",G169&lt;&gt;"",H169&lt;&gt;""),E169&amp;"|"&amp;G169&amp;"|"&amp;H169,"")</f>
        <v/>
      </c>
      <c r="Y169" s="21" t="str">
        <f aca="false">IF(B169="","",IF(B169&lt;&gt;B168,1,0))</f>
        <v/>
      </c>
    </row>
    <row r="170" customFormat="false" ht="15" hidden="false" customHeight="true" outlineLevel="0" collapsed="false">
      <c r="A170" s="21" t="str">
        <f aca="false">IF(B170="","",ROW()-4)</f>
        <v/>
      </c>
      <c r="B170" s="22"/>
      <c r="C170" s="21" t="str">
        <f aca="false">IF(B170="","",CHOOSE(WEEKDAY(B170,2),"LUNES","MARTES","MIÉRCOLES","JUEVES","VIERNES","SÁBADO","DOMINGO"))</f>
        <v/>
      </c>
      <c r="M170" s="23"/>
      <c r="Q170" s="21" t="str">
        <f aca="false">IF(OR(K170="",N170=""),"",K170-N170)</f>
        <v/>
      </c>
      <c r="R170" s="21" t="str">
        <f aca="false">IF(OR(J170="",K170=""),"",J170*K170)</f>
        <v/>
      </c>
      <c r="S170" s="21" t="str">
        <f aca="false">IF(AND(ISNUMBER(J170),ISNUMBER(K170),F170&lt;&gt;"Calentamiento",F170&lt;&gt;"Bilbo"),IF(AND(K170&gt;0,K170&lt;=12),ROUND(J170*(1+(K170+IF(ISNUMBER(L170),L170,0))/30),1),""),"")</f>
        <v/>
      </c>
      <c r="T170" s="21" t="str">
        <f aca="false">IF(AND(F170="Bilbo",ISNUMBER(J170),ISNUMBER(K170)),ROUND(J170*(1+K170/30),1),"")</f>
        <v/>
      </c>
      <c r="W170" s="22"/>
      <c r="X170" s="21" t="str">
        <f aca="false">IF(AND(F170="Bilbo",E170&lt;&gt;"",G170&lt;&gt;"",H170&lt;&gt;""),E170&amp;"|"&amp;G170&amp;"|"&amp;H170,"")</f>
        <v/>
      </c>
      <c r="Y170" s="21" t="str">
        <f aca="false">IF(B170="","",IF(B170&lt;&gt;B169,1,0))</f>
        <v/>
      </c>
    </row>
    <row r="171" customFormat="false" ht="15" hidden="false" customHeight="true" outlineLevel="0" collapsed="false">
      <c r="A171" s="21" t="str">
        <f aca="false">IF(B171="","",ROW()-4)</f>
        <v/>
      </c>
      <c r="B171" s="22"/>
      <c r="C171" s="21" t="str">
        <f aca="false">IF(B171="","",CHOOSE(WEEKDAY(B171,2),"LUNES","MARTES","MIÉRCOLES","JUEVES","VIERNES","SÁBADO","DOMINGO"))</f>
        <v/>
      </c>
      <c r="M171" s="23"/>
      <c r="Q171" s="21" t="str">
        <f aca="false">IF(OR(K171="",N171=""),"",K171-N171)</f>
        <v/>
      </c>
      <c r="R171" s="21" t="str">
        <f aca="false">IF(OR(J171="",K171=""),"",J171*K171)</f>
        <v/>
      </c>
      <c r="S171" s="21" t="str">
        <f aca="false">IF(AND(ISNUMBER(J171),ISNUMBER(K171),F171&lt;&gt;"Calentamiento",F171&lt;&gt;"Bilbo"),IF(AND(K171&gt;0,K171&lt;=12),ROUND(J171*(1+(K171+IF(ISNUMBER(L171),L171,0))/30),1),""),"")</f>
        <v/>
      </c>
      <c r="T171" s="21" t="str">
        <f aca="false">IF(AND(F171="Bilbo",ISNUMBER(J171),ISNUMBER(K171)),ROUND(J171*(1+K171/30),1),"")</f>
        <v/>
      </c>
      <c r="W171" s="22"/>
      <c r="X171" s="21" t="str">
        <f aca="false">IF(AND(F171="Bilbo",E171&lt;&gt;"",G171&lt;&gt;"",H171&lt;&gt;""),E171&amp;"|"&amp;G171&amp;"|"&amp;H171,"")</f>
        <v/>
      </c>
      <c r="Y171" s="21" t="str">
        <f aca="false">IF(B171="","",IF(B171&lt;&gt;B170,1,0))</f>
        <v/>
      </c>
    </row>
    <row r="172" customFormat="false" ht="15" hidden="false" customHeight="true" outlineLevel="0" collapsed="false">
      <c r="A172" s="21" t="str">
        <f aca="false">IF(B172="","",ROW()-4)</f>
        <v/>
      </c>
      <c r="B172" s="22"/>
      <c r="C172" s="21" t="str">
        <f aca="false">IF(B172="","",CHOOSE(WEEKDAY(B172,2),"LUNES","MARTES","MIÉRCOLES","JUEVES","VIERNES","SÁBADO","DOMINGO"))</f>
        <v/>
      </c>
      <c r="M172" s="23"/>
      <c r="Q172" s="21" t="str">
        <f aca="false">IF(OR(K172="",N172=""),"",K172-N172)</f>
        <v/>
      </c>
      <c r="R172" s="21" t="str">
        <f aca="false">IF(OR(J172="",K172=""),"",J172*K172)</f>
        <v/>
      </c>
      <c r="S172" s="21" t="str">
        <f aca="false">IF(AND(ISNUMBER(J172),ISNUMBER(K172),F172&lt;&gt;"Calentamiento",F172&lt;&gt;"Bilbo"),IF(AND(K172&gt;0,K172&lt;=12),ROUND(J172*(1+(K172+IF(ISNUMBER(L172),L172,0))/30),1),""),"")</f>
        <v/>
      </c>
      <c r="T172" s="21" t="str">
        <f aca="false">IF(AND(F172="Bilbo",ISNUMBER(J172),ISNUMBER(K172)),ROUND(J172*(1+K172/30),1),"")</f>
        <v/>
      </c>
      <c r="W172" s="22"/>
      <c r="X172" s="21" t="str">
        <f aca="false">IF(AND(F172="Bilbo",E172&lt;&gt;"",G172&lt;&gt;"",H172&lt;&gt;""),E172&amp;"|"&amp;G172&amp;"|"&amp;H172,"")</f>
        <v/>
      </c>
      <c r="Y172" s="21" t="str">
        <f aca="false">IF(B172="","",IF(B172&lt;&gt;B171,1,0))</f>
        <v/>
      </c>
    </row>
    <row r="173" customFormat="false" ht="15" hidden="false" customHeight="true" outlineLevel="0" collapsed="false">
      <c r="A173" s="21" t="str">
        <f aca="false">IF(B173="","",ROW()-4)</f>
        <v/>
      </c>
      <c r="B173" s="22"/>
      <c r="C173" s="21" t="str">
        <f aca="false">IF(B173="","",CHOOSE(WEEKDAY(B173,2),"LUNES","MARTES","MIÉRCOLES","JUEVES","VIERNES","SÁBADO","DOMINGO"))</f>
        <v/>
      </c>
      <c r="M173" s="23"/>
      <c r="Q173" s="21" t="str">
        <f aca="false">IF(OR(K173="",N173=""),"",K173-N173)</f>
        <v/>
      </c>
      <c r="R173" s="21" t="str">
        <f aca="false">IF(OR(J173="",K173=""),"",J173*K173)</f>
        <v/>
      </c>
      <c r="S173" s="21" t="str">
        <f aca="false">IF(AND(ISNUMBER(J173),ISNUMBER(K173),F173&lt;&gt;"Calentamiento",F173&lt;&gt;"Bilbo"),IF(AND(K173&gt;0,K173&lt;=12),ROUND(J173*(1+(K173+IF(ISNUMBER(L173),L173,0))/30),1),""),"")</f>
        <v/>
      </c>
      <c r="T173" s="21" t="str">
        <f aca="false">IF(AND(F173="Bilbo",ISNUMBER(J173),ISNUMBER(K173)),ROUND(J173*(1+K173/30),1),"")</f>
        <v/>
      </c>
      <c r="W173" s="22"/>
      <c r="X173" s="21" t="str">
        <f aca="false">IF(AND(F173="Bilbo",E173&lt;&gt;"",G173&lt;&gt;"",H173&lt;&gt;""),E173&amp;"|"&amp;G173&amp;"|"&amp;H173,"")</f>
        <v/>
      </c>
      <c r="Y173" s="21" t="str">
        <f aca="false">IF(B173="","",IF(B173&lt;&gt;B172,1,0))</f>
        <v/>
      </c>
    </row>
    <row r="174" customFormat="false" ht="15" hidden="false" customHeight="true" outlineLevel="0" collapsed="false">
      <c r="A174" s="21" t="str">
        <f aca="false">IF(B174="","",ROW()-4)</f>
        <v/>
      </c>
      <c r="B174" s="22"/>
      <c r="C174" s="21" t="str">
        <f aca="false">IF(B174="","",CHOOSE(WEEKDAY(B174,2),"LUNES","MARTES","MIÉRCOLES","JUEVES","VIERNES","SÁBADO","DOMINGO"))</f>
        <v/>
      </c>
      <c r="M174" s="23"/>
      <c r="Q174" s="21" t="str">
        <f aca="false">IF(OR(K174="",N174=""),"",K174-N174)</f>
        <v/>
      </c>
      <c r="R174" s="21" t="str">
        <f aca="false">IF(OR(J174="",K174=""),"",J174*K174)</f>
        <v/>
      </c>
      <c r="S174" s="21" t="str">
        <f aca="false">IF(AND(ISNUMBER(J174),ISNUMBER(K174),F174&lt;&gt;"Calentamiento",F174&lt;&gt;"Bilbo"),IF(AND(K174&gt;0,K174&lt;=12),ROUND(J174*(1+(K174+IF(ISNUMBER(L174),L174,0))/30),1),""),"")</f>
        <v/>
      </c>
      <c r="T174" s="21" t="str">
        <f aca="false">IF(AND(F174="Bilbo",ISNUMBER(J174),ISNUMBER(K174)),ROUND(J174*(1+K174/30),1),"")</f>
        <v/>
      </c>
      <c r="W174" s="22"/>
      <c r="X174" s="21" t="str">
        <f aca="false">IF(AND(F174="Bilbo",E174&lt;&gt;"",G174&lt;&gt;"",H174&lt;&gt;""),E174&amp;"|"&amp;G174&amp;"|"&amp;H174,"")</f>
        <v/>
      </c>
      <c r="Y174" s="21" t="str">
        <f aca="false">IF(B174="","",IF(B174&lt;&gt;B173,1,0))</f>
        <v/>
      </c>
    </row>
    <row r="175" customFormat="false" ht="15" hidden="false" customHeight="true" outlineLevel="0" collapsed="false">
      <c r="A175" s="21" t="str">
        <f aca="false">IF(B175="","",ROW()-4)</f>
        <v/>
      </c>
      <c r="B175" s="22"/>
      <c r="C175" s="21" t="str">
        <f aca="false">IF(B175="","",CHOOSE(WEEKDAY(B175,2),"LUNES","MARTES","MIÉRCOLES","JUEVES","VIERNES","SÁBADO","DOMINGO"))</f>
        <v/>
      </c>
      <c r="M175" s="23"/>
      <c r="Q175" s="21" t="str">
        <f aca="false">IF(OR(K175="",N175=""),"",K175-N175)</f>
        <v/>
      </c>
      <c r="R175" s="21" t="str">
        <f aca="false">IF(OR(J175="",K175=""),"",J175*K175)</f>
        <v/>
      </c>
      <c r="S175" s="21" t="str">
        <f aca="false">IF(AND(ISNUMBER(J175),ISNUMBER(K175),F175&lt;&gt;"Calentamiento",F175&lt;&gt;"Bilbo"),IF(AND(K175&gt;0,K175&lt;=12),ROUND(J175*(1+(K175+IF(ISNUMBER(L175),L175,0))/30),1),""),"")</f>
        <v/>
      </c>
      <c r="T175" s="21" t="str">
        <f aca="false">IF(AND(F175="Bilbo",ISNUMBER(J175),ISNUMBER(K175)),ROUND(J175*(1+K175/30),1),"")</f>
        <v/>
      </c>
      <c r="W175" s="22"/>
      <c r="X175" s="21" t="str">
        <f aca="false">IF(AND(F175="Bilbo",E175&lt;&gt;"",G175&lt;&gt;"",H175&lt;&gt;""),E175&amp;"|"&amp;G175&amp;"|"&amp;H175,"")</f>
        <v/>
      </c>
      <c r="Y175" s="21" t="str">
        <f aca="false">IF(B175="","",IF(B175&lt;&gt;B174,1,0))</f>
        <v/>
      </c>
    </row>
    <row r="176" customFormat="false" ht="15" hidden="false" customHeight="true" outlineLevel="0" collapsed="false">
      <c r="A176" s="21" t="str">
        <f aca="false">IF(B176="","",ROW()-4)</f>
        <v/>
      </c>
      <c r="B176" s="22"/>
      <c r="C176" s="21" t="str">
        <f aca="false">IF(B176="","",CHOOSE(WEEKDAY(B176,2),"LUNES","MARTES","MIÉRCOLES","JUEVES","VIERNES","SÁBADO","DOMINGO"))</f>
        <v/>
      </c>
      <c r="M176" s="23"/>
      <c r="Q176" s="21" t="str">
        <f aca="false">IF(OR(K176="",N176=""),"",K176-N176)</f>
        <v/>
      </c>
      <c r="R176" s="21" t="str">
        <f aca="false">IF(OR(J176="",K176=""),"",J176*K176)</f>
        <v/>
      </c>
      <c r="S176" s="21" t="str">
        <f aca="false">IF(AND(ISNUMBER(J176),ISNUMBER(K176),F176&lt;&gt;"Calentamiento",F176&lt;&gt;"Bilbo"),IF(AND(K176&gt;0,K176&lt;=12),ROUND(J176*(1+(K176+IF(ISNUMBER(L176),L176,0))/30),1),""),"")</f>
        <v/>
      </c>
      <c r="T176" s="21" t="str">
        <f aca="false">IF(AND(F176="Bilbo",ISNUMBER(J176),ISNUMBER(K176)),ROUND(J176*(1+K176/30),1),"")</f>
        <v/>
      </c>
      <c r="W176" s="22"/>
      <c r="X176" s="21" t="str">
        <f aca="false">IF(AND(F176="Bilbo",E176&lt;&gt;"",G176&lt;&gt;"",H176&lt;&gt;""),E176&amp;"|"&amp;G176&amp;"|"&amp;H176,"")</f>
        <v/>
      </c>
      <c r="Y176" s="21" t="str">
        <f aca="false">IF(B176="","",IF(B176&lt;&gt;B175,1,0))</f>
        <v/>
      </c>
    </row>
    <row r="177" customFormat="false" ht="15" hidden="false" customHeight="true" outlineLevel="0" collapsed="false">
      <c r="A177" s="21" t="str">
        <f aca="false">IF(B177="","",ROW()-4)</f>
        <v/>
      </c>
      <c r="B177" s="22"/>
      <c r="C177" s="21" t="str">
        <f aca="false">IF(B177="","",CHOOSE(WEEKDAY(B177,2),"LUNES","MARTES","MIÉRCOLES","JUEVES","VIERNES","SÁBADO","DOMINGO"))</f>
        <v/>
      </c>
      <c r="M177" s="23"/>
      <c r="Q177" s="21" t="str">
        <f aca="false">IF(OR(K177="",N177=""),"",K177-N177)</f>
        <v/>
      </c>
      <c r="R177" s="21" t="str">
        <f aca="false">IF(OR(J177="",K177=""),"",J177*K177)</f>
        <v/>
      </c>
      <c r="S177" s="21" t="str">
        <f aca="false">IF(AND(ISNUMBER(J177),ISNUMBER(K177),F177&lt;&gt;"Calentamiento",F177&lt;&gt;"Bilbo"),IF(AND(K177&gt;0,K177&lt;=12),ROUND(J177*(1+(K177+IF(ISNUMBER(L177),L177,0))/30),1),""),"")</f>
        <v/>
      </c>
      <c r="T177" s="21" t="str">
        <f aca="false">IF(AND(F177="Bilbo",ISNUMBER(J177),ISNUMBER(K177)),ROUND(J177*(1+K177/30),1),"")</f>
        <v/>
      </c>
      <c r="W177" s="22"/>
      <c r="X177" s="21" t="str">
        <f aca="false">IF(AND(F177="Bilbo",E177&lt;&gt;"",G177&lt;&gt;"",H177&lt;&gt;""),E177&amp;"|"&amp;G177&amp;"|"&amp;H177,"")</f>
        <v/>
      </c>
      <c r="Y177" s="21" t="str">
        <f aca="false">IF(B177="","",IF(B177&lt;&gt;B176,1,0))</f>
        <v/>
      </c>
    </row>
    <row r="178" customFormat="false" ht="15" hidden="false" customHeight="true" outlineLevel="0" collapsed="false">
      <c r="A178" s="21" t="str">
        <f aca="false">IF(B178="","",ROW()-4)</f>
        <v/>
      </c>
      <c r="B178" s="22"/>
      <c r="C178" s="21" t="str">
        <f aca="false">IF(B178="","",CHOOSE(WEEKDAY(B178,2),"LUNES","MARTES","MIÉRCOLES","JUEVES","VIERNES","SÁBADO","DOMINGO"))</f>
        <v/>
      </c>
      <c r="M178" s="23"/>
      <c r="Q178" s="21" t="str">
        <f aca="false">IF(OR(K178="",N178=""),"",K178-N178)</f>
        <v/>
      </c>
      <c r="R178" s="21" t="str">
        <f aca="false">IF(OR(J178="",K178=""),"",J178*K178)</f>
        <v/>
      </c>
      <c r="S178" s="21" t="str">
        <f aca="false">IF(AND(ISNUMBER(J178),ISNUMBER(K178),F178&lt;&gt;"Calentamiento",F178&lt;&gt;"Bilbo"),IF(AND(K178&gt;0,K178&lt;=12),ROUND(J178*(1+(K178+IF(ISNUMBER(L178),L178,0))/30),1),""),"")</f>
        <v/>
      </c>
      <c r="T178" s="21" t="str">
        <f aca="false">IF(AND(F178="Bilbo",ISNUMBER(J178),ISNUMBER(K178)),ROUND(J178*(1+K178/30),1),"")</f>
        <v/>
      </c>
      <c r="W178" s="22"/>
      <c r="X178" s="21" t="str">
        <f aca="false">IF(AND(F178="Bilbo",E178&lt;&gt;"",G178&lt;&gt;"",H178&lt;&gt;""),E178&amp;"|"&amp;G178&amp;"|"&amp;H178,"")</f>
        <v/>
      </c>
      <c r="Y178" s="21" t="str">
        <f aca="false">IF(B178="","",IF(B178&lt;&gt;B177,1,0))</f>
        <v/>
      </c>
    </row>
    <row r="179" customFormat="false" ht="15" hidden="false" customHeight="true" outlineLevel="0" collapsed="false">
      <c r="A179" s="21" t="str">
        <f aca="false">IF(B179="","",ROW()-4)</f>
        <v/>
      </c>
      <c r="B179" s="22"/>
      <c r="C179" s="21" t="str">
        <f aca="false">IF(B179="","",CHOOSE(WEEKDAY(B179,2),"LUNES","MARTES","MIÉRCOLES","JUEVES","VIERNES","SÁBADO","DOMINGO"))</f>
        <v/>
      </c>
      <c r="M179" s="23"/>
      <c r="Q179" s="21" t="str">
        <f aca="false">IF(OR(K179="",N179=""),"",K179-N179)</f>
        <v/>
      </c>
      <c r="R179" s="21" t="str">
        <f aca="false">IF(OR(J179="",K179=""),"",J179*K179)</f>
        <v/>
      </c>
      <c r="S179" s="21" t="str">
        <f aca="false">IF(AND(ISNUMBER(J179),ISNUMBER(K179),F179&lt;&gt;"Calentamiento",F179&lt;&gt;"Bilbo"),IF(AND(K179&gt;0,K179&lt;=12),ROUND(J179*(1+(K179+IF(ISNUMBER(L179),L179,0))/30),1),""),"")</f>
        <v/>
      </c>
      <c r="T179" s="21" t="str">
        <f aca="false">IF(AND(F179="Bilbo",ISNUMBER(J179),ISNUMBER(K179)),ROUND(J179*(1+K179/30),1),"")</f>
        <v/>
      </c>
      <c r="W179" s="22"/>
      <c r="X179" s="21" t="str">
        <f aca="false">IF(AND(F179="Bilbo",E179&lt;&gt;"",G179&lt;&gt;"",H179&lt;&gt;""),E179&amp;"|"&amp;G179&amp;"|"&amp;H179,"")</f>
        <v/>
      </c>
      <c r="Y179" s="21" t="str">
        <f aca="false">IF(B179="","",IF(B179&lt;&gt;B178,1,0))</f>
        <v/>
      </c>
    </row>
    <row r="180" customFormat="false" ht="15" hidden="false" customHeight="true" outlineLevel="0" collapsed="false">
      <c r="A180" s="21" t="str">
        <f aca="false">IF(B180="","",ROW()-4)</f>
        <v/>
      </c>
      <c r="B180" s="22"/>
      <c r="C180" s="21" t="str">
        <f aca="false">IF(B180="","",CHOOSE(WEEKDAY(B180,2),"LUNES","MARTES","MIÉRCOLES","JUEVES","VIERNES","SÁBADO","DOMINGO"))</f>
        <v/>
      </c>
      <c r="M180" s="23"/>
      <c r="Q180" s="21" t="str">
        <f aca="false">IF(OR(K180="",N180=""),"",K180-N180)</f>
        <v/>
      </c>
      <c r="R180" s="21" t="str">
        <f aca="false">IF(OR(J180="",K180=""),"",J180*K180)</f>
        <v/>
      </c>
      <c r="S180" s="21" t="str">
        <f aca="false">IF(AND(ISNUMBER(J180),ISNUMBER(K180),F180&lt;&gt;"Calentamiento",F180&lt;&gt;"Bilbo"),IF(AND(K180&gt;0,K180&lt;=12),ROUND(J180*(1+(K180+IF(ISNUMBER(L180),L180,0))/30),1),""),"")</f>
        <v/>
      </c>
      <c r="T180" s="21" t="str">
        <f aca="false">IF(AND(F180="Bilbo",ISNUMBER(J180),ISNUMBER(K180)),ROUND(J180*(1+K180/30),1),"")</f>
        <v/>
      </c>
      <c r="W180" s="22"/>
      <c r="X180" s="21" t="str">
        <f aca="false">IF(AND(F180="Bilbo",E180&lt;&gt;"",G180&lt;&gt;"",H180&lt;&gt;""),E180&amp;"|"&amp;G180&amp;"|"&amp;H180,"")</f>
        <v/>
      </c>
      <c r="Y180" s="21" t="str">
        <f aca="false">IF(B180="","",IF(B180&lt;&gt;B179,1,0))</f>
        <v/>
      </c>
    </row>
    <row r="181" customFormat="false" ht="15" hidden="false" customHeight="true" outlineLevel="0" collapsed="false">
      <c r="A181" s="21" t="str">
        <f aca="false">IF(B181="","",ROW()-4)</f>
        <v/>
      </c>
      <c r="B181" s="22"/>
      <c r="C181" s="21" t="str">
        <f aca="false">IF(B181="","",CHOOSE(WEEKDAY(B181,2),"LUNES","MARTES","MIÉRCOLES","JUEVES","VIERNES","SÁBADO","DOMINGO"))</f>
        <v/>
      </c>
      <c r="M181" s="23"/>
      <c r="Q181" s="21" t="str">
        <f aca="false">IF(OR(K181="",N181=""),"",K181-N181)</f>
        <v/>
      </c>
      <c r="R181" s="21" t="str">
        <f aca="false">IF(OR(J181="",K181=""),"",J181*K181)</f>
        <v/>
      </c>
      <c r="S181" s="21" t="str">
        <f aca="false">IF(AND(ISNUMBER(J181),ISNUMBER(K181),F181&lt;&gt;"Calentamiento",F181&lt;&gt;"Bilbo"),IF(AND(K181&gt;0,K181&lt;=12),ROUND(J181*(1+(K181+IF(ISNUMBER(L181),L181,0))/30),1),""),"")</f>
        <v/>
      </c>
      <c r="T181" s="21" t="str">
        <f aca="false">IF(AND(F181="Bilbo",ISNUMBER(J181),ISNUMBER(K181)),ROUND(J181*(1+K181/30),1),"")</f>
        <v/>
      </c>
      <c r="W181" s="22"/>
      <c r="X181" s="21" t="str">
        <f aca="false">IF(AND(F181="Bilbo",E181&lt;&gt;"",G181&lt;&gt;"",H181&lt;&gt;""),E181&amp;"|"&amp;G181&amp;"|"&amp;H181,"")</f>
        <v/>
      </c>
      <c r="Y181" s="21" t="str">
        <f aca="false">IF(B181="","",IF(B181&lt;&gt;B180,1,0))</f>
        <v/>
      </c>
    </row>
    <row r="182" customFormat="false" ht="15" hidden="false" customHeight="true" outlineLevel="0" collapsed="false">
      <c r="A182" s="21" t="str">
        <f aca="false">IF(B182="","",ROW()-4)</f>
        <v/>
      </c>
      <c r="B182" s="22"/>
      <c r="C182" s="21" t="str">
        <f aca="false">IF(B182="","",CHOOSE(WEEKDAY(B182,2),"LUNES","MARTES","MIÉRCOLES","JUEVES","VIERNES","SÁBADO","DOMINGO"))</f>
        <v/>
      </c>
      <c r="M182" s="23"/>
      <c r="Q182" s="21" t="str">
        <f aca="false">IF(OR(K182="",N182=""),"",K182-N182)</f>
        <v/>
      </c>
      <c r="R182" s="21" t="str">
        <f aca="false">IF(OR(J182="",K182=""),"",J182*K182)</f>
        <v/>
      </c>
      <c r="S182" s="21" t="str">
        <f aca="false">IF(AND(ISNUMBER(J182),ISNUMBER(K182),F182&lt;&gt;"Calentamiento",F182&lt;&gt;"Bilbo"),IF(AND(K182&gt;0,K182&lt;=12),ROUND(J182*(1+(K182+IF(ISNUMBER(L182),L182,0))/30),1),""),"")</f>
        <v/>
      </c>
      <c r="T182" s="21" t="str">
        <f aca="false">IF(AND(F182="Bilbo",ISNUMBER(J182),ISNUMBER(K182)),ROUND(J182*(1+K182/30),1),"")</f>
        <v/>
      </c>
      <c r="W182" s="22"/>
      <c r="X182" s="21" t="str">
        <f aca="false">IF(AND(F182="Bilbo",E182&lt;&gt;"",G182&lt;&gt;"",H182&lt;&gt;""),E182&amp;"|"&amp;G182&amp;"|"&amp;H182,"")</f>
        <v/>
      </c>
      <c r="Y182" s="21" t="str">
        <f aca="false">IF(B182="","",IF(B182&lt;&gt;B181,1,0))</f>
        <v/>
      </c>
    </row>
    <row r="183" customFormat="false" ht="15" hidden="false" customHeight="true" outlineLevel="0" collapsed="false">
      <c r="A183" s="21" t="str">
        <f aca="false">IF(B183="","",ROW()-4)</f>
        <v/>
      </c>
      <c r="B183" s="22"/>
      <c r="C183" s="21" t="str">
        <f aca="false">IF(B183="","",CHOOSE(WEEKDAY(B183,2),"LUNES","MARTES","MIÉRCOLES","JUEVES","VIERNES","SÁBADO","DOMINGO"))</f>
        <v/>
      </c>
      <c r="M183" s="23"/>
      <c r="Q183" s="21" t="str">
        <f aca="false">IF(OR(K183="",N183=""),"",K183-N183)</f>
        <v/>
      </c>
      <c r="R183" s="21" t="str">
        <f aca="false">IF(OR(J183="",K183=""),"",J183*K183)</f>
        <v/>
      </c>
      <c r="S183" s="21" t="str">
        <f aca="false">IF(AND(ISNUMBER(J183),ISNUMBER(K183),F183&lt;&gt;"Calentamiento",F183&lt;&gt;"Bilbo"),IF(AND(K183&gt;0,K183&lt;=12),ROUND(J183*(1+(K183+IF(ISNUMBER(L183),L183,0))/30),1),""),"")</f>
        <v/>
      </c>
      <c r="T183" s="21" t="str">
        <f aca="false">IF(AND(F183="Bilbo",ISNUMBER(J183),ISNUMBER(K183)),ROUND(J183*(1+K183/30),1),"")</f>
        <v/>
      </c>
      <c r="W183" s="22"/>
      <c r="X183" s="21" t="str">
        <f aca="false">IF(AND(F183="Bilbo",E183&lt;&gt;"",G183&lt;&gt;"",H183&lt;&gt;""),E183&amp;"|"&amp;G183&amp;"|"&amp;H183,"")</f>
        <v/>
      </c>
      <c r="Y183" s="21" t="str">
        <f aca="false">IF(B183="","",IF(B183&lt;&gt;B182,1,0))</f>
        <v/>
      </c>
    </row>
    <row r="184" customFormat="false" ht="15" hidden="false" customHeight="true" outlineLevel="0" collapsed="false">
      <c r="A184" s="21" t="str">
        <f aca="false">IF(B184="","",ROW()-4)</f>
        <v/>
      </c>
      <c r="B184" s="22"/>
      <c r="C184" s="21" t="str">
        <f aca="false">IF(B184="","",CHOOSE(WEEKDAY(B184,2),"LUNES","MARTES","MIÉRCOLES","JUEVES","VIERNES","SÁBADO","DOMINGO"))</f>
        <v/>
      </c>
      <c r="M184" s="23"/>
      <c r="Q184" s="21" t="str">
        <f aca="false">IF(OR(K184="",N184=""),"",K184-N184)</f>
        <v/>
      </c>
      <c r="R184" s="21" t="str">
        <f aca="false">IF(OR(J184="",K184=""),"",J184*K184)</f>
        <v/>
      </c>
      <c r="S184" s="21" t="str">
        <f aca="false">IF(AND(ISNUMBER(J184),ISNUMBER(K184),F184&lt;&gt;"Calentamiento",F184&lt;&gt;"Bilbo"),IF(AND(K184&gt;0,K184&lt;=12),ROUND(J184*(1+(K184+IF(ISNUMBER(L184),L184,0))/30),1),""),"")</f>
        <v/>
      </c>
      <c r="T184" s="21" t="str">
        <f aca="false">IF(AND(F184="Bilbo",ISNUMBER(J184),ISNUMBER(K184)),ROUND(J184*(1+K184/30),1),"")</f>
        <v/>
      </c>
      <c r="W184" s="22"/>
      <c r="X184" s="21" t="str">
        <f aca="false">IF(AND(F184="Bilbo",E184&lt;&gt;"",G184&lt;&gt;"",H184&lt;&gt;""),E184&amp;"|"&amp;G184&amp;"|"&amp;H184,"")</f>
        <v/>
      </c>
      <c r="Y184" s="21" t="str">
        <f aca="false">IF(B184="","",IF(B184&lt;&gt;B183,1,0))</f>
        <v/>
      </c>
    </row>
    <row r="185" customFormat="false" ht="15" hidden="false" customHeight="true" outlineLevel="0" collapsed="false">
      <c r="A185" s="21" t="str">
        <f aca="false">IF(B185="","",ROW()-4)</f>
        <v/>
      </c>
      <c r="B185" s="22"/>
      <c r="C185" s="21" t="str">
        <f aca="false">IF(B185="","",CHOOSE(WEEKDAY(B185,2),"LUNES","MARTES","MIÉRCOLES","JUEVES","VIERNES","SÁBADO","DOMINGO"))</f>
        <v/>
      </c>
      <c r="M185" s="23"/>
      <c r="Q185" s="21" t="str">
        <f aca="false">IF(OR(K185="",N185=""),"",K185-N185)</f>
        <v/>
      </c>
      <c r="R185" s="21" t="str">
        <f aca="false">IF(OR(J185="",K185=""),"",J185*K185)</f>
        <v/>
      </c>
      <c r="S185" s="21" t="str">
        <f aca="false">IF(AND(ISNUMBER(J185),ISNUMBER(K185),F185&lt;&gt;"Calentamiento",F185&lt;&gt;"Bilbo"),IF(AND(K185&gt;0,K185&lt;=12),ROUND(J185*(1+(K185+IF(ISNUMBER(L185),L185,0))/30),1),""),"")</f>
        <v/>
      </c>
      <c r="T185" s="21" t="str">
        <f aca="false">IF(AND(F185="Bilbo",ISNUMBER(J185),ISNUMBER(K185)),ROUND(J185*(1+K185/30),1),"")</f>
        <v/>
      </c>
      <c r="W185" s="22"/>
      <c r="X185" s="21" t="str">
        <f aca="false">IF(AND(F185="Bilbo",E185&lt;&gt;"",G185&lt;&gt;"",H185&lt;&gt;""),E185&amp;"|"&amp;G185&amp;"|"&amp;H185,"")</f>
        <v/>
      </c>
      <c r="Y185" s="21" t="str">
        <f aca="false">IF(B185="","",IF(B185&lt;&gt;B184,1,0))</f>
        <v/>
      </c>
    </row>
    <row r="186" customFormat="false" ht="15" hidden="false" customHeight="true" outlineLevel="0" collapsed="false">
      <c r="A186" s="21" t="str">
        <f aca="false">IF(B186="","",ROW()-4)</f>
        <v/>
      </c>
      <c r="B186" s="22"/>
      <c r="C186" s="21" t="str">
        <f aca="false">IF(B186="","",CHOOSE(WEEKDAY(B186,2),"LUNES","MARTES","MIÉRCOLES","JUEVES","VIERNES","SÁBADO","DOMINGO"))</f>
        <v/>
      </c>
      <c r="M186" s="23"/>
      <c r="Q186" s="21" t="str">
        <f aca="false">IF(OR(K186="",N186=""),"",K186-N186)</f>
        <v/>
      </c>
      <c r="R186" s="21" t="str">
        <f aca="false">IF(OR(J186="",K186=""),"",J186*K186)</f>
        <v/>
      </c>
      <c r="S186" s="21" t="str">
        <f aca="false">IF(AND(ISNUMBER(J186),ISNUMBER(K186),F186&lt;&gt;"Calentamiento",F186&lt;&gt;"Bilbo"),IF(AND(K186&gt;0,K186&lt;=12),ROUND(J186*(1+(K186+IF(ISNUMBER(L186),L186,0))/30),1),""),"")</f>
        <v/>
      </c>
      <c r="T186" s="21" t="str">
        <f aca="false">IF(AND(F186="Bilbo",ISNUMBER(J186),ISNUMBER(K186)),ROUND(J186*(1+K186/30),1),"")</f>
        <v/>
      </c>
      <c r="W186" s="22"/>
      <c r="X186" s="21" t="str">
        <f aca="false">IF(AND(F186="Bilbo",E186&lt;&gt;"",G186&lt;&gt;"",H186&lt;&gt;""),E186&amp;"|"&amp;G186&amp;"|"&amp;H186,"")</f>
        <v/>
      </c>
      <c r="Y186" s="21" t="str">
        <f aca="false">IF(B186="","",IF(B186&lt;&gt;B185,1,0))</f>
        <v/>
      </c>
    </row>
    <row r="187" customFormat="false" ht="15" hidden="false" customHeight="true" outlineLevel="0" collapsed="false">
      <c r="A187" s="21" t="str">
        <f aca="false">IF(B187="","",ROW()-4)</f>
        <v/>
      </c>
      <c r="B187" s="22"/>
      <c r="C187" s="21" t="str">
        <f aca="false">IF(B187="","",CHOOSE(WEEKDAY(B187,2),"LUNES","MARTES","MIÉRCOLES","JUEVES","VIERNES","SÁBADO","DOMINGO"))</f>
        <v/>
      </c>
      <c r="M187" s="23"/>
      <c r="Q187" s="21" t="str">
        <f aca="false">IF(OR(K187="",N187=""),"",K187-N187)</f>
        <v/>
      </c>
      <c r="R187" s="21" t="str">
        <f aca="false">IF(OR(J187="",K187=""),"",J187*K187)</f>
        <v/>
      </c>
      <c r="S187" s="21" t="str">
        <f aca="false">IF(AND(ISNUMBER(J187),ISNUMBER(K187),F187&lt;&gt;"Calentamiento",F187&lt;&gt;"Bilbo"),IF(AND(K187&gt;0,K187&lt;=12),ROUND(J187*(1+(K187+IF(ISNUMBER(L187),L187,0))/30),1),""),"")</f>
        <v/>
      </c>
      <c r="T187" s="21" t="str">
        <f aca="false">IF(AND(F187="Bilbo",ISNUMBER(J187),ISNUMBER(K187)),ROUND(J187*(1+K187/30),1),"")</f>
        <v/>
      </c>
      <c r="W187" s="22"/>
      <c r="X187" s="21" t="str">
        <f aca="false">IF(AND(F187="Bilbo",E187&lt;&gt;"",G187&lt;&gt;"",H187&lt;&gt;""),E187&amp;"|"&amp;G187&amp;"|"&amp;H187,"")</f>
        <v/>
      </c>
      <c r="Y187" s="21" t="str">
        <f aca="false">IF(B187="","",IF(B187&lt;&gt;B186,1,0))</f>
        <v/>
      </c>
    </row>
    <row r="188" customFormat="false" ht="15" hidden="false" customHeight="true" outlineLevel="0" collapsed="false">
      <c r="A188" s="21" t="str">
        <f aca="false">IF(B188="","",ROW()-4)</f>
        <v/>
      </c>
      <c r="B188" s="22"/>
      <c r="C188" s="21" t="str">
        <f aca="false">IF(B188="","",CHOOSE(WEEKDAY(B188,2),"LUNES","MARTES","MIÉRCOLES","JUEVES","VIERNES","SÁBADO","DOMINGO"))</f>
        <v/>
      </c>
      <c r="M188" s="23"/>
      <c r="Q188" s="21" t="str">
        <f aca="false">IF(OR(K188="",N188=""),"",K188-N188)</f>
        <v/>
      </c>
      <c r="R188" s="21" t="str">
        <f aca="false">IF(OR(J188="",K188=""),"",J188*K188)</f>
        <v/>
      </c>
      <c r="S188" s="21" t="str">
        <f aca="false">IF(AND(ISNUMBER(J188),ISNUMBER(K188),F188&lt;&gt;"Calentamiento",F188&lt;&gt;"Bilbo"),IF(AND(K188&gt;0,K188&lt;=12),ROUND(J188*(1+(K188+IF(ISNUMBER(L188),L188,0))/30),1),""),"")</f>
        <v/>
      </c>
      <c r="T188" s="21" t="str">
        <f aca="false">IF(AND(F188="Bilbo",ISNUMBER(J188),ISNUMBER(K188)),ROUND(J188*(1+K188/30),1),"")</f>
        <v/>
      </c>
      <c r="W188" s="22"/>
      <c r="X188" s="21" t="str">
        <f aca="false">IF(AND(F188="Bilbo",E188&lt;&gt;"",G188&lt;&gt;"",H188&lt;&gt;""),E188&amp;"|"&amp;G188&amp;"|"&amp;H188,"")</f>
        <v/>
      </c>
      <c r="Y188" s="21" t="str">
        <f aca="false">IF(B188="","",IF(B188&lt;&gt;B187,1,0))</f>
        <v/>
      </c>
    </row>
    <row r="189" customFormat="false" ht="15" hidden="false" customHeight="true" outlineLevel="0" collapsed="false">
      <c r="A189" s="21" t="str">
        <f aca="false">IF(B189="","",ROW()-4)</f>
        <v/>
      </c>
      <c r="B189" s="22"/>
      <c r="C189" s="21" t="str">
        <f aca="false">IF(B189="","",CHOOSE(WEEKDAY(B189,2),"LUNES","MARTES","MIÉRCOLES","JUEVES","VIERNES","SÁBADO","DOMINGO"))</f>
        <v/>
      </c>
      <c r="M189" s="23"/>
      <c r="Q189" s="21" t="str">
        <f aca="false">IF(OR(K189="",N189=""),"",K189-N189)</f>
        <v/>
      </c>
      <c r="R189" s="21" t="str">
        <f aca="false">IF(OR(J189="",K189=""),"",J189*K189)</f>
        <v/>
      </c>
      <c r="S189" s="21" t="str">
        <f aca="false">IF(AND(ISNUMBER(J189),ISNUMBER(K189),F189&lt;&gt;"Calentamiento",F189&lt;&gt;"Bilbo"),IF(AND(K189&gt;0,K189&lt;=12),ROUND(J189*(1+(K189+IF(ISNUMBER(L189),L189,0))/30),1),""),"")</f>
        <v/>
      </c>
      <c r="T189" s="21" t="str">
        <f aca="false">IF(AND(F189="Bilbo",ISNUMBER(J189),ISNUMBER(K189)),ROUND(J189*(1+K189/30),1),"")</f>
        <v/>
      </c>
      <c r="W189" s="22"/>
      <c r="X189" s="21" t="str">
        <f aca="false">IF(AND(F189="Bilbo",E189&lt;&gt;"",G189&lt;&gt;"",H189&lt;&gt;""),E189&amp;"|"&amp;G189&amp;"|"&amp;H189,"")</f>
        <v/>
      </c>
      <c r="Y189" s="21" t="str">
        <f aca="false">IF(B189="","",IF(B189&lt;&gt;B188,1,0))</f>
        <v/>
      </c>
    </row>
    <row r="190" customFormat="false" ht="15" hidden="false" customHeight="true" outlineLevel="0" collapsed="false">
      <c r="A190" s="21" t="str">
        <f aca="false">IF(B190="","",ROW()-4)</f>
        <v/>
      </c>
      <c r="B190" s="22"/>
      <c r="C190" s="21" t="str">
        <f aca="false">IF(B190="","",CHOOSE(WEEKDAY(B190,2),"LUNES","MARTES","MIÉRCOLES","JUEVES","VIERNES","SÁBADO","DOMINGO"))</f>
        <v/>
      </c>
      <c r="M190" s="23"/>
      <c r="Q190" s="21" t="str">
        <f aca="false">IF(OR(K190="",N190=""),"",K190-N190)</f>
        <v/>
      </c>
      <c r="R190" s="21" t="str">
        <f aca="false">IF(OR(J190="",K190=""),"",J190*K190)</f>
        <v/>
      </c>
      <c r="S190" s="21" t="str">
        <f aca="false">IF(AND(ISNUMBER(J190),ISNUMBER(K190),F190&lt;&gt;"Calentamiento",F190&lt;&gt;"Bilbo"),IF(AND(K190&gt;0,K190&lt;=12),ROUND(J190*(1+(K190+IF(ISNUMBER(L190),L190,0))/30),1),""),"")</f>
        <v/>
      </c>
      <c r="T190" s="21" t="str">
        <f aca="false">IF(AND(F190="Bilbo",ISNUMBER(J190),ISNUMBER(K190)),ROUND(J190*(1+K190/30),1),"")</f>
        <v/>
      </c>
      <c r="W190" s="22"/>
      <c r="X190" s="21" t="str">
        <f aca="false">IF(AND(F190="Bilbo",E190&lt;&gt;"",G190&lt;&gt;"",H190&lt;&gt;""),E190&amp;"|"&amp;G190&amp;"|"&amp;H190,"")</f>
        <v/>
      </c>
      <c r="Y190" s="21" t="str">
        <f aca="false">IF(B190="","",IF(B190&lt;&gt;B189,1,0))</f>
        <v/>
      </c>
    </row>
    <row r="191" customFormat="false" ht="15" hidden="false" customHeight="true" outlineLevel="0" collapsed="false">
      <c r="A191" s="21" t="str">
        <f aca="false">IF(B191="","",ROW()-4)</f>
        <v/>
      </c>
      <c r="B191" s="22"/>
      <c r="C191" s="21" t="str">
        <f aca="false">IF(B191="","",CHOOSE(WEEKDAY(B191,2),"LUNES","MARTES","MIÉRCOLES","JUEVES","VIERNES","SÁBADO","DOMINGO"))</f>
        <v/>
      </c>
      <c r="M191" s="23"/>
      <c r="Q191" s="21" t="str">
        <f aca="false">IF(OR(K191="",N191=""),"",K191-N191)</f>
        <v/>
      </c>
      <c r="R191" s="21" t="str">
        <f aca="false">IF(OR(J191="",K191=""),"",J191*K191)</f>
        <v/>
      </c>
      <c r="S191" s="21" t="str">
        <f aca="false">IF(AND(ISNUMBER(J191),ISNUMBER(K191),F191&lt;&gt;"Calentamiento",F191&lt;&gt;"Bilbo"),IF(AND(K191&gt;0,K191&lt;=12),ROUND(J191*(1+(K191+IF(ISNUMBER(L191),L191,0))/30),1),""),"")</f>
        <v/>
      </c>
      <c r="T191" s="21" t="str">
        <f aca="false">IF(AND(F191="Bilbo",ISNUMBER(J191),ISNUMBER(K191)),ROUND(J191*(1+K191/30),1),"")</f>
        <v/>
      </c>
      <c r="W191" s="22"/>
      <c r="X191" s="21" t="str">
        <f aca="false">IF(AND(F191="Bilbo",E191&lt;&gt;"",G191&lt;&gt;"",H191&lt;&gt;""),E191&amp;"|"&amp;G191&amp;"|"&amp;H191,"")</f>
        <v/>
      </c>
      <c r="Y191" s="21" t="str">
        <f aca="false">IF(B191="","",IF(B191&lt;&gt;B190,1,0))</f>
        <v/>
      </c>
    </row>
    <row r="192" customFormat="false" ht="15" hidden="false" customHeight="true" outlineLevel="0" collapsed="false">
      <c r="A192" s="21" t="str">
        <f aca="false">IF(B192="","",ROW()-4)</f>
        <v/>
      </c>
      <c r="B192" s="22"/>
      <c r="C192" s="21" t="str">
        <f aca="false">IF(B192="","",CHOOSE(WEEKDAY(B192,2),"LUNES","MARTES","MIÉRCOLES","JUEVES","VIERNES","SÁBADO","DOMINGO"))</f>
        <v/>
      </c>
      <c r="M192" s="23"/>
      <c r="Q192" s="21" t="str">
        <f aca="false">IF(OR(K192="",N192=""),"",K192-N192)</f>
        <v/>
      </c>
      <c r="R192" s="21" t="str">
        <f aca="false">IF(OR(J192="",K192=""),"",J192*K192)</f>
        <v/>
      </c>
      <c r="S192" s="21" t="str">
        <f aca="false">IF(AND(ISNUMBER(J192),ISNUMBER(K192),F192&lt;&gt;"Calentamiento",F192&lt;&gt;"Bilbo"),IF(AND(K192&gt;0,K192&lt;=12),ROUND(J192*(1+(K192+IF(ISNUMBER(L192),L192,0))/30),1),""),"")</f>
        <v/>
      </c>
      <c r="T192" s="21" t="str">
        <f aca="false">IF(AND(F192="Bilbo",ISNUMBER(J192),ISNUMBER(K192)),ROUND(J192*(1+K192/30),1),"")</f>
        <v/>
      </c>
      <c r="W192" s="22"/>
      <c r="X192" s="21" t="str">
        <f aca="false">IF(AND(F192="Bilbo",E192&lt;&gt;"",G192&lt;&gt;"",H192&lt;&gt;""),E192&amp;"|"&amp;G192&amp;"|"&amp;H192,"")</f>
        <v/>
      </c>
      <c r="Y192" s="21" t="str">
        <f aca="false">IF(B192="","",IF(B192&lt;&gt;B191,1,0))</f>
        <v/>
      </c>
    </row>
    <row r="193" customFormat="false" ht="15" hidden="false" customHeight="true" outlineLevel="0" collapsed="false">
      <c r="A193" s="21" t="str">
        <f aca="false">IF(B193="","",ROW()-4)</f>
        <v/>
      </c>
      <c r="B193" s="22"/>
      <c r="C193" s="21" t="str">
        <f aca="false">IF(B193="","",CHOOSE(WEEKDAY(B193,2),"LUNES","MARTES","MIÉRCOLES","JUEVES","VIERNES","SÁBADO","DOMINGO"))</f>
        <v/>
      </c>
      <c r="M193" s="23"/>
      <c r="Q193" s="21" t="str">
        <f aca="false">IF(OR(K193="",N193=""),"",K193-N193)</f>
        <v/>
      </c>
      <c r="R193" s="21" t="str">
        <f aca="false">IF(OR(J193="",K193=""),"",J193*K193)</f>
        <v/>
      </c>
      <c r="S193" s="21" t="str">
        <f aca="false">IF(AND(ISNUMBER(J193),ISNUMBER(K193),F193&lt;&gt;"Calentamiento",F193&lt;&gt;"Bilbo"),IF(AND(K193&gt;0,K193&lt;=12),ROUND(J193*(1+(K193+IF(ISNUMBER(L193),L193,0))/30),1),""),"")</f>
        <v/>
      </c>
      <c r="T193" s="21" t="str">
        <f aca="false">IF(AND(F193="Bilbo",ISNUMBER(J193),ISNUMBER(K193)),ROUND(J193*(1+K193/30),1),"")</f>
        <v/>
      </c>
      <c r="W193" s="22"/>
      <c r="X193" s="21" t="str">
        <f aca="false">IF(AND(F193="Bilbo",E193&lt;&gt;"",G193&lt;&gt;"",H193&lt;&gt;""),E193&amp;"|"&amp;G193&amp;"|"&amp;H193,"")</f>
        <v/>
      </c>
      <c r="Y193" s="21" t="str">
        <f aca="false">IF(B193="","",IF(B193&lt;&gt;B192,1,0))</f>
        <v/>
      </c>
    </row>
    <row r="194" customFormat="false" ht="15" hidden="false" customHeight="true" outlineLevel="0" collapsed="false">
      <c r="A194" s="21" t="str">
        <f aca="false">IF(B194="","",ROW()-4)</f>
        <v/>
      </c>
      <c r="B194" s="22"/>
      <c r="C194" s="21" t="str">
        <f aca="false">IF(B194="","",CHOOSE(WEEKDAY(B194,2),"LUNES","MARTES","MIÉRCOLES","JUEVES","VIERNES","SÁBADO","DOMINGO"))</f>
        <v/>
      </c>
      <c r="M194" s="23"/>
      <c r="Q194" s="21" t="str">
        <f aca="false">IF(OR(K194="",N194=""),"",K194-N194)</f>
        <v/>
      </c>
      <c r="R194" s="21" t="str">
        <f aca="false">IF(OR(J194="",K194=""),"",J194*K194)</f>
        <v/>
      </c>
      <c r="S194" s="21" t="str">
        <f aca="false">IF(AND(ISNUMBER(J194),ISNUMBER(K194),F194&lt;&gt;"Calentamiento",F194&lt;&gt;"Bilbo"),IF(AND(K194&gt;0,K194&lt;=12),ROUND(J194*(1+(K194+IF(ISNUMBER(L194),L194,0))/30),1),""),"")</f>
        <v/>
      </c>
      <c r="T194" s="21" t="str">
        <f aca="false">IF(AND(F194="Bilbo",ISNUMBER(J194),ISNUMBER(K194)),ROUND(J194*(1+K194/30),1),"")</f>
        <v/>
      </c>
      <c r="W194" s="22"/>
      <c r="X194" s="21" t="str">
        <f aca="false">IF(AND(F194="Bilbo",E194&lt;&gt;"",G194&lt;&gt;"",H194&lt;&gt;""),E194&amp;"|"&amp;G194&amp;"|"&amp;H194,"")</f>
        <v/>
      </c>
      <c r="Y194" s="21" t="str">
        <f aca="false">IF(B194="","",IF(B194&lt;&gt;B193,1,0))</f>
        <v/>
      </c>
    </row>
    <row r="195" customFormat="false" ht="15" hidden="false" customHeight="true" outlineLevel="0" collapsed="false">
      <c r="A195" s="21" t="str">
        <f aca="false">IF(B195="","",ROW()-4)</f>
        <v/>
      </c>
      <c r="B195" s="22"/>
      <c r="C195" s="21" t="str">
        <f aca="false">IF(B195="","",CHOOSE(WEEKDAY(B195,2),"LUNES","MARTES","MIÉRCOLES","JUEVES","VIERNES","SÁBADO","DOMINGO"))</f>
        <v/>
      </c>
      <c r="M195" s="23"/>
      <c r="Q195" s="21" t="str">
        <f aca="false">IF(OR(K195="",N195=""),"",K195-N195)</f>
        <v/>
      </c>
      <c r="R195" s="21" t="str">
        <f aca="false">IF(OR(J195="",K195=""),"",J195*K195)</f>
        <v/>
      </c>
      <c r="S195" s="21" t="str">
        <f aca="false">IF(AND(ISNUMBER(J195),ISNUMBER(K195),F195&lt;&gt;"Calentamiento",F195&lt;&gt;"Bilbo"),IF(AND(K195&gt;0,K195&lt;=12),ROUND(J195*(1+(K195+IF(ISNUMBER(L195),L195,0))/30),1),""),"")</f>
        <v/>
      </c>
      <c r="T195" s="21" t="str">
        <f aca="false">IF(AND(F195="Bilbo",ISNUMBER(J195),ISNUMBER(K195)),ROUND(J195*(1+K195/30),1),"")</f>
        <v/>
      </c>
      <c r="W195" s="22"/>
      <c r="X195" s="21" t="str">
        <f aca="false">IF(AND(F195="Bilbo",E195&lt;&gt;"",G195&lt;&gt;"",H195&lt;&gt;""),E195&amp;"|"&amp;G195&amp;"|"&amp;H195,"")</f>
        <v/>
      </c>
      <c r="Y195" s="21" t="str">
        <f aca="false">IF(B195="","",IF(B195&lt;&gt;B194,1,0))</f>
        <v/>
      </c>
    </row>
    <row r="196" customFormat="false" ht="15" hidden="false" customHeight="true" outlineLevel="0" collapsed="false">
      <c r="A196" s="21" t="str">
        <f aca="false">IF(B196="","",ROW()-4)</f>
        <v/>
      </c>
      <c r="B196" s="22"/>
      <c r="C196" s="21" t="str">
        <f aca="false">IF(B196="","",CHOOSE(WEEKDAY(B196,2),"LUNES","MARTES","MIÉRCOLES","JUEVES","VIERNES","SÁBADO","DOMINGO"))</f>
        <v/>
      </c>
      <c r="M196" s="23"/>
      <c r="Q196" s="21" t="str">
        <f aca="false">IF(OR(K196="",N196=""),"",K196-N196)</f>
        <v/>
      </c>
      <c r="R196" s="21" t="str">
        <f aca="false">IF(OR(J196="",K196=""),"",J196*K196)</f>
        <v/>
      </c>
      <c r="S196" s="21" t="str">
        <f aca="false">IF(AND(ISNUMBER(J196),ISNUMBER(K196),F196&lt;&gt;"Calentamiento",F196&lt;&gt;"Bilbo"),IF(AND(K196&gt;0,K196&lt;=12),ROUND(J196*(1+(K196+IF(ISNUMBER(L196),L196,0))/30),1),""),"")</f>
        <v/>
      </c>
      <c r="T196" s="21" t="str">
        <f aca="false">IF(AND(F196="Bilbo",ISNUMBER(J196),ISNUMBER(K196)),ROUND(J196*(1+K196/30),1),"")</f>
        <v/>
      </c>
      <c r="W196" s="22"/>
      <c r="X196" s="21" t="str">
        <f aca="false">IF(AND(F196="Bilbo",E196&lt;&gt;"",G196&lt;&gt;"",H196&lt;&gt;""),E196&amp;"|"&amp;G196&amp;"|"&amp;H196,"")</f>
        <v/>
      </c>
      <c r="Y196" s="21" t="str">
        <f aca="false">IF(B196="","",IF(B196&lt;&gt;B195,1,0))</f>
        <v/>
      </c>
    </row>
    <row r="197" customFormat="false" ht="15" hidden="false" customHeight="true" outlineLevel="0" collapsed="false">
      <c r="A197" s="21" t="str">
        <f aca="false">IF(B197="","",ROW()-4)</f>
        <v/>
      </c>
      <c r="B197" s="22"/>
      <c r="C197" s="21" t="str">
        <f aca="false">IF(B197="","",CHOOSE(WEEKDAY(B197,2),"LUNES","MARTES","MIÉRCOLES","JUEVES","VIERNES","SÁBADO","DOMINGO"))</f>
        <v/>
      </c>
      <c r="M197" s="23"/>
      <c r="Q197" s="21" t="str">
        <f aca="false">IF(OR(K197="",N197=""),"",K197-N197)</f>
        <v/>
      </c>
      <c r="R197" s="21" t="str">
        <f aca="false">IF(OR(J197="",K197=""),"",J197*K197)</f>
        <v/>
      </c>
      <c r="S197" s="21" t="str">
        <f aca="false">IF(AND(ISNUMBER(J197),ISNUMBER(K197),F197&lt;&gt;"Calentamiento",F197&lt;&gt;"Bilbo"),IF(AND(K197&gt;0,K197&lt;=12),ROUND(J197*(1+(K197+IF(ISNUMBER(L197),L197,0))/30),1),""),"")</f>
        <v/>
      </c>
      <c r="T197" s="21" t="str">
        <f aca="false">IF(AND(F197="Bilbo",ISNUMBER(J197),ISNUMBER(K197)),ROUND(J197*(1+K197/30),1),"")</f>
        <v/>
      </c>
      <c r="W197" s="22"/>
      <c r="X197" s="21" t="str">
        <f aca="false">IF(AND(F197="Bilbo",E197&lt;&gt;"",G197&lt;&gt;"",H197&lt;&gt;""),E197&amp;"|"&amp;G197&amp;"|"&amp;H197,"")</f>
        <v/>
      </c>
      <c r="Y197" s="21" t="str">
        <f aca="false">IF(B197="","",IF(B197&lt;&gt;B196,1,0))</f>
        <v/>
      </c>
    </row>
    <row r="198" customFormat="false" ht="15" hidden="false" customHeight="true" outlineLevel="0" collapsed="false">
      <c r="A198" s="21" t="str">
        <f aca="false">IF(B198="","",ROW()-4)</f>
        <v/>
      </c>
      <c r="B198" s="22"/>
      <c r="C198" s="21" t="str">
        <f aca="false">IF(B198="","",CHOOSE(WEEKDAY(B198,2),"LUNES","MARTES","MIÉRCOLES","JUEVES","VIERNES","SÁBADO","DOMINGO"))</f>
        <v/>
      </c>
      <c r="M198" s="23"/>
      <c r="Q198" s="21" t="str">
        <f aca="false">IF(OR(K198="",N198=""),"",K198-N198)</f>
        <v/>
      </c>
      <c r="R198" s="21" t="str">
        <f aca="false">IF(OR(J198="",K198=""),"",J198*K198)</f>
        <v/>
      </c>
      <c r="S198" s="21" t="str">
        <f aca="false">IF(AND(ISNUMBER(J198),ISNUMBER(K198),F198&lt;&gt;"Calentamiento",F198&lt;&gt;"Bilbo"),IF(AND(K198&gt;0,K198&lt;=12),ROUND(J198*(1+(K198+IF(ISNUMBER(L198),L198,0))/30),1),""),"")</f>
        <v/>
      </c>
      <c r="T198" s="21" t="str">
        <f aca="false">IF(AND(F198="Bilbo",ISNUMBER(J198),ISNUMBER(K198)),ROUND(J198*(1+K198/30),1),"")</f>
        <v/>
      </c>
      <c r="W198" s="22"/>
      <c r="X198" s="21" t="str">
        <f aca="false">IF(AND(F198="Bilbo",E198&lt;&gt;"",G198&lt;&gt;"",H198&lt;&gt;""),E198&amp;"|"&amp;G198&amp;"|"&amp;H198,"")</f>
        <v/>
      </c>
      <c r="Y198" s="21" t="str">
        <f aca="false">IF(B198="","",IF(B198&lt;&gt;B197,1,0))</f>
        <v/>
      </c>
    </row>
    <row r="199" customFormat="false" ht="15" hidden="false" customHeight="true" outlineLevel="0" collapsed="false">
      <c r="A199" s="21" t="str">
        <f aca="false">IF(B199="","",ROW()-4)</f>
        <v/>
      </c>
      <c r="B199" s="22"/>
      <c r="C199" s="21" t="str">
        <f aca="false">IF(B199="","",CHOOSE(WEEKDAY(B199,2),"LUNES","MARTES","MIÉRCOLES","JUEVES","VIERNES","SÁBADO","DOMINGO"))</f>
        <v/>
      </c>
      <c r="M199" s="23"/>
      <c r="Q199" s="21" t="str">
        <f aca="false">IF(OR(K199="",N199=""),"",K199-N199)</f>
        <v/>
      </c>
      <c r="R199" s="21" t="str">
        <f aca="false">IF(OR(J199="",K199=""),"",J199*K199)</f>
        <v/>
      </c>
      <c r="S199" s="21" t="str">
        <f aca="false">IF(AND(ISNUMBER(J199),ISNUMBER(K199),F199&lt;&gt;"Calentamiento",F199&lt;&gt;"Bilbo"),IF(AND(K199&gt;0,K199&lt;=12),ROUND(J199*(1+(K199+IF(ISNUMBER(L199),L199,0))/30),1),""),"")</f>
        <v/>
      </c>
      <c r="T199" s="21" t="str">
        <f aca="false">IF(AND(F199="Bilbo",ISNUMBER(J199),ISNUMBER(K199)),ROUND(J199*(1+K199/30),1),"")</f>
        <v/>
      </c>
      <c r="W199" s="22"/>
      <c r="X199" s="21" t="str">
        <f aca="false">IF(AND(F199="Bilbo",E199&lt;&gt;"",G199&lt;&gt;"",H199&lt;&gt;""),E199&amp;"|"&amp;G199&amp;"|"&amp;H199,"")</f>
        <v/>
      </c>
      <c r="Y199" s="21" t="str">
        <f aca="false">IF(B199="","",IF(B199&lt;&gt;B198,1,0))</f>
        <v/>
      </c>
    </row>
    <row r="200" customFormat="false" ht="15" hidden="false" customHeight="true" outlineLevel="0" collapsed="false">
      <c r="A200" s="21" t="str">
        <f aca="false">IF(B200="","",ROW()-4)</f>
        <v/>
      </c>
      <c r="B200" s="22"/>
      <c r="C200" s="21" t="str">
        <f aca="false">IF(B200="","",CHOOSE(WEEKDAY(B200,2),"LUNES","MARTES","MIÉRCOLES","JUEVES","VIERNES","SÁBADO","DOMINGO"))</f>
        <v/>
      </c>
      <c r="M200" s="23"/>
      <c r="Q200" s="21" t="str">
        <f aca="false">IF(OR(K200="",N200=""),"",K200-N200)</f>
        <v/>
      </c>
      <c r="R200" s="21" t="str">
        <f aca="false">IF(OR(J200="",K200=""),"",J200*K200)</f>
        <v/>
      </c>
      <c r="S200" s="21" t="str">
        <f aca="false">IF(AND(ISNUMBER(J200),ISNUMBER(K200),F200&lt;&gt;"Calentamiento",F200&lt;&gt;"Bilbo"),IF(AND(K200&gt;0,K200&lt;=12),ROUND(J200*(1+(K200+IF(ISNUMBER(L200),L200,0))/30),1),""),"")</f>
        <v/>
      </c>
      <c r="T200" s="21" t="str">
        <f aca="false">IF(AND(F200="Bilbo",ISNUMBER(J200),ISNUMBER(K200)),ROUND(J200*(1+K200/30),1),"")</f>
        <v/>
      </c>
      <c r="W200" s="22"/>
      <c r="X200" s="21" t="str">
        <f aca="false">IF(AND(F200="Bilbo",E200&lt;&gt;"",G200&lt;&gt;"",H200&lt;&gt;""),E200&amp;"|"&amp;G200&amp;"|"&amp;H200,"")</f>
        <v/>
      </c>
      <c r="Y200" s="21" t="str">
        <f aca="false">IF(B200="","",IF(B200&lt;&gt;B199,1,0))</f>
        <v/>
      </c>
    </row>
    <row r="201" customFormat="false" ht="15" hidden="false" customHeight="true" outlineLevel="0" collapsed="false">
      <c r="A201" s="21" t="str">
        <f aca="false">IF(B201="","",ROW()-4)</f>
        <v/>
      </c>
      <c r="B201" s="22"/>
      <c r="C201" s="21" t="str">
        <f aca="false">IF(B201="","",CHOOSE(WEEKDAY(B201,2),"LUNES","MARTES","MIÉRCOLES","JUEVES","VIERNES","SÁBADO","DOMINGO"))</f>
        <v/>
      </c>
      <c r="M201" s="23"/>
      <c r="Q201" s="21" t="str">
        <f aca="false">IF(OR(K201="",N201=""),"",K201-N201)</f>
        <v/>
      </c>
      <c r="R201" s="21" t="str">
        <f aca="false">IF(OR(J201="",K201=""),"",J201*K201)</f>
        <v/>
      </c>
      <c r="S201" s="21" t="str">
        <f aca="false">IF(AND(ISNUMBER(J201),ISNUMBER(K201),F201&lt;&gt;"Calentamiento",F201&lt;&gt;"Bilbo"),IF(AND(K201&gt;0,K201&lt;=12),ROUND(J201*(1+(K201+IF(ISNUMBER(L201),L201,0))/30),1),""),"")</f>
        <v/>
      </c>
      <c r="T201" s="21" t="str">
        <f aca="false">IF(AND(F201="Bilbo",ISNUMBER(J201),ISNUMBER(K201)),ROUND(J201*(1+K201/30),1),"")</f>
        <v/>
      </c>
      <c r="W201" s="22"/>
      <c r="X201" s="21" t="str">
        <f aca="false">IF(AND(F201="Bilbo",E201&lt;&gt;"",G201&lt;&gt;"",H201&lt;&gt;""),E201&amp;"|"&amp;G201&amp;"|"&amp;H201,"")</f>
        <v/>
      </c>
      <c r="Y201" s="21" t="str">
        <f aca="false">IF(B201="","",IF(B201&lt;&gt;B200,1,0))</f>
        <v/>
      </c>
    </row>
    <row r="202" customFormat="false" ht="15" hidden="false" customHeight="true" outlineLevel="0" collapsed="false">
      <c r="A202" s="21" t="str">
        <f aca="false">IF(B202="","",ROW()-4)</f>
        <v/>
      </c>
      <c r="B202" s="22"/>
      <c r="C202" s="21" t="str">
        <f aca="false">IF(B202="","",CHOOSE(WEEKDAY(B202,2),"LUNES","MARTES","MIÉRCOLES","JUEVES","VIERNES","SÁBADO","DOMINGO"))</f>
        <v/>
      </c>
      <c r="M202" s="23"/>
      <c r="Q202" s="21" t="str">
        <f aca="false">IF(OR(K202="",N202=""),"",K202-N202)</f>
        <v/>
      </c>
      <c r="R202" s="21" t="str">
        <f aca="false">IF(OR(J202="",K202=""),"",J202*K202)</f>
        <v/>
      </c>
      <c r="S202" s="21" t="str">
        <f aca="false">IF(AND(ISNUMBER(J202),ISNUMBER(K202),F202&lt;&gt;"Calentamiento",F202&lt;&gt;"Bilbo"),IF(AND(K202&gt;0,K202&lt;=12),ROUND(J202*(1+(K202+IF(ISNUMBER(L202),L202,0))/30),1),""),"")</f>
        <v/>
      </c>
      <c r="T202" s="21" t="str">
        <f aca="false">IF(AND(F202="Bilbo",ISNUMBER(J202),ISNUMBER(K202)),ROUND(J202*(1+K202/30),1),"")</f>
        <v/>
      </c>
      <c r="W202" s="22"/>
      <c r="X202" s="21" t="str">
        <f aca="false">IF(AND(F202="Bilbo",E202&lt;&gt;"",G202&lt;&gt;"",H202&lt;&gt;""),E202&amp;"|"&amp;G202&amp;"|"&amp;H202,"")</f>
        <v/>
      </c>
      <c r="Y202" s="21" t="str">
        <f aca="false">IF(B202="","",IF(B202&lt;&gt;B201,1,0))</f>
        <v/>
      </c>
    </row>
    <row r="203" customFormat="false" ht="15" hidden="false" customHeight="true" outlineLevel="0" collapsed="false">
      <c r="A203" s="21" t="str">
        <f aca="false">IF(B203="","",ROW()-4)</f>
        <v/>
      </c>
      <c r="B203" s="22"/>
      <c r="C203" s="21" t="str">
        <f aca="false">IF(B203="","",CHOOSE(WEEKDAY(B203,2),"LUNES","MARTES","MIÉRCOLES","JUEVES","VIERNES","SÁBADO","DOMINGO"))</f>
        <v/>
      </c>
      <c r="M203" s="23"/>
      <c r="Q203" s="21" t="str">
        <f aca="false">IF(OR(K203="",N203=""),"",K203-N203)</f>
        <v/>
      </c>
      <c r="R203" s="21" t="str">
        <f aca="false">IF(OR(J203="",K203=""),"",J203*K203)</f>
        <v/>
      </c>
      <c r="S203" s="21" t="str">
        <f aca="false">IF(AND(ISNUMBER(J203),ISNUMBER(K203),F203&lt;&gt;"Calentamiento",F203&lt;&gt;"Bilbo"),IF(AND(K203&gt;0,K203&lt;=12),ROUND(J203*(1+(K203+IF(ISNUMBER(L203),L203,0))/30),1),""),"")</f>
        <v/>
      </c>
      <c r="T203" s="21" t="str">
        <f aca="false">IF(AND(F203="Bilbo",ISNUMBER(J203),ISNUMBER(K203)),ROUND(J203*(1+K203/30),1),"")</f>
        <v/>
      </c>
      <c r="W203" s="22"/>
      <c r="X203" s="21" t="str">
        <f aca="false">IF(AND(F203="Bilbo",E203&lt;&gt;"",G203&lt;&gt;"",H203&lt;&gt;""),E203&amp;"|"&amp;G203&amp;"|"&amp;H203,"")</f>
        <v/>
      </c>
      <c r="Y203" s="21" t="str">
        <f aca="false">IF(B203="","",IF(B203&lt;&gt;B202,1,0))</f>
        <v/>
      </c>
    </row>
    <row r="204" customFormat="false" ht="15" hidden="false" customHeight="true" outlineLevel="0" collapsed="false">
      <c r="A204" s="21" t="str">
        <f aca="false">IF(B204="","",ROW()-4)</f>
        <v/>
      </c>
      <c r="B204" s="22"/>
      <c r="C204" s="21" t="str">
        <f aca="false">IF(B204="","",CHOOSE(WEEKDAY(B204,2),"LUNES","MARTES","MIÉRCOLES","JUEVES","VIERNES","SÁBADO","DOMINGO"))</f>
        <v/>
      </c>
      <c r="M204" s="23"/>
      <c r="Q204" s="21" t="str">
        <f aca="false">IF(OR(K204="",N204=""),"",K204-N204)</f>
        <v/>
      </c>
      <c r="R204" s="21" t="str">
        <f aca="false">IF(OR(J204="",K204=""),"",J204*K204)</f>
        <v/>
      </c>
      <c r="S204" s="21" t="str">
        <f aca="false">IF(AND(ISNUMBER(J204),ISNUMBER(K204),F204&lt;&gt;"Calentamiento",F204&lt;&gt;"Bilbo"),IF(AND(K204&gt;0,K204&lt;=12),ROUND(J204*(1+(K204+IF(ISNUMBER(L204),L204,0))/30),1),""),"")</f>
        <v/>
      </c>
      <c r="T204" s="21" t="str">
        <f aca="false">IF(AND(F204="Bilbo",ISNUMBER(J204),ISNUMBER(K204)),ROUND(J204*(1+K204/30),1),"")</f>
        <v/>
      </c>
      <c r="W204" s="22"/>
      <c r="X204" s="21" t="str">
        <f aca="false">IF(AND(F204="Bilbo",E204&lt;&gt;"",G204&lt;&gt;"",H204&lt;&gt;""),E204&amp;"|"&amp;G204&amp;"|"&amp;H204,"")</f>
        <v/>
      </c>
      <c r="Y204" s="21" t="str">
        <f aca="false">IF(B204="","",IF(B204&lt;&gt;B203,1,0))</f>
        <v/>
      </c>
    </row>
    <row r="205" customFormat="false" ht="15" hidden="false" customHeight="true" outlineLevel="0" collapsed="false">
      <c r="A205" s="21" t="str">
        <f aca="false">IF(B205="","",ROW()-4)</f>
        <v/>
      </c>
      <c r="B205" s="22"/>
      <c r="C205" s="21" t="str">
        <f aca="false">IF(B205="","",CHOOSE(WEEKDAY(B205,2),"LUNES","MARTES","MIÉRCOLES","JUEVES","VIERNES","SÁBADO","DOMINGO"))</f>
        <v/>
      </c>
      <c r="M205" s="23"/>
      <c r="Q205" s="21" t="str">
        <f aca="false">IF(OR(K205="",N205=""),"",K205-N205)</f>
        <v/>
      </c>
      <c r="R205" s="21" t="str">
        <f aca="false">IF(OR(J205="",K205=""),"",J205*K205)</f>
        <v/>
      </c>
      <c r="S205" s="21" t="str">
        <f aca="false">IF(AND(ISNUMBER(J205),ISNUMBER(K205),F205&lt;&gt;"Calentamiento",F205&lt;&gt;"Bilbo"),IF(AND(K205&gt;0,K205&lt;=12),ROUND(J205*(1+(K205+IF(ISNUMBER(L205),L205,0))/30),1),""),"")</f>
        <v/>
      </c>
      <c r="T205" s="21" t="str">
        <f aca="false">IF(AND(F205="Bilbo",ISNUMBER(J205),ISNUMBER(K205)),ROUND(J205*(1+K205/30),1),"")</f>
        <v/>
      </c>
      <c r="W205" s="22"/>
      <c r="X205" s="21" t="str">
        <f aca="false">IF(AND(F205="Bilbo",E205&lt;&gt;"",G205&lt;&gt;"",H205&lt;&gt;""),E205&amp;"|"&amp;G205&amp;"|"&amp;H205,"")</f>
        <v/>
      </c>
      <c r="Y205" s="21" t="str">
        <f aca="false">IF(B205="","",IF(B205&lt;&gt;B204,1,0))</f>
        <v/>
      </c>
    </row>
    <row r="206" customFormat="false" ht="15" hidden="false" customHeight="true" outlineLevel="0" collapsed="false">
      <c r="A206" s="21" t="str">
        <f aca="false">IF(B206="","",ROW()-4)</f>
        <v/>
      </c>
      <c r="B206" s="22"/>
      <c r="C206" s="21" t="str">
        <f aca="false">IF(B206="","",CHOOSE(WEEKDAY(B206,2),"LUNES","MARTES","MIÉRCOLES","JUEVES","VIERNES","SÁBADO","DOMINGO"))</f>
        <v/>
      </c>
      <c r="M206" s="23"/>
      <c r="Q206" s="21" t="str">
        <f aca="false">IF(OR(K206="",N206=""),"",K206-N206)</f>
        <v/>
      </c>
      <c r="R206" s="21" t="str">
        <f aca="false">IF(OR(J206="",K206=""),"",J206*K206)</f>
        <v/>
      </c>
      <c r="S206" s="21" t="str">
        <f aca="false">IF(AND(ISNUMBER(J206),ISNUMBER(K206),F206&lt;&gt;"Calentamiento",F206&lt;&gt;"Bilbo"),IF(AND(K206&gt;0,K206&lt;=12),ROUND(J206*(1+(K206+IF(ISNUMBER(L206),L206,0))/30),1),""),"")</f>
        <v/>
      </c>
      <c r="T206" s="21" t="str">
        <f aca="false">IF(AND(F206="Bilbo",ISNUMBER(J206),ISNUMBER(K206)),ROUND(J206*(1+K206/30),1),"")</f>
        <v/>
      </c>
      <c r="W206" s="22"/>
      <c r="X206" s="21" t="str">
        <f aca="false">IF(AND(F206="Bilbo",E206&lt;&gt;"",G206&lt;&gt;"",H206&lt;&gt;""),E206&amp;"|"&amp;G206&amp;"|"&amp;H206,"")</f>
        <v/>
      </c>
      <c r="Y206" s="21" t="str">
        <f aca="false">IF(B206="","",IF(B206&lt;&gt;B205,1,0))</f>
        <v/>
      </c>
    </row>
    <row r="207" customFormat="false" ht="15" hidden="false" customHeight="true" outlineLevel="0" collapsed="false">
      <c r="A207" s="21" t="str">
        <f aca="false">IF(B207="","",ROW()-4)</f>
        <v/>
      </c>
      <c r="B207" s="22"/>
      <c r="C207" s="21" t="str">
        <f aca="false">IF(B207="","",CHOOSE(WEEKDAY(B207,2),"LUNES","MARTES","MIÉRCOLES","JUEVES","VIERNES","SÁBADO","DOMINGO"))</f>
        <v/>
      </c>
      <c r="M207" s="23"/>
      <c r="Q207" s="21" t="str">
        <f aca="false">IF(OR(K207="",N207=""),"",K207-N207)</f>
        <v/>
      </c>
      <c r="R207" s="21" t="str">
        <f aca="false">IF(OR(J207="",K207=""),"",J207*K207)</f>
        <v/>
      </c>
      <c r="S207" s="21" t="str">
        <f aca="false">IF(AND(ISNUMBER(J207),ISNUMBER(K207),F207&lt;&gt;"Calentamiento",F207&lt;&gt;"Bilbo"),IF(AND(K207&gt;0,K207&lt;=12),ROUND(J207*(1+(K207+IF(ISNUMBER(L207),L207,0))/30),1),""),"")</f>
        <v/>
      </c>
      <c r="T207" s="21" t="str">
        <f aca="false">IF(AND(F207="Bilbo",ISNUMBER(J207),ISNUMBER(K207)),ROUND(J207*(1+K207/30),1),"")</f>
        <v/>
      </c>
      <c r="W207" s="22"/>
      <c r="X207" s="21" t="str">
        <f aca="false">IF(AND(F207="Bilbo",E207&lt;&gt;"",G207&lt;&gt;"",H207&lt;&gt;""),E207&amp;"|"&amp;G207&amp;"|"&amp;H207,"")</f>
        <v/>
      </c>
      <c r="Y207" s="21" t="str">
        <f aca="false">IF(B207="","",IF(B207&lt;&gt;B206,1,0))</f>
        <v/>
      </c>
    </row>
    <row r="208" customFormat="false" ht="15" hidden="false" customHeight="true" outlineLevel="0" collapsed="false">
      <c r="A208" s="21" t="str">
        <f aca="false">IF(B208="","",ROW()-4)</f>
        <v/>
      </c>
      <c r="B208" s="22"/>
      <c r="C208" s="21" t="str">
        <f aca="false">IF(B208="","",CHOOSE(WEEKDAY(B208,2),"LUNES","MARTES","MIÉRCOLES","JUEVES","VIERNES","SÁBADO","DOMINGO"))</f>
        <v/>
      </c>
      <c r="M208" s="23"/>
      <c r="Q208" s="21" t="str">
        <f aca="false">IF(OR(K208="",N208=""),"",K208-N208)</f>
        <v/>
      </c>
      <c r="R208" s="21" t="str">
        <f aca="false">IF(OR(J208="",K208=""),"",J208*K208)</f>
        <v/>
      </c>
      <c r="S208" s="21" t="str">
        <f aca="false">IF(AND(ISNUMBER(J208),ISNUMBER(K208),F208&lt;&gt;"Calentamiento",F208&lt;&gt;"Bilbo"),IF(AND(K208&gt;0,K208&lt;=12),ROUND(J208*(1+(K208+IF(ISNUMBER(L208),L208,0))/30),1),""),"")</f>
        <v/>
      </c>
      <c r="T208" s="21" t="str">
        <f aca="false">IF(AND(F208="Bilbo",ISNUMBER(J208),ISNUMBER(K208)),ROUND(J208*(1+K208/30),1),"")</f>
        <v/>
      </c>
      <c r="W208" s="22"/>
      <c r="X208" s="21" t="str">
        <f aca="false">IF(AND(F208="Bilbo",E208&lt;&gt;"",G208&lt;&gt;"",H208&lt;&gt;""),E208&amp;"|"&amp;G208&amp;"|"&amp;H208,"")</f>
        <v/>
      </c>
      <c r="Y208" s="21" t="str">
        <f aca="false">IF(B208="","",IF(B208&lt;&gt;B207,1,0))</f>
        <v/>
      </c>
    </row>
    <row r="209" customFormat="false" ht="15" hidden="false" customHeight="true" outlineLevel="0" collapsed="false">
      <c r="A209" s="21" t="str">
        <f aca="false">IF(B209="","",ROW()-4)</f>
        <v/>
      </c>
      <c r="B209" s="22"/>
      <c r="C209" s="21" t="str">
        <f aca="false">IF(B209="","",CHOOSE(WEEKDAY(B209,2),"LUNES","MARTES","MIÉRCOLES","JUEVES","VIERNES","SÁBADO","DOMINGO"))</f>
        <v/>
      </c>
      <c r="M209" s="23"/>
      <c r="Q209" s="21" t="str">
        <f aca="false">IF(OR(K209="",N209=""),"",K209-N209)</f>
        <v/>
      </c>
      <c r="R209" s="21" t="str">
        <f aca="false">IF(OR(J209="",K209=""),"",J209*K209)</f>
        <v/>
      </c>
      <c r="S209" s="21" t="str">
        <f aca="false">IF(AND(ISNUMBER(J209),ISNUMBER(K209),F209&lt;&gt;"Calentamiento",F209&lt;&gt;"Bilbo"),IF(AND(K209&gt;0,K209&lt;=12),ROUND(J209*(1+(K209+IF(ISNUMBER(L209),L209,0))/30),1),""),"")</f>
        <v/>
      </c>
      <c r="T209" s="21" t="str">
        <f aca="false">IF(AND(F209="Bilbo",ISNUMBER(J209),ISNUMBER(K209)),ROUND(J209*(1+K209/30),1),"")</f>
        <v/>
      </c>
      <c r="W209" s="22"/>
      <c r="X209" s="21" t="str">
        <f aca="false">IF(AND(F209="Bilbo",E209&lt;&gt;"",G209&lt;&gt;"",H209&lt;&gt;""),E209&amp;"|"&amp;G209&amp;"|"&amp;H209,"")</f>
        <v/>
      </c>
      <c r="Y209" s="21" t="str">
        <f aca="false">IF(B209="","",IF(B209&lt;&gt;B208,1,0))</f>
        <v/>
      </c>
    </row>
    <row r="210" customFormat="false" ht="15" hidden="false" customHeight="true" outlineLevel="0" collapsed="false">
      <c r="A210" s="21" t="str">
        <f aca="false">IF(B210="","",ROW()-4)</f>
        <v/>
      </c>
      <c r="B210" s="22"/>
      <c r="C210" s="21" t="str">
        <f aca="false">IF(B210="","",CHOOSE(WEEKDAY(B210,2),"LUNES","MARTES","MIÉRCOLES","JUEVES","VIERNES","SÁBADO","DOMINGO"))</f>
        <v/>
      </c>
      <c r="M210" s="23"/>
      <c r="Q210" s="21" t="str">
        <f aca="false">IF(OR(K210="",N210=""),"",K210-N210)</f>
        <v/>
      </c>
      <c r="R210" s="21" t="str">
        <f aca="false">IF(OR(J210="",K210=""),"",J210*K210)</f>
        <v/>
      </c>
      <c r="S210" s="21" t="str">
        <f aca="false">IF(AND(ISNUMBER(J210),ISNUMBER(K210),F210&lt;&gt;"Calentamiento",F210&lt;&gt;"Bilbo"),IF(AND(K210&gt;0,K210&lt;=12),ROUND(J210*(1+(K210+IF(ISNUMBER(L210),L210,0))/30),1),""),"")</f>
        <v/>
      </c>
      <c r="T210" s="21" t="str">
        <f aca="false">IF(AND(F210="Bilbo",ISNUMBER(J210),ISNUMBER(K210)),ROUND(J210*(1+K210/30),1),"")</f>
        <v/>
      </c>
      <c r="W210" s="22"/>
      <c r="X210" s="21" t="str">
        <f aca="false">IF(AND(F210="Bilbo",E210&lt;&gt;"",G210&lt;&gt;"",H210&lt;&gt;""),E210&amp;"|"&amp;G210&amp;"|"&amp;H210,"")</f>
        <v/>
      </c>
      <c r="Y210" s="21" t="str">
        <f aca="false">IF(B210="","",IF(B210&lt;&gt;B209,1,0))</f>
        <v/>
      </c>
    </row>
    <row r="211" customFormat="false" ht="15" hidden="false" customHeight="true" outlineLevel="0" collapsed="false">
      <c r="A211" s="21" t="str">
        <f aca="false">IF(B211="","",ROW()-4)</f>
        <v/>
      </c>
      <c r="B211" s="22"/>
      <c r="C211" s="21" t="str">
        <f aca="false">IF(B211="","",CHOOSE(WEEKDAY(B211,2),"LUNES","MARTES","MIÉRCOLES","JUEVES","VIERNES","SÁBADO","DOMINGO"))</f>
        <v/>
      </c>
      <c r="M211" s="23"/>
      <c r="Q211" s="21" t="str">
        <f aca="false">IF(OR(K211="",N211=""),"",K211-N211)</f>
        <v/>
      </c>
      <c r="R211" s="21" t="str">
        <f aca="false">IF(OR(J211="",K211=""),"",J211*K211)</f>
        <v/>
      </c>
      <c r="S211" s="21" t="str">
        <f aca="false">IF(AND(ISNUMBER(J211),ISNUMBER(K211),F211&lt;&gt;"Calentamiento",F211&lt;&gt;"Bilbo"),IF(AND(K211&gt;0,K211&lt;=12),ROUND(J211*(1+(K211+IF(ISNUMBER(L211),L211,0))/30),1),""),"")</f>
        <v/>
      </c>
      <c r="T211" s="21" t="str">
        <f aca="false">IF(AND(F211="Bilbo",ISNUMBER(J211),ISNUMBER(K211)),ROUND(J211*(1+K211/30),1),"")</f>
        <v/>
      </c>
      <c r="W211" s="22"/>
      <c r="X211" s="21" t="str">
        <f aca="false">IF(AND(F211="Bilbo",E211&lt;&gt;"",G211&lt;&gt;"",H211&lt;&gt;""),E211&amp;"|"&amp;G211&amp;"|"&amp;H211,"")</f>
        <v/>
      </c>
      <c r="Y211" s="21" t="str">
        <f aca="false">IF(B211="","",IF(B211&lt;&gt;B210,1,0))</f>
        <v/>
      </c>
    </row>
    <row r="212" customFormat="false" ht="15" hidden="false" customHeight="true" outlineLevel="0" collapsed="false">
      <c r="A212" s="21" t="str">
        <f aca="false">IF(B212="","",ROW()-4)</f>
        <v/>
      </c>
      <c r="B212" s="22"/>
      <c r="C212" s="21" t="str">
        <f aca="false">IF(B212="","",CHOOSE(WEEKDAY(B212,2),"LUNES","MARTES","MIÉRCOLES","JUEVES","VIERNES","SÁBADO","DOMINGO"))</f>
        <v/>
      </c>
      <c r="M212" s="23"/>
      <c r="Q212" s="21" t="str">
        <f aca="false">IF(OR(K212="",N212=""),"",K212-N212)</f>
        <v/>
      </c>
      <c r="R212" s="21" t="str">
        <f aca="false">IF(OR(J212="",K212=""),"",J212*K212)</f>
        <v/>
      </c>
      <c r="S212" s="21" t="str">
        <f aca="false">IF(AND(ISNUMBER(J212),ISNUMBER(K212),F212&lt;&gt;"Calentamiento",F212&lt;&gt;"Bilbo"),IF(AND(K212&gt;0,K212&lt;=12),ROUND(J212*(1+(K212+IF(ISNUMBER(L212),L212,0))/30),1),""),"")</f>
        <v/>
      </c>
      <c r="T212" s="21" t="str">
        <f aca="false">IF(AND(F212="Bilbo",ISNUMBER(J212),ISNUMBER(K212)),ROUND(J212*(1+K212/30),1),"")</f>
        <v/>
      </c>
      <c r="W212" s="22"/>
      <c r="X212" s="21" t="str">
        <f aca="false">IF(AND(F212="Bilbo",E212&lt;&gt;"",G212&lt;&gt;"",H212&lt;&gt;""),E212&amp;"|"&amp;G212&amp;"|"&amp;H212,"")</f>
        <v/>
      </c>
      <c r="Y212" s="21" t="str">
        <f aca="false">IF(B212="","",IF(B212&lt;&gt;B211,1,0))</f>
        <v/>
      </c>
    </row>
    <row r="213" customFormat="false" ht="15" hidden="false" customHeight="true" outlineLevel="0" collapsed="false">
      <c r="A213" s="21" t="str">
        <f aca="false">IF(B213="","",ROW()-4)</f>
        <v/>
      </c>
      <c r="B213" s="22"/>
      <c r="C213" s="21" t="str">
        <f aca="false">IF(B213="","",CHOOSE(WEEKDAY(B213,2),"LUNES","MARTES","MIÉRCOLES","JUEVES","VIERNES","SÁBADO","DOMINGO"))</f>
        <v/>
      </c>
      <c r="M213" s="23"/>
      <c r="Q213" s="21" t="str">
        <f aca="false">IF(OR(K213="",N213=""),"",K213-N213)</f>
        <v/>
      </c>
      <c r="R213" s="21" t="str">
        <f aca="false">IF(OR(J213="",K213=""),"",J213*K213)</f>
        <v/>
      </c>
      <c r="S213" s="21" t="str">
        <f aca="false">IF(AND(ISNUMBER(J213),ISNUMBER(K213),F213&lt;&gt;"Calentamiento",F213&lt;&gt;"Bilbo"),IF(AND(K213&gt;0,K213&lt;=12),ROUND(J213*(1+(K213+IF(ISNUMBER(L213),L213,0))/30),1),""),"")</f>
        <v/>
      </c>
      <c r="T213" s="21" t="str">
        <f aca="false">IF(AND(F213="Bilbo",ISNUMBER(J213),ISNUMBER(K213)),ROUND(J213*(1+K213/30),1),"")</f>
        <v/>
      </c>
      <c r="W213" s="22"/>
      <c r="X213" s="21" t="str">
        <f aca="false">IF(AND(F213="Bilbo",E213&lt;&gt;"",G213&lt;&gt;"",H213&lt;&gt;""),E213&amp;"|"&amp;G213&amp;"|"&amp;H213,"")</f>
        <v/>
      </c>
      <c r="Y213" s="21" t="str">
        <f aca="false">IF(B213="","",IF(B213&lt;&gt;B212,1,0))</f>
        <v/>
      </c>
    </row>
    <row r="214" customFormat="false" ht="15" hidden="false" customHeight="true" outlineLevel="0" collapsed="false">
      <c r="A214" s="21" t="str">
        <f aca="false">IF(B214="","",ROW()-4)</f>
        <v/>
      </c>
      <c r="B214" s="22"/>
      <c r="C214" s="21" t="str">
        <f aca="false">IF(B214="","",CHOOSE(WEEKDAY(B214,2),"LUNES","MARTES","MIÉRCOLES","JUEVES","VIERNES","SÁBADO","DOMINGO"))</f>
        <v/>
      </c>
      <c r="M214" s="23"/>
      <c r="Q214" s="21" t="str">
        <f aca="false">IF(OR(K214="",N214=""),"",K214-N214)</f>
        <v/>
      </c>
      <c r="R214" s="21" t="str">
        <f aca="false">IF(OR(J214="",K214=""),"",J214*K214)</f>
        <v/>
      </c>
      <c r="S214" s="21" t="str">
        <f aca="false">IF(AND(ISNUMBER(J214),ISNUMBER(K214),F214&lt;&gt;"Calentamiento",F214&lt;&gt;"Bilbo"),IF(AND(K214&gt;0,K214&lt;=12),ROUND(J214*(1+(K214+IF(ISNUMBER(L214),L214,0))/30),1),""),"")</f>
        <v/>
      </c>
      <c r="T214" s="21" t="str">
        <f aca="false">IF(AND(F214="Bilbo",ISNUMBER(J214),ISNUMBER(K214)),ROUND(J214*(1+K214/30),1),"")</f>
        <v/>
      </c>
      <c r="W214" s="22"/>
      <c r="X214" s="21" t="str">
        <f aca="false">IF(AND(F214="Bilbo",E214&lt;&gt;"",G214&lt;&gt;"",H214&lt;&gt;""),E214&amp;"|"&amp;G214&amp;"|"&amp;H214,"")</f>
        <v/>
      </c>
      <c r="Y214" s="21" t="str">
        <f aca="false">IF(B214="","",IF(B214&lt;&gt;B213,1,0))</f>
        <v/>
      </c>
    </row>
    <row r="215" customFormat="false" ht="15" hidden="false" customHeight="true" outlineLevel="0" collapsed="false">
      <c r="A215" s="21" t="str">
        <f aca="false">IF(B215="","",ROW()-4)</f>
        <v/>
      </c>
      <c r="B215" s="22"/>
      <c r="C215" s="21" t="str">
        <f aca="false">IF(B215="","",CHOOSE(WEEKDAY(B215,2),"LUNES","MARTES","MIÉRCOLES","JUEVES","VIERNES","SÁBADO","DOMINGO"))</f>
        <v/>
      </c>
      <c r="M215" s="23"/>
      <c r="Q215" s="21" t="str">
        <f aca="false">IF(OR(K215="",N215=""),"",K215-N215)</f>
        <v/>
      </c>
      <c r="R215" s="21" t="str">
        <f aca="false">IF(OR(J215="",K215=""),"",J215*K215)</f>
        <v/>
      </c>
      <c r="S215" s="21" t="str">
        <f aca="false">IF(AND(ISNUMBER(J215),ISNUMBER(K215),F215&lt;&gt;"Calentamiento",F215&lt;&gt;"Bilbo"),IF(AND(K215&gt;0,K215&lt;=12),ROUND(J215*(1+(K215+IF(ISNUMBER(L215),L215,0))/30),1),""),"")</f>
        <v/>
      </c>
      <c r="T215" s="21" t="str">
        <f aca="false">IF(AND(F215="Bilbo",ISNUMBER(J215),ISNUMBER(K215)),ROUND(J215*(1+K215/30),1),"")</f>
        <v/>
      </c>
      <c r="W215" s="22"/>
      <c r="X215" s="21" t="str">
        <f aca="false">IF(AND(F215="Bilbo",E215&lt;&gt;"",G215&lt;&gt;"",H215&lt;&gt;""),E215&amp;"|"&amp;G215&amp;"|"&amp;H215,"")</f>
        <v/>
      </c>
      <c r="Y215" s="21" t="str">
        <f aca="false">IF(B215="","",IF(B215&lt;&gt;B214,1,0))</f>
        <v/>
      </c>
    </row>
    <row r="216" customFormat="false" ht="15" hidden="false" customHeight="true" outlineLevel="0" collapsed="false">
      <c r="A216" s="21" t="str">
        <f aca="false">IF(B216="","",ROW()-4)</f>
        <v/>
      </c>
      <c r="B216" s="22"/>
      <c r="C216" s="21" t="str">
        <f aca="false">IF(B216="","",CHOOSE(WEEKDAY(B216,2),"LUNES","MARTES","MIÉRCOLES","JUEVES","VIERNES","SÁBADO","DOMINGO"))</f>
        <v/>
      </c>
      <c r="M216" s="23"/>
      <c r="Q216" s="21" t="str">
        <f aca="false">IF(OR(K216="",N216=""),"",K216-N216)</f>
        <v/>
      </c>
      <c r="R216" s="21" t="str">
        <f aca="false">IF(OR(J216="",K216=""),"",J216*K216)</f>
        <v/>
      </c>
      <c r="S216" s="21" t="str">
        <f aca="false">IF(AND(ISNUMBER(J216),ISNUMBER(K216),F216&lt;&gt;"Calentamiento",F216&lt;&gt;"Bilbo"),IF(AND(K216&gt;0,K216&lt;=12),ROUND(J216*(1+(K216+IF(ISNUMBER(L216),L216,0))/30),1),""),"")</f>
        <v/>
      </c>
      <c r="T216" s="21" t="str">
        <f aca="false">IF(AND(F216="Bilbo",ISNUMBER(J216),ISNUMBER(K216)),ROUND(J216*(1+K216/30),1),"")</f>
        <v/>
      </c>
      <c r="W216" s="22"/>
      <c r="X216" s="21" t="str">
        <f aca="false">IF(AND(F216="Bilbo",E216&lt;&gt;"",G216&lt;&gt;"",H216&lt;&gt;""),E216&amp;"|"&amp;G216&amp;"|"&amp;H216,"")</f>
        <v/>
      </c>
      <c r="Y216" s="21" t="str">
        <f aca="false">IF(B216="","",IF(B216&lt;&gt;B215,1,0))</f>
        <v/>
      </c>
    </row>
    <row r="217" customFormat="false" ht="15" hidden="false" customHeight="true" outlineLevel="0" collapsed="false">
      <c r="A217" s="21" t="str">
        <f aca="false">IF(B217="","",ROW()-4)</f>
        <v/>
      </c>
      <c r="B217" s="22"/>
      <c r="C217" s="21" t="str">
        <f aca="false">IF(B217="","",CHOOSE(WEEKDAY(B217,2),"LUNES","MARTES","MIÉRCOLES","JUEVES","VIERNES","SÁBADO","DOMINGO"))</f>
        <v/>
      </c>
      <c r="M217" s="23"/>
      <c r="Q217" s="21" t="str">
        <f aca="false">IF(OR(K217="",N217=""),"",K217-N217)</f>
        <v/>
      </c>
      <c r="R217" s="21" t="str">
        <f aca="false">IF(OR(J217="",K217=""),"",J217*K217)</f>
        <v/>
      </c>
      <c r="S217" s="21" t="str">
        <f aca="false">IF(AND(ISNUMBER(J217),ISNUMBER(K217),F217&lt;&gt;"Calentamiento",F217&lt;&gt;"Bilbo"),IF(AND(K217&gt;0,K217&lt;=12),ROUND(J217*(1+(K217+IF(ISNUMBER(L217),L217,0))/30),1),""),"")</f>
        <v/>
      </c>
      <c r="T217" s="21" t="str">
        <f aca="false">IF(AND(F217="Bilbo",ISNUMBER(J217),ISNUMBER(K217)),ROUND(J217*(1+K217/30),1),"")</f>
        <v/>
      </c>
      <c r="W217" s="22"/>
      <c r="X217" s="21" t="str">
        <f aca="false">IF(AND(F217="Bilbo",E217&lt;&gt;"",G217&lt;&gt;"",H217&lt;&gt;""),E217&amp;"|"&amp;G217&amp;"|"&amp;H217,"")</f>
        <v/>
      </c>
      <c r="Y217" s="21" t="str">
        <f aca="false">IF(B217="","",IF(B217&lt;&gt;B216,1,0))</f>
        <v/>
      </c>
    </row>
    <row r="218" customFormat="false" ht="15" hidden="false" customHeight="true" outlineLevel="0" collapsed="false">
      <c r="A218" s="21" t="str">
        <f aca="false">IF(B218="","",ROW()-4)</f>
        <v/>
      </c>
      <c r="B218" s="22"/>
      <c r="C218" s="21" t="str">
        <f aca="false">IF(B218="","",CHOOSE(WEEKDAY(B218,2),"LUNES","MARTES","MIÉRCOLES","JUEVES","VIERNES","SÁBADO","DOMINGO"))</f>
        <v/>
      </c>
      <c r="M218" s="23"/>
      <c r="Q218" s="21" t="str">
        <f aca="false">IF(OR(K218="",N218=""),"",K218-N218)</f>
        <v/>
      </c>
      <c r="R218" s="21" t="str">
        <f aca="false">IF(OR(J218="",K218=""),"",J218*K218)</f>
        <v/>
      </c>
      <c r="S218" s="21" t="str">
        <f aca="false">IF(AND(ISNUMBER(J218),ISNUMBER(K218),F218&lt;&gt;"Calentamiento",F218&lt;&gt;"Bilbo"),IF(AND(K218&gt;0,K218&lt;=12),ROUND(J218*(1+(K218+IF(ISNUMBER(L218),L218,0))/30),1),""),"")</f>
        <v/>
      </c>
      <c r="T218" s="21" t="str">
        <f aca="false">IF(AND(F218="Bilbo",ISNUMBER(J218),ISNUMBER(K218)),ROUND(J218*(1+K218/30),1),"")</f>
        <v/>
      </c>
      <c r="W218" s="22"/>
      <c r="X218" s="21" t="str">
        <f aca="false">IF(AND(F218="Bilbo",E218&lt;&gt;"",G218&lt;&gt;"",H218&lt;&gt;""),E218&amp;"|"&amp;G218&amp;"|"&amp;H218,"")</f>
        <v/>
      </c>
      <c r="Y218" s="21" t="str">
        <f aca="false">IF(B218="","",IF(B218&lt;&gt;B217,1,0))</f>
        <v/>
      </c>
    </row>
    <row r="219" customFormat="false" ht="15" hidden="false" customHeight="true" outlineLevel="0" collapsed="false">
      <c r="A219" s="21" t="str">
        <f aca="false">IF(B219="","",ROW()-4)</f>
        <v/>
      </c>
      <c r="B219" s="22"/>
      <c r="C219" s="21" t="str">
        <f aca="false">IF(B219="","",CHOOSE(WEEKDAY(B219,2),"LUNES","MARTES","MIÉRCOLES","JUEVES","VIERNES","SÁBADO","DOMINGO"))</f>
        <v/>
      </c>
      <c r="M219" s="23"/>
      <c r="Q219" s="21" t="str">
        <f aca="false">IF(OR(K219="",N219=""),"",K219-N219)</f>
        <v/>
      </c>
      <c r="R219" s="21" t="str">
        <f aca="false">IF(OR(J219="",K219=""),"",J219*K219)</f>
        <v/>
      </c>
      <c r="S219" s="21" t="str">
        <f aca="false">IF(AND(ISNUMBER(J219),ISNUMBER(K219),F219&lt;&gt;"Calentamiento",F219&lt;&gt;"Bilbo"),IF(AND(K219&gt;0,K219&lt;=12),ROUND(J219*(1+(K219+IF(ISNUMBER(L219),L219,0))/30),1),""),"")</f>
        <v/>
      </c>
      <c r="T219" s="21" t="str">
        <f aca="false">IF(AND(F219="Bilbo",ISNUMBER(J219),ISNUMBER(K219)),ROUND(J219*(1+K219/30),1),"")</f>
        <v/>
      </c>
      <c r="W219" s="22"/>
      <c r="X219" s="21" t="str">
        <f aca="false">IF(AND(F219="Bilbo",E219&lt;&gt;"",G219&lt;&gt;"",H219&lt;&gt;""),E219&amp;"|"&amp;G219&amp;"|"&amp;H219,"")</f>
        <v/>
      </c>
      <c r="Y219" s="21" t="str">
        <f aca="false">IF(B219="","",IF(B219&lt;&gt;B218,1,0))</f>
        <v/>
      </c>
    </row>
    <row r="220" customFormat="false" ht="15" hidden="false" customHeight="true" outlineLevel="0" collapsed="false">
      <c r="A220" s="21" t="str">
        <f aca="false">IF(B220="","",ROW()-4)</f>
        <v/>
      </c>
      <c r="B220" s="22"/>
      <c r="C220" s="21" t="str">
        <f aca="false">IF(B220="","",CHOOSE(WEEKDAY(B220,2),"LUNES","MARTES","MIÉRCOLES","JUEVES","VIERNES","SÁBADO","DOMINGO"))</f>
        <v/>
      </c>
      <c r="M220" s="23"/>
      <c r="Q220" s="21" t="str">
        <f aca="false">IF(OR(K220="",N220=""),"",K220-N220)</f>
        <v/>
      </c>
      <c r="R220" s="21" t="str">
        <f aca="false">IF(OR(J220="",K220=""),"",J220*K220)</f>
        <v/>
      </c>
      <c r="S220" s="21" t="str">
        <f aca="false">IF(AND(ISNUMBER(J220),ISNUMBER(K220),F220&lt;&gt;"Calentamiento",F220&lt;&gt;"Bilbo"),IF(AND(K220&gt;0,K220&lt;=12),ROUND(J220*(1+(K220+IF(ISNUMBER(L220),L220,0))/30),1),""),"")</f>
        <v/>
      </c>
      <c r="T220" s="21" t="str">
        <f aca="false">IF(AND(F220="Bilbo",ISNUMBER(J220),ISNUMBER(K220)),ROUND(J220*(1+K220/30),1),"")</f>
        <v/>
      </c>
      <c r="W220" s="22"/>
      <c r="X220" s="21" t="str">
        <f aca="false">IF(AND(F220="Bilbo",E220&lt;&gt;"",G220&lt;&gt;"",H220&lt;&gt;""),E220&amp;"|"&amp;G220&amp;"|"&amp;H220,"")</f>
        <v/>
      </c>
      <c r="Y220" s="21" t="str">
        <f aca="false">IF(B220="","",IF(B220&lt;&gt;B219,1,0))</f>
        <v/>
      </c>
    </row>
    <row r="221" customFormat="false" ht="15" hidden="false" customHeight="true" outlineLevel="0" collapsed="false">
      <c r="A221" s="21" t="str">
        <f aca="false">IF(B221="","",ROW()-4)</f>
        <v/>
      </c>
      <c r="B221" s="22"/>
      <c r="C221" s="21" t="str">
        <f aca="false">IF(B221="","",CHOOSE(WEEKDAY(B221,2),"LUNES","MARTES","MIÉRCOLES","JUEVES","VIERNES","SÁBADO","DOMINGO"))</f>
        <v/>
      </c>
      <c r="M221" s="23"/>
      <c r="Q221" s="21" t="str">
        <f aca="false">IF(OR(K221="",N221=""),"",K221-N221)</f>
        <v/>
      </c>
      <c r="R221" s="21" t="str">
        <f aca="false">IF(OR(J221="",K221=""),"",J221*K221)</f>
        <v/>
      </c>
      <c r="S221" s="21" t="str">
        <f aca="false">IF(AND(ISNUMBER(J221),ISNUMBER(K221),F221&lt;&gt;"Calentamiento",F221&lt;&gt;"Bilbo"),IF(AND(K221&gt;0,K221&lt;=12),ROUND(J221*(1+(K221+IF(ISNUMBER(L221),L221,0))/30),1),""),"")</f>
        <v/>
      </c>
      <c r="T221" s="21" t="str">
        <f aca="false">IF(AND(F221="Bilbo",ISNUMBER(J221),ISNUMBER(K221)),ROUND(J221*(1+K221/30),1),"")</f>
        <v/>
      </c>
      <c r="W221" s="22"/>
      <c r="X221" s="21" t="str">
        <f aca="false">IF(AND(F221="Bilbo",E221&lt;&gt;"",G221&lt;&gt;"",H221&lt;&gt;""),E221&amp;"|"&amp;G221&amp;"|"&amp;H221,"")</f>
        <v/>
      </c>
      <c r="Y221" s="21" t="str">
        <f aca="false">IF(B221="","",IF(B221&lt;&gt;B220,1,0))</f>
        <v/>
      </c>
    </row>
    <row r="222" customFormat="false" ht="15" hidden="false" customHeight="true" outlineLevel="0" collapsed="false">
      <c r="A222" s="21" t="str">
        <f aca="false">IF(B222="","",ROW()-4)</f>
        <v/>
      </c>
      <c r="B222" s="22"/>
      <c r="C222" s="21" t="str">
        <f aca="false">IF(B222="","",CHOOSE(WEEKDAY(B222,2),"LUNES","MARTES","MIÉRCOLES","JUEVES","VIERNES","SÁBADO","DOMINGO"))</f>
        <v/>
      </c>
      <c r="M222" s="23"/>
      <c r="Q222" s="21" t="str">
        <f aca="false">IF(OR(K222="",N222=""),"",K222-N222)</f>
        <v/>
      </c>
      <c r="R222" s="21" t="str">
        <f aca="false">IF(OR(J222="",K222=""),"",J222*K222)</f>
        <v/>
      </c>
      <c r="S222" s="21" t="str">
        <f aca="false">IF(AND(ISNUMBER(J222),ISNUMBER(K222),F222&lt;&gt;"Calentamiento",F222&lt;&gt;"Bilbo"),IF(AND(K222&gt;0,K222&lt;=12),ROUND(J222*(1+(K222+IF(ISNUMBER(L222),L222,0))/30),1),""),"")</f>
        <v/>
      </c>
      <c r="T222" s="21" t="str">
        <f aca="false">IF(AND(F222="Bilbo",ISNUMBER(J222),ISNUMBER(K222)),ROUND(J222*(1+K222/30),1),"")</f>
        <v/>
      </c>
      <c r="W222" s="22"/>
      <c r="X222" s="21" t="str">
        <f aca="false">IF(AND(F222="Bilbo",E222&lt;&gt;"",G222&lt;&gt;"",H222&lt;&gt;""),E222&amp;"|"&amp;G222&amp;"|"&amp;H222,"")</f>
        <v/>
      </c>
      <c r="Y222" s="21" t="str">
        <f aca="false">IF(B222="","",IF(B222&lt;&gt;B221,1,0))</f>
        <v/>
      </c>
    </row>
    <row r="223" customFormat="false" ht="15" hidden="false" customHeight="true" outlineLevel="0" collapsed="false">
      <c r="A223" s="21" t="str">
        <f aca="false">IF(B223="","",ROW()-4)</f>
        <v/>
      </c>
      <c r="B223" s="22"/>
      <c r="C223" s="21" t="str">
        <f aca="false">IF(B223="","",CHOOSE(WEEKDAY(B223,2),"LUNES","MARTES","MIÉRCOLES","JUEVES","VIERNES","SÁBADO","DOMINGO"))</f>
        <v/>
      </c>
      <c r="M223" s="23"/>
      <c r="Q223" s="21" t="str">
        <f aca="false">IF(OR(K223="",N223=""),"",K223-N223)</f>
        <v/>
      </c>
      <c r="R223" s="21" t="str">
        <f aca="false">IF(OR(J223="",K223=""),"",J223*K223)</f>
        <v/>
      </c>
      <c r="S223" s="21" t="str">
        <f aca="false">IF(AND(ISNUMBER(J223),ISNUMBER(K223),F223&lt;&gt;"Calentamiento",F223&lt;&gt;"Bilbo"),IF(AND(K223&gt;0,K223&lt;=12),ROUND(J223*(1+(K223+IF(ISNUMBER(L223),L223,0))/30),1),""),"")</f>
        <v/>
      </c>
      <c r="T223" s="21" t="str">
        <f aca="false">IF(AND(F223="Bilbo",ISNUMBER(J223),ISNUMBER(K223)),ROUND(J223*(1+K223/30),1),"")</f>
        <v/>
      </c>
      <c r="W223" s="22"/>
      <c r="X223" s="21" t="str">
        <f aca="false">IF(AND(F223="Bilbo",E223&lt;&gt;"",G223&lt;&gt;"",H223&lt;&gt;""),E223&amp;"|"&amp;G223&amp;"|"&amp;H223,"")</f>
        <v/>
      </c>
      <c r="Y223" s="21" t="str">
        <f aca="false">IF(B223="","",IF(B223&lt;&gt;B222,1,0))</f>
        <v/>
      </c>
    </row>
    <row r="224" customFormat="false" ht="15" hidden="false" customHeight="true" outlineLevel="0" collapsed="false">
      <c r="A224" s="21" t="str">
        <f aca="false">IF(B224="","",ROW()-4)</f>
        <v/>
      </c>
      <c r="B224" s="22"/>
      <c r="C224" s="21" t="str">
        <f aca="false">IF(B224="","",CHOOSE(WEEKDAY(B224,2),"LUNES","MARTES","MIÉRCOLES","JUEVES","VIERNES","SÁBADO","DOMINGO"))</f>
        <v/>
      </c>
      <c r="M224" s="23"/>
      <c r="Q224" s="21" t="str">
        <f aca="false">IF(OR(K224="",N224=""),"",K224-N224)</f>
        <v/>
      </c>
      <c r="R224" s="21" t="str">
        <f aca="false">IF(OR(J224="",K224=""),"",J224*K224)</f>
        <v/>
      </c>
      <c r="S224" s="21" t="str">
        <f aca="false">IF(AND(ISNUMBER(J224),ISNUMBER(K224),F224&lt;&gt;"Calentamiento",F224&lt;&gt;"Bilbo"),IF(AND(K224&gt;0,K224&lt;=12),ROUND(J224*(1+(K224+IF(ISNUMBER(L224),L224,0))/30),1),""),"")</f>
        <v/>
      </c>
      <c r="T224" s="21" t="str">
        <f aca="false">IF(AND(F224="Bilbo",ISNUMBER(J224),ISNUMBER(K224)),ROUND(J224*(1+K224/30),1),"")</f>
        <v/>
      </c>
      <c r="W224" s="22"/>
      <c r="X224" s="21" t="str">
        <f aca="false">IF(AND(F224="Bilbo",E224&lt;&gt;"",G224&lt;&gt;"",H224&lt;&gt;""),E224&amp;"|"&amp;G224&amp;"|"&amp;H224,"")</f>
        <v/>
      </c>
      <c r="Y224" s="21" t="str">
        <f aca="false">IF(B224="","",IF(B224&lt;&gt;B223,1,0))</f>
        <v/>
      </c>
    </row>
    <row r="225" customFormat="false" ht="15" hidden="false" customHeight="true" outlineLevel="0" collapsed="false">
      <c r="A225" s="21" t="str">
        <f aca="false">IF(B225="","",ROW()-4)</f>
        <v/>
      </c>
      <c r="B225" s="22"/>
      <c r="C225" s="21" t="str">
        <f aca="false">IF(B225="","",CHOOSE(WEEKDAY(B225,2),"LUNES","MARTES","MIÉRCOLES","JUEVES","VIERNES","SÁBADO","DOMINGO"))</f>
        <v/>
      </c>
      <c r="M225" s="23"/>
      <c r="Q225" s="21" t="str">
        <f aca="false">IF(OR(K225="",N225=""),"",K225-N225)</f>
        <v/>
      </c>
      <c r="R225" s="21" t="str">
        <f aca="false">IF(OR(J225="",K225=""),"",J225*K225)</f>
        <v/>
      </c>
      <c r="S225" s="21" t="str">
        <f aca="false">IF(AND(ISNUMBER(J225),ISNUMBER(K225),F225&lt;&gt;"Calentamiento",F225&lt;&gt;"Bilbo"),IF(AND(K225&gt;0,K225&lt;=12),ROUND(J225*(1+(K225+IF(ISNUMBER(L225),L225,0))/30),1),""),"")</f>
        <v/>
      </c>
      <c r="T225" s="21" t="str">
        <f aca="false">IF(AND(F225="Bilbo",ISNUMBER(J225),ISNUMBER(K225)),ROUND(J225*(1+K225/30),1),"")</f>
        <v/>
      </c>
      <c r="W225" s="22"/>
      <c r="X225" s="21" t="str">
        <f aca="false">IF(AND(F225="Bilbo",E225&lt;&gt;"",G225&lt;&gt;"",H225&lt;&gt;""),E225&amp;"|"&amp;G225&amp;"|"&amp;H225,"")</f>
        <v/>
      </c>
      <c r="Y225" s="21" t="str">
        <f aca="false">IF(B225="","",IF(B225&lt;&gt;B224,1,0))</f>
        <v/>
      </c>
    </row>
    <row r="226" customFormat="false" ht="15" hidden="false" customHeight="true" outlineLevel="0" collapsed="false">
      <c r="A226" s="21" t="str">
        <f aca="false">IF(B226="","",ROW()-4)</f>
        <v/>
      </c>
      <c r="B226" s="22"/>
      <c r="C226" s="21" t="str">
        <f aca="false">IF(B226="","",CHOOSE(WEEKDAY(B226,2),"LUNES","MARTES","MIÉRCOLES","JUEVES","VIERNES","SÁBADO","DOMINGO"))</f>
        <v/>
      </c>
      <c r="M226" s="23"/>
      <c r="Q226" s="21" t="str">
        <f aca="false">IF(OR(K226="",N226=""),"",K226-N226)</f>
        <v/>
      </c>
      <c r="R226" s="21" t="str">
        <f aca="false">IF(OR(J226="",K226=""),"",J226*K226)</f>
        <v/>
      </c>
      <c r="S226" s="21" t="str">
        <f aca="false">IF(AND(ISNUMBER(J226),ISNUMBER(K226),F226&lt;&gt;"Calentamiento",F226&lt;&gt;"Bilbo"),IF(AND(K226&gt;0,K226&lt;=12),ROUND(J226*(1+(K226+IF(ISNUMBER(L226),L226,0))/30),1),""),"")</f>
        <v/>
      </c>
      <c r="T226" s="21" t="str">
        <f aca="false">IF(AND(F226="Bilbo",ISNUMBER(J226),ISNUMBER(K226)),ROUND(J226*(1+K226/30),1),"")</f>
        <v/>
      </c>
      <c r="W226" s="22"/>
      <c r="X226" s="21" t="str">
        <f aca="false">IF(AND(F226="Bilbo",E226&lt;&gt;"",G226&lt;&gt;"",H226&lt;&gt;""),E226&amp;"|"&amp;G226&amp;"|"&amp;H226,"")</f>
        <v/>
      </c>
      <c r="Y226" s="21" t="str">
        <f aca="false">IF(B226="","",IF(B226&lt;&gt;B225,1,0))</f>
        <v/>
      </c>
    </row>
    <row r="227" customFormat="false" ht="15" hidden="false" customHeight="true" outlineLevel="0" collapsed="false">
      <c r="A227" s="21" t="str">
        <f aca="false">IF(B227="","",ROW()-4)</f>
        <v/>
      </c>
      <c r="B227" s="22"/>
      <c r="C227" s="21" t="str">
        <f aca="false">IF(B227="","",CHOOSE(WEEKDAY(B227,2),"LUNES","MARTES","MIÉRCOLES","JUEVES","VIERNES","SÁBADO","DOMINGO"))</f>
        <v/>
      </c>
      <c r="M227" s="23"/>
      <c r="Q227" s="21" t="str">
        <f aca="false">IF(OR(K227="",N227=""),"",K227-N227)</f>
        <v/>
      </c>
      <c r="R227" s="21" t="str">
        <f aca="false">IF(OR(J227="",K227=""),"",J227*K227)</f>
        <v/>
      </c>
      <c r="S227" s="21" t="str">
        <f aca="false">IF(AND(ISNUMBER(J227),ISNUMBER(K227),F227&lt;&gt;"Calentamiento",F227&lt;&gt;"Bilbo"),IF(AND(K227&gt;0,K227&lt;=12),ROUND(J227*(1+(K227+IF(ISNUMBER(L227),L227,0))/30),1),""),"")</f>
        <v/>
      </c>
      <c r="T227" s="21" t="str">
        <f aca="false">IF(AND(F227="Bilbo",ISNUMBER(J227),ISNUMBER(K227)),ROUND(J227*(1+K227/30),1),"")</f>
        <v/>
      </c>
      <c r="W227" s="22"/>
      <c r="X227" s="21" t="str">
        <f aca="false">IF(AND(F227="Bilbo",E227&lt;&gt;"",G227&lt;&gt;"",H227&lt;&gt;""),E227&amp;"|"&amp;G227&amp;"|"&amp;H227,"")</f>
        <v/>
      </c>
      <c r="Y227" s="21" t="str">
        <f aca="false">IF(B227="","",IF(B227&lt;&gt;B226,1,0))</f>
        <v/>
      </c>
    </row>
    <row r="228" customFormat="false" ht="15" hidden="false" customHeight="true" outlineLevel="0" collapsed="false">
      <c r="A228" s="21" t="str">
        <f aca="false">IF(B228="","",ROW()-4)</f>
        <v/>
      </c>
      <c r="B228" s="22"/>
      <c r="C228" s="21" t="str">
        <f aca="false">IF(B228="","",CHOOSE(WEEKDAY(B228,2),"LUNES","MARTES","MIÉRCOLES","JUEVES","VIERNES","SÁBADO","DOMINGO"))</f>
        <v/>
      </c>
      <c r="M228" s="23"/>
      <c r="Q228" s="21" t="str">
        <f aca="false">IF(OR(K228="",N228=""),"",K228-N228)</f>
        <v/>
      </c>
      <c r="R228" s="21" t="str">
        <f aca="false">IF(OR(J228="",K228=""),"",J228*K228)</f>
        <v/>
      </c>
      <c r="S228" s="21" t="str">
        <f aca="false">IF(AND(ISNUMBER(J228),ISNUMBER(K228),F228&lt;&gt;"Calentamiento",F228&lt;&gt;"Bilbo"),IF(AND(K228&gt;0,K228&lt;=12),ROUND(J228*(1+(K228+IF(ISNUMBER(L228),L228,0))/30),1),""),"")</f>
        <v/>
      </c>
      <c r="T228" s="21" t="str">
        <f aca="false">IF(AND(F228="Bilbo",ISNUMBER(J228),ISNUMBER(K228)),ROUND(J228*(1+K228/30),1),"")</f>
        <v/>
      </c>
      <c r="W228" s="22"/>
      <c r="X228" s="21" t="str">
        <f aca="false">IF(AND(F228="Bilbo",E228&lt;&gt;"",G228&lt;&gt;"",H228&lt;&gt;""),E228&amp;"|"&amp;G228&amp;"|"&amp;H228,"")</f>
        <v/>
      </c>
      <c r="Y228" s="21" t="str">
        <f aca="false">IF(B228="","",IF(B228&lt;&gt;B227,1,0))</f>
        <v/>
      </c>
    </row>
    <row r="229" customFormat="false" ht="15" hidden="false" customHeight="true" outlineLevel="0" collapsed="false">
      <c r="A229" s="21" t="str">
        <f aca="false">IF(B229="","",ROW()-4)</f>
        <v/>
      </c>
      <c r="B229" s="22"/>
      <c r="C229" s="21" t="str">
        <f aca="false">IF(B229="","",CHOOSE(WEEKDAY(B229,2),"LUNES","MARTES","MIÉRCOLES","JUEVES","VIERNES","SÁBADO","DOMINGO"))</f>
        <v/>
      </c>
      <c r="M229" s="23"/>
      <c r="Q229" s="21" t="str">
        <f aca="false">IF(OR(K229="",N229=""),"",K229-N229)</f>
        <v/>
      </c>
      <c r="R229" s="21" t="str">
        <f aca="false">IF(OR(J229="",K229=""),"",J229*K229)</f>
        <v/>
      </c>
      <c r="S229" s="21" t="str">
        <f aca="false">IF(AND(ISNUMBER(J229),ISNUMBER(K229),F229&lt;&gt;"Calentamiento",F229&lt;&gt;"Bilbo"),IF(AND(K229&gt;0,K229&lt;=12),ROUND(J229*(1+(K229+IF(ISNUMBER(L229),L229,0))/30),1),""),"")</f>
        <v/>
      </c>
      <c r="T229" s="21" t="str">
        <f aca="false">IF(AND(F229="Bilbo",ISNUMBER(J229),ISNUMBER(K229)),ROUND(J229*(1+K229/30),1),"")</f>
        <v/>
      </c>
      <c r="W229" s="22"/>
      <c r="X229" s="21" t="str">
        <f aca="false">IF(AND(F229="Bilbo",E229&lt;&gt;"",G229&lt;&gt;"",H229&lt;&gt;""),E229&amp;"|"&amp;G229&amp;"|"&amp;H229,"")</f>
        <v/>
      </c>
      <c r="Y229" s="21" t="str">
        <f aca="false">IF(B229="","",IF(B229&lt;&gt;B228,1,0))</f>
        <v/>
      </c>
    </row>
    <row r="230" customFormat="false" ht="15" hidden="false" customHeight="true" outlineLevel="0" collapsed="false">
      <c r="A230" s="21" t="str">
        <f aca="false">IF(B230="","",ROW()-4)</f>
        <v/>
      </c>
      <c r="B230" s="22"/>
      <c r="C230" s="21" t="str">
        <f aca="false">IF(B230="","",CHOOSE(WEEKDAY(B230,2),"LUNES","MARTES","MIÉRCOLES","JUEVES","VIERNES","SÁBADO","DOMINGO"))</f>
        <v/>
      </c>
      <c r="M230" s="23"/>
      <c r="Q230" s="21" t="str">
        <f aca="false">IF(OR(K230="",N230=""),"",K230-N230)</f>
        <v/>
      </c>
      <c r="R230" s="21" t="str">
        <f aca="false">IF(OR(J230="",K230=""),"",J230*K230)</f>
        <v/>
      </c>
      <c r="S230" s="21" t="str">
        <f aca="false">IF(AND(ISNUMBER(J230),ISNUMBER(K230),F230&lt;&gt;"Calentamiento",F230&lt;&gt;"Bilbo"),IF(AND(K230&gt;0,K230&lt;=12),ROUND(J230*(1+(K230+IF(ISNUMBER(L230),L230,0))/30),1),""),"")</f>
        <v/>
      </c>
      <c r="T230" s="21" t="str">
        <f aca="false">IF(AND(F230="Bilbo",ISNUMBER(J230),ISNUMBER(K230)),ROUND(J230*(1+K230/30),1),"")</f>
        <v/>
      </c>
      <c r="W230" s="22"/>
      <c r="X230" s="21" t="str">
        <f aca="false">IF(AND(F230="Bilbo",E230&lt;&gt;"",G230&lt;&gt;"",H230&lt;&gt;""),E230&amp;"|"&amp;G230&amp;"|"&amp;H230,"")</f>
        <v/>
      </c>
      <c r="Y230" s="21" t="str">
        <f aca="false">IF(B230="","",IF(B230&lt;&gt;B229,1,0))</f>
        <v/>
      </c>
    </row>
    <row r="231" customFormat="false" ht="15" hidden="false" customHeight="true" outlineLevel="0" collapsed="false">
      <c r="A231" s="21" t="str">
        <f aca="false">IF(B231="","",ROW()-4)</f>
        <v/>
      </c>
      <c r="B231" s="22"/>
      <c r="C231" s="21" t="str">
        <f aca="false">IF(B231="","",CHOOSE(WEEKDAY(B231,2),"LUNES","MARTES","MIÉRCOLES","JUEVES","VIERNES","SÁBADO","DOMINGO"))</f>
        <v/>
      </c>
      <c r="M231" s="23"/>
      <c r="Q231" s="21" t="str">
        <f aca="false">IF(OR(K231="",N231=""),"",K231-N231)</f>
        <v/>
      </c>
      <c r="R231" s="21" t="str">
        <f aca="false">IF(OR(J231="",K231=""),"",J231*K231)</f>
        <v/>
      </c>
      <c r="S231" s="21" t="str">
        <f aca="false">IF(AND(ISNUMBER(J231),ISNUMBER(K231),F231&lt;&gt;"Calentamiento",F231&lt;&gt;"Bilbo"),IF(AND(K231&gt;0,K231&lt;=12),ROUND(J231*(1+(K231+IF(ISNUMBER(L231),L231,0))/30),1),""),"")</f>
        <v/>
      </c>
      <c r="T231" s="21" t="str">
        <f aca="false">IF(AND(F231="Bilbo",ISNUMBER(J231),ISNUMBER(K231)),ROUND(J231*(1+K231/30),1),"")</f>
        <v/>
      </c>
      <c r="W231" s="22"/>
      <c r="X231" s="21" t="str">
        <f aca="false">IF(AND(F231="Bilbo",E231&lt;&gt;"",G231&lt;&gt;"",H231&lt;&gt;""),E231&amp;"|"&amp;G231&amp;"|"&amp;H231,"")</f>
        <v/>
      </c>
      <c r="Y231" s="21" t="str">
        <f aca="false">IF(B231="","",IF(B231&lt;&gt;B230,1,0))</f>
        <v/>
      </c>
    </row>
    <row r="232" customFormat="false" ht="15" hidden="false" customHeight="true" outlineLevel="0" collapsed="false">
      <c r="A232" s="21" t="str">
        <f aca="false">IF(B232="","",ROW()-4)</f>
        <v/>
      </c>
      <c r="B232" s="22"/>
      <c r="C232" s="21" t="str">
        <f aca="false">IF(B232="","",CHOOSE(WEEKDAY(B232,2),"LUNES","MARTES","MIÉRCOLES","JUEVES","VIERNES","SÁBADO","DOMINGO"))</f>
        <v/>
      </c>
      <c r="M232" s="23"/>
      <c r="Q232" s="21" t="str">
        <f aca="false">IF(OR(K232="",N232=""),"",K232-N232)</f>
        <v/>
      </c>
      <c r="R232" s="21" t="str">
        <f aca="false">IF(OR(J232="",K232=""),"",J232*K232)</f>
        <v/>
      </c>
      <c r="S232" s="21" t="str">
        <f aca="false">IF(AND(ISNUMBER(J232),ISNUMBER(K232),F232&lt;&gt;"Calentamiento",F232&lt;&gt;"Bilbo"),IF(AND(K232&gt;0,K232&lt;=12),ROUND(J232*(1+(K232+IF(ISNUMBER(L232),L232,0))/30),1),""),"")</f>
        <v/>
      </c>
      <c r="T232" s="21" t="str">
        <f aca="false">IF(AND(F232="Bilbo",ISNUMBER(J232),ISNUMBER(K232)),ROUND(J232*(1+K232/30),1),"")</f>
        <v/>
      </c>
      <c r="W232" s="22"/>
      <c r="X232" s="21" t="str">
        <f aca="false">IF(AND(F232="Bilbo",E232&lt;&gt;"",G232&lt;&gt;"",H232&lt;&gt;""),E232&amp;"|"&amp;G232&amp;"|"&amp;H232,"")</f>
        <v/>
      </c>
      <c r="Y232" s="21" t="str">
        <f aca="false">IF(B232="","",IF(B232&lt;&gt;B231,1,0))</f>
        <v/>
      </c>
    </row>
    <row r="233" customFormat="false" ht="15" hidden="false" customHeight="true" outlineLevel="0" collapsed="false">
      <c r="A233" s="21" t="str">
        <f aca="false">IF(B233="","",ROW()-4)</f>
        <v/>
      </c>
      <c r="B233" s="22"/>
      <c r="C233" s="21" t="str">
        <f aca="false">IF(B233="","",CHOOSE(WEEKDAY(B233,2),"LUNES","MARTES","MIÉRCOLES","JUEVES","VIERNES","SÁBADO","DOMINGO"))</f>
        <v/>
      </c>
      <c r="M233" s="23"/>
      <c r="Q233" s="21" t="str">
        <f aca="false">IF(OR(K233="",N233=""),"",K233-N233)</f>
        <v/>
      </c>
      <c r="R233" s="21" t="str">
        <f aca="false">IF(OR(J233="",K233=""),"",J233*K233)</f>
        <v/>
      </c>
      <c r="S233" s="21" t="str">
        <f aca="false">IF(AND(ISNUMBER(J233),ISNUMBER(K233),F233&lt;&gt;"Calentamiento",F233&lt;&gt;"Bilbo"),IF(AND(K233&gt;0,K233&lt;=12),ROUND(J233*(1+(K233+IF(ISNUMBER(L233),L233,0))/30),1),""),"")</f>
        <v/>
      </c>
      <c r="T233" s="21" t="str">
        <f aca="false">IF(AND(F233="Bilbo",ISNUMBER(J233),ISNUMBER(K233)),ROUND(J233*(1+K233/30),1),"")</f>
        <v/>
      </c>
      <c r="W233" s="22"/>
      <c r="X233" s="21" t="str">
        <f aca="false">IF(AND(F233="Bilbo",E233&lt;&gt;"",G233&lt;&gt;"",H233&lt;&gt;""),E233&amp;"|"&amp;G233&amp;"|"&amp;H233,"")</f>
        <v/>
      </c>
      <c r="Y233" s="21" t="str">
        <f aca="false">IF(B233="","",IF(B233&lt;&gt;B232,1,0))</f>
        <v/>
      </c>
    </row>
    <row r="234" customFormat="false" ht="15" hidden="false" customHeight="true" outlineLevel="0" collapsed="false">
      <c r="A234" s="21" t="str">
        <f aca="false">IF(B234="","",ROW()-4)</f>
        <v/>
      </c>
      <c r="B234" s="22"/>
      <c r="C234" s="21" t="str">
        <f aca="false">IF(B234="","",CHOOSE(WEEKDAY(B234,2),"LUNES","MARTES","MIÉRCOLES","JUEVES","VIERNES","SÁBADO","DOMINGO"))</f>
        <v/>
      </c>
      <c r="M234" s="23"/>
      <c r="Q234" s="21" t="str">
        <f aca="false">IF(OR(K234="",N234=""),"",K234-N234)</f>
        <v/>
      </c>
      <c r="R234" s="21" t="str">
        <f aca="false">IF(OR(J234="",K234=""),"",J234*K234)</f>
        <v/>
      </c>
      <c r="S234" s="21" t="str">
        <f aca="false">IF(AND(ISNUMBER(J234),ISNUMBER(K234),F234&lt;&gt;"Calentamiento",F234&lt;&gt;"Bilbo"),IF(AND(K234&gt;0,K234&lt;=12),ROUND(J234*(1+(K234+IF(ISNUMBER(L234),L234,0))/30),1),""),"")</f>
        <v/>
      </c>
      <c r="T234" s="21" t="str">
        <f aca="false">IF(AND(F234="Bilbo",ISNUMBER(J234),ISNUMBER(K234)),ROUND(J234*(1+K234/30),1),"")</f>
        <v/>
      </c>
      <c r="W234" s="22"/>
      <c r="X234" s="21" t="str">
        <f aca="false">IF(AND(F234="Bilbo",E234&lt;&gt;"",G234&lt;&gt;"",H234&lt;&gt;""),E234&amp;"|"&amp;G234&amp;"|"&amp;H234,"")</f>
        <v/>
      </c>
      <c r="Y234" s="21" t="str">
        <f aca="false">IF(B234="","",IF(B234&lt;&gt;B233,1,0))</f>
        <v/>
      </c>
    </row>
    <row r="235" customFormat="false" ht="15" hidden="false" customHeight="true" outlineLevel="0" collapsed="false">
      <c r="A235" s="21" t="str">
        <f aca="false">IF(B235="","",ROW()-4)</f>
        <v/>
      </c>
      <c r="B235" s="22"/>
      <c r="C235" s="21" t="str">
        <f aca="false">IF(B235="","",CHOOSE(WEEKDAY(B235,2),"LUNES","MARTES","MIÉRCOLES","JUEVES","VIERNES","SÁBADO","DOMINGO"))</f>
        <v/>
      </c>
      <c r="M235" s="23"/>
      <c r="Q235" s="21" t="str">
        <f aca="false">IF(OR(K235="",N235=""),"",K235-N235)</f>
        <v/>
      </c>
      <c r="R235" s="21" t="str">
        <f aca="false">IF(OR(J235="",K235=""),"",J235*K235)</f>
        <v/>
      </c>
      <c r="S235" s="21" t="str">
        <f aca="false">IF(AND(ISNUMBER(J235),ISNUMBER(K235),F235&lt;&gt;"Calentamiento",F235&lt;&gt;"Bilbo"),IF(AND(K235&gt;0,K235&lt;=12),ROUND(J235*(1+(K235+IF(ISNUMBER(L235),L235,0))/30),1),""),"")</f>
        <v/>
      </c>
      <c r="T235" s="21" t="str">
        <f aca="false">IF(AND(F235="Bilbo",ISNUMBER(J235),ISNUMBER(K235)),ROUND(J235*(1+K235/30),1),"")</f>
        <v/>
      </c>
      <c r="W235" s="22"/>
      <c r="X235" s="21" t="str">
        <f aca="false">IF(AND(F235="Bilbo",E235&lt;&gt;"",G235&lt;&gt;"",H235&lt;&gt;""),E235&amp;"|"&amp;G235&amp;"|"&amp;H235,"")</f>
        <v/>
      </c>
      <c r="Y235" s="21" t="str">
        <f aca="false">IF(B235="","",IF(B235&lt;&gt;B234,1,0))</f>
        <v/>
      </c>
    </row>
    <row r="236" customFormat="false" ht="15" hidden="false" customHeight="true" outlineLevel="0" collapsed="false">
      <c r="A236" s="21" t="str">
        <f aca="false">IF(B236="","",ROW()-4)</f>
        <v/>
      </c>
      <c r="B236" s="22"/>
      <c r="C236" s="21" t="str">
        <f aca="false">IF(B236="","",CHOOSE(WEEKDAY(B236,2),"LUNES","MARTES","MIÉRCOLES","JUEVES","VIERNES","SÁBADO","DOMINGO"))</f>
        <v/>
      </c>
      <c r="M236" s="23"/>
      <c r="Q236" s="21" t="str">
        <f aca="false">IF(OR(K236="",N236=""),"",K236-N236)</f>
        <v/>
      </c>
      <c r="R236" s="21" t="str">
        <f aca="false">IF(OR(J236="",K236=""),"",J236*K236)</f>
        <v/>
      </c>
      <c r="S236" s="21" t="str">
        <f aca="false">IF(AND(ISNUMBER(J236),ISNUMBER(K236),F236&lt;&gt;"Calentamiento",F236&lt;&gt;"Bilbo"),IF(AND(K236&gt;0,K236&lt;=12),ROUND(J236*(1+(K236+IF(ISNUMBER(L236),L236,0))/30),1),""),"")</f>
        <v/>
      </c>
      <c r="T236" s="21" t="str">
        <f aca="false">IF(AND(F236="Bilbo",ISNUMBER(J236),ISNUMBER(K236)),ROUND(J236*(1+K236/30),1),"")</f>
        <v/>
      </c>
      <c r="W236" s="22"/>
      <c r="X236" s="21" t="str">
        <f aca="false">IF(AND(F236="Bilbo",E236&lt;&gt;"",G236&lt;&gt;"",H236&lt;&gt;""),E236&amp;"|"&amp;G236&amp;"|"&amp;H236,"")</f>
        <v/>
      </c>
      <c r="Y236" s="21" t="str">
        <f aca="false">IF(B236="","",IF(B236&lt;&gt;B235,1,0))</f>
        <v/>
      </c>
    </row>
    <row r="237" customFormat="false" ht="15" hidden="false" customHeight="true" outlineLevel="0" collapsed="false">
      <c r="A237" s="21" t="str">
        <f aca="false">IF(B237="","",ROW()-4)</f>
        <v/>
      </c>
      <c r="B237" s="22"/>
      <c r="C237" s="21" t="str">
        <f aca="false">IF(B237="","",CHOOSE(WEEKDAY(B237,2),"LUNES","MARTES","MIÉRCOLES","JUEVES","VIERNES","SÁBADO","DOMINGO"))</f>
        <v/>
      </c>
      <c r="M237" s="23"/>
      <c r="Q237" s="21" t="str">
        <f aca="false">IF(OR(K237="",N237=""),"",K237-N237)</f>
        <v/>
      </c>
      <c r="R237" s="21" t="str">
        <f aca="false">IF(OR(J237="",K237=""),"",J237*K237)</f>
        <v/>
      </c>
      <c r="S237" s="21" t="str">
        <f aca="false">IF(AND(ISNUMBER(J237),ISNUMBER(K237),F237&lt;&gt;"Calentamiento",F237&lt;&gt;"Bilbo"),IF(AND(K237&gt;0,K237&lt;=12),ROUND(J237*(1+(K237+IF(ISNUMBER(L237),L237,0))/30),1),""),"")</f>
        <v/>
      </c>
      <c r="T237" s="21" t="str">
        <f aca="false">IF(AND(F237="Bilbo",ISNUMBER(J237),ISNUMBER(K237)),ROUND(J237*(1+K237/30),1),"")</f>
        <v/>
      </c>
      <c r="W237" s="22"/>
      <c r="X237" s="21" t="str">
        <f aca="false">IF(AND(F237="Bilbo",E237&lt;&gt;"",G237&lt;&gt;"",H237&lt;&gt;""),E237&amp;"|"&amp;G237&amp;"|"&amp;H237,"")</f>
        <v/>
      </c>
      <c r="Y237" s="21" t="str">
        <f aca="false">IF(B237="","",IF(B237&lt;&gt;B236,1,0))</f>
        <v/>
      </c>
    </row>
    <row r="238" customFormat="false" ht="15" hidden="false" customHeight="true" outlineLevel="0" collapsed="false">
      <c r="A238" s="21" t="str">
        <f aca="false">IF(B238="","",ROW()-4)</f>
        <v/>
      </c>
      <c r="B238" s="22"/>
      <c r="C238" s="21" t="str">
        <f aca="false">IF(B238="","",CHOOSE(WEEKDAY(B238,2),"LUNES","MARTES","MIÉRCOLES","JUEVES","VIERNES","SÁBADO","DOMINGO"))</f>
        <v/>
      </c>
      <c r="M238" s="23"/>
      <c r="Q238" s="21" t="str">
        <f aca="false">IF(OR(K238="",N238=""),"",K238-N238)</f>
        <v/>
      </c>
      <c r="R238" s="21" t="str">
        <f aca="false">IF(OR(J238="",K238=""),"",J238*K238)</f>
        <v/>
      </c>
      <c r="S238" s="21" t="str">
        <f aca="false">IF(AND(ISNUMBER(J238),ISNUMBER(K238),F238&lt;&gt;"Calentamiento",F238&lt;&gt;"Bilbo"),IF(AND(K238&gt;0,K238&lt;=12),ROUND(J238*(1+(K238+IF(ISNUMBER(L238),L238,0))/30),1),""),"")</f>
        <v/>
      </c>
      <c r="T238" s="21" t="str">
        <f aca="false">IF(AND(F238="Bilbo",ISNUMBER(J238),ISNUMBER(K238)),ROUND(J238*(1+K238/30),1),"")</f>
        <v/>
      </c>
      <c r="W238" s="22"/>
      <c r="X238" s="21" t="str">
        <f aca="false">IF(AND(F238="Bilbo",E238&lt;&gt;"",G238&lt;&gt;"",H238&lt;&gt;""),E238&amp;"|"&amp;G238&amp;"|"&amp;H238,"")</f>
        <v/>
      </c>
      <c r="Y238" s="21" t="str">
        <f aca="false">IF(B238="","",IF(B238&lt;&gt;B237,1,0))</f>
        <v/>
      </c>
    </row>
    <row r="239" customFormat="false" ht="15" hidden="false" customHeight="true" outlineLevel="0" collapsed="false">
      <c r="A239" s="21" t="str">
        <f aca="false">IF(B239="","",ROW()-4)</f>
        <v/>
      </c>
      <c r="B239" s="22"/>
      <c r="C239" s="21" t="str">
        <f aca="false">IF(B239="","",CHOOSE(WEEKDAY(B239,2),"LUNES","MARTES","MIÉRCOLES","JUEVES","VIERNES","SÁBADO","DOMINGO"))</f>
        <v/>
      </c>
      <c r="M239" s="23"/>
      <c r="Q239" s="21" t="str">
        <f aca="false">IF(OR(K239="",N239=""),"",K239-N239)</f>
        <v/>
      </c>
      <c r="R239" s="21" t="str">
        <f aca="false">IF(OR(J239="",K239=""),"",J239*K239)</f>
        <v/>
      </c>
      <c r="S239" s="21" t="str">
        <f aca="false">IF(AND(ISNUMBER(J239),ISNUMBER(K239),F239&lt;&gt;"Calentamiento",F239&lt;&gt;"Bilbo"),IF(AND(K239&gt;0,K239&lt;=12),ROUND(J239*(1+(K239+IF(ISNUMBER(L239),L239,0))/30),1),""),"")</f>
        <v/>
      </c>
      <c r="T239" s="21" t="str">
        <f aca="false">IF(AND(F239="Bilbo",ISNUMBER(J239),ISNUMBER(K239)),ROUND(J239*(1+K239/30),1),"")</f>
        <v/>
      </c>
      <c r="W239" s="22"/>
      <c r="X239" s="21" t="str">
        <f aca="false">IF(AND(F239="Bilbo",E239&lt;&gt;"",G239&lt;&gt;"",H239&lt;&gt;""),E239&amp;"|"&amp;G239&amp;"|"&amp;H239,"")</f>
        <v/>
      </c>
      <c r="Y239" s="21" t="str">
        <f aca="false">IF(B239="","",IF(B239&lt;&gt;B238,1,0))</f>
        <v/>
      </c>
    </row>
    <row r="240" customFormat="false" ht="15" hidden="false" customHeight="true" outlineLevel="0" collapsed="false">
      <c r="A240" s="21" t="str">
        <f aca="false">IF(B240="","",ROW()-4)</f>
        <v/>
      </c>
      <c r="B240" s="22"/>
      <c r="C240" s="21" t="str">
        <f aca="false">IF(B240="","",CHOOSE(WEEKDAY(B240,2),"LUNES","MARTES","MIÉRCOLES","JUEVES","VIERNES","SÁBADO","DOMINGO"))</f>
        <v/>
      </c>
      <c r="M240" s="23"/>
      <c r="Q240" s="21" t="str">
        <f aca="false">IF(OR(K240="",N240=""),"",K240-N240)</f>
        <v/>
      </c>
      <c r="R240" s="21" t="str">
        <f aca="false">IF(OR(J240="",K240=""),"",J240*K240)</f>
        <v/>
      </c>
      <c r="S240" s="21" t="str">
        <f aca="false">IF(AND(ISNUMBER(J240),ISNUMBER(K240),F240&lt;&gt;"Calentamiento",F240&lt;&gt;"Bilbo"),IF(AND(K240&gt;0,K240&lt;=12),ROUND(J240*(1+(K240+IF(ISNUMBER(L240),L240,0))/30),1),""),"")</f>
        <v/>
      </c>
      <c r="T240" s="21" t="str">
        <f aca="false">IF(AND(F240="Bilbo",ISNUMBER(J240),ISNUMBER(K240)),ROUND(J240*(1+K240/30),1),"")</f>
        <v/>
      </c>
      <c r="W240" s="22"/>
      <c r="X240" s="21" t="str">
        <f aca="false">IF(AND(F240="Bilbo",E240&lt;&gt;"",G240&lt;&gt;"",H240&lt;&gt;""),E240&amp;"|"&amp;G240&amp;"|"&amp;H240,"")</f>
        <v/>
      </c>
      <c r="Y240" s="21" t="str">
        <f aca="false">IF(B240="","",IF(B240&lt;&gt;B239,1,0))</f>
        <v/>
      </c>
    </row>
    <row r="241" customFormat="false" ht="15" hidden="false" customHeight="true" outlineLevel="0" collapsed="false">
      <c r="A241" s="21" t="str">
        <f aca="false">IF(B241="","",ROW()-4)</f>
        <v/>
      </c>
      <c r="B241" s="22"/>
      <c r="C241" s="21" t="str">
        <f aca="false">IF(B241="","",CHOOSE(WEEKDAY(B241,2),"LUNES","MARTES","MIÉRCOLES","JUEVES","VIERNES","SÁBADO","DOMINGO"))</f>
        <v/>
      </c>
      <c r="M241" s="23"/>
      <c r="Q241" s="21" t="str">
        <f aca="false">IF(OR(K241="",N241=""),"",K241-N241)</f>
        <v/>
      </c>
      <c r="R241" s="21" t="str">
        <f aca="false">IF(OR(J241="",K241=""),"",J241*K241)</f>
        <v/>
      </c>
      <c r="S241" s="21" t="str">
        <f aca="false">IF(AND(ISNUMBER(J241),ISNUMBER(K241),F241&lt;&gt;"Calentamiento",F241&lt;&gt;"Bilbo"),IF(AND(K241&gt;0,K241&lt;=12),ROUND(J241*(1+(K241+IF(ISNUMBER(L241),L241,0))/30),1),""),"")</f>
        <v/>
      </c>
      <c r="T241" s="21" t="str">
        <f aca="false">IF(AND(F241="Bilbo",ISNUMBER(J241),ISNUMBER(K241)),ROUND(J241*(1+K241/30),1),"")</f>
        <v/>
      </c>
      <c r="W241" s="22"/>
      <c r="X241" s="21" t="str">
        <f aca="false">IF(AND(F241="Bilbo",E241&lt;&gt;"",G241&lt;&gt;"",H241&lt;&gt;""),E241&amp;"|"&amp;G241&amp;"|"&amp;H241,"")</f>
        <v/>
      </c>
      <c r="Y241" s="21" t="str">
        <f aca="false">IF(B241="","",IF(B241&lt;&gt;B240,1,0))</f>
        <v/>
      </c>
    </row>
    <row r="242" customFormat="false" ht="15" hidden="false" customHeight="true" outlineLevel="0" collapsed="false">
      <c r="A242" s="21" t="str">
        <f aca="false">IF(B242="","",ROW()-4)</f>
        <v/>
      </c>
      <c r="B242" s="22"/>
      <c r="C242" s="21" t="str">
        <f aca="false">IF(B242="","",CHOOSE(WEEKDAY(B242,2),"LUNES","MARTES","MIÉRCOLES","JUEVES","VIERNES","SÁBADO","DOMINGO"))</f>
        <v/>
      </c>
      <c r="M242" s="23"/>
      <c r="Q242" s="21" t="str">
        <f aca="false">IF(OR(K242="",N242=""),"",K242-N242)</f>
        <v/>
      </c>
      <c r="R242" s="21" t="str">
        <f aca="false">IF(OR(J242="",K242=""),"",J242*K242)</f>
        <v/>
      </c>
      <c r="S242" s="21" t="str">
        <f aca="false">IF(AND(ISNUMBER(J242),ISNUMBER(K242),F242&lt;&gt;"Calentamiento",F242&lt;&gt;"Bilbo"),IF(AND(K242&gt;0,K242&lt;=12),ROUND(J242*(1+(K242+IF(ISNUMBER(L242),L242,0))/30),1),""),"")</f>
        <v/>
      </c>
      <c r="T242" s="21" t="str">
        <f aca="false">IF(AND(F242="Bilbo",ISNUMBER(J242),ISNUMBER(K242)),ROUND(J242*(1+K242/30),1),"")</f>
        <v/>
      </c>
      <c r="W242" s="22"/>
      <c r="X242" s="21" t="str">
        <f aca="false">IF(AND(F242="Bilbo",E242&lt;&gt;"",G242&lt;&gt;"",H242&lt;&gt;""),E242&amp;"|"&amp;G242&amp;"|"&amp;H242,"")</f>
        <v/>
      </c>
      <c r="Y242" s="21" t="str">
        <f aca="false">IF(B242="","",IF(B242&lt;&gt;B241,1,0))</f>
        <v/>
      </c>
    </row>
    <row r="243" customFormat="false" ht="15" hidden="false" customHeight="true" outlineLevel="0" collapsed="false">
      <c r="A243" s="21" t="str">
        <f aca="false">IF(B243="","",ROW()-4)</f>
        <v/>
      </c>
      <c r="B243" s="22"/>
      <c r="C243" s="21" t="str">
        <f aca="false">IF(B243="","",CHOOSE(WEEKDAY(B243,2),"LUNES","MARTES","MIÉRCOLES","JUEVES","VIERNES","SÁBADO","DOMINGO"))</f>
        <v/>
      </c>
      <c r="M243" s="23"/>
      <c r="Q243" s="21" t="str">
        <f aca="false">IF(OR(K243="",N243=""),"",K243-N243)</f>
        <v/>
      </c>
      <c r="R243" s="21" t="str">
        <f aca="false">IF(OR(J243="",K243=""),"",J243*K243)</f>
        <v/>
      </c>
      <c r="S243" s="21" t="str">
        <f aca="false">IF(AND(ISNUMBER(J243),ISNUMBER(K243),F243&lt;&gt;"Calentamiento",F243&lt;&gt;"Bilbo"),IF(AND(K243&gt;0,K243&lt;=12),ROUND(J243*(1+(K243+IF(ISNUMBER(L243),L243,0))/30),1),""),"")</f>
        <v/>
      </c>
      <c r="T243" s="21" t="str">
        <f aca="false">IF(AND(F243="Bilbo",ISNUMBER(J243),ISNUMBER(K243)),ROUND(J243*(1+K243/30),1),"")</f>
        <v/>
      </c>
      <c r="W243" s="22"/>
      <c r="X243" s="21" t="str">
        <f aca="false">IF(AND(F243="Bilbo",E243&lt;&gt;"",G243&lt;&gt;"",H243&lt;&gt;""),E243&amp;"|"&amp;G243&amp;"|"&amp;H243,"")</f>
        <v/>
      </c>
      <c r="Y243" s="21" t="str">
        <f aca="false">IF(B243="","",IF(B243&lt;&gt;B242,1,0))</f>
        <v/>
      </c>
    </row>
    <row r="244" customFormat="false" ht="15" hidden="false" customHeight="true" outlineLevel="0" collapsed="false">
      <c r="A244" s="21" t="str">
        <f aca="false">IF(B244="","",ROW()-4)</f>
        <v/>
      </c>
      <c r="B244" s="22"/>
      <c r="C244" s="21" t="str">
        <f aca="false">IF(B244="","",CHOOSE(WEEKDAY(B244,2),"LUNES","MARTES","MIÉRCOLES","JUEVES","VIERNES","SÁBADO","DOMINGO"))</f>
        <v/>
      </c>
      <c r="M244" s="23"/>
      <c r="Q244" s="21" t="str">
        <f aca="false">IF(OR(K244="",N244=""),"",K244-N244)</f>
        <v/>
      </c>
      <c r="R244" s="21" t="str">
        <f aca="false">IF(OR(J244="",K244=""),"",J244*K244)</f>
        <v/>
      </c>
      <c r="S244" s="21" t="str">
        <f aca="false">IF(AND(ISNUMBER(J244),ISNUMBER(K244),F244&lt;&gt;"Calentamiento",F244&lt;&gt;"Bilbo"),IF(AND(K244&gt;0,K244&lt;=12),ROUND(J244*(1+(K244+IF(ISNUMBER(L244),L244,0))/30),1),""),"")</f>
        <v/>
      </c>
      <c r="T244" s="21" t="str">
        <f aca="false">IF(AND(F244="Bilbo",ISNUMBER(J244),ISNUMBER(K244)),ROUND(J244*(1+K244/30),1),"")</f>
        <v/>
      </c>
      <c r="W244" s="22"/>
      <c r="X244" s="21" t="str">
        <f aca="false">IF(AND(F244="Bilbo",E244&lt;&gt;"",G244&lt;&gt;"",H244&lt;&gt;""),E244&amp;"|"&amp;G244&amp;"|"&amp;H244,"")</f>
        <v/>
      </c>
      <c r="Y244" s="21" t="str">
        <f aca="false">IF(B244="","",IF(B244&lt;&gt;B243,1,0))</f>
        <v/>
      </c>
    </row>
    <row r="245" customFormat="false" ht="15" hidden="false" customHeight="true" outlineLevel="0" collapsed="false">
      <c r="A245" s="21" t="str">
        <f aca="false">IF(B245="","",ROW()-4)</f>
        <v/>
      </c>
      <c r="B245" s="22"/>
      <c r="C245" s="21" t="str">
        <f aca="false">IF(B245="","",CHOOSE(WEEKDAY(B245,2),"LUNES","MARTES","MIÉRCOLES","JUEVES","VIERNES","SÁBADO","DOMINGO"))</f>
        <v/>
      </c>
      <c r="M245" s="23"/>
      <c r="Q245" s="21" t="str">
        <f aca="false">IF(OR(K245="",N245=""),"",K245-N245)</f>
        <v/>
      </c>
      <c r="R245" s="21" t="str">
        <f aca="false">IF(OR(J245="",K245=""),"",J245*K245)</f>
        <v/>
      </c>
      <c r="S245" s="21" t="str">
        <f aca="false">IF(AND(ISNUMBER(J245),ISNUMBER(K245),F245&lt;&gt;"Calentamiento",F245&lt;&gt;"Bilbo"),IF(AND(K245&gt;0,K245&lt;=12),ROUND(J245*(1+(K245+IF(ISNUMBER(L245),L245,0))/30),1),""),"")</f>
        <v/>
      </c>
      <c r="T245" s="21" t="str">
        <f aca="false">IF(AND(F245="Bilbo",ISNUMBER(J245),ISNUMBER(K245)),ROUND(J245*(1+K245/30),1),"")</f>
        <v/>
      </c>
      <c r="W245" s="22"/>
      <c r="X245" s="21" t="str">
        <f aca="false">IF(AND(F245="Bilbo",E245&lt;&gt;"",G245&lt;&gt;"",H245&lt;&gt;""),E245&amp;"|"&amp;G245&amp;"|"&amp;H245,"")</f>
        <v/>
      </c>
      <c r="Y245" s="21" t="str">
        <f aca="false">IF(B245="","",IF(B245&lt;&gt;B244,1,0))</f>
        <v/>
      </c>
    </row>
    <row r="246" customFormat="false" ht="15" hidden="false" customHeight="true" outlineLevel="0" collapsed="false">
      <c r="A246" s="21" t="str">
        <f aca="false">IF(B246="","",ROW()-4)</f>
        <v/>
      </c>
      <c r="B246" s="22"/>
      <c r="C246" s="21" t="str">
        <f aca="false">IF(B246="","",CHOOSE(WEEKDAY(B246,2),"LUNES","MARTES","MIÉRCOLES","JUEVES","VIERNES","SÁBADO","DOMINGO"))</f>
        <v/>
      </c>
      <c r="M246" s="23"/>
      <c r="Q246" s="21" t="str">
        <f aca="false">IF(OR(K246="",N246=""),"",K246-N246)</f>
        <v/>
      </c>
      <c r="R246" s="21" t="str">
        <f aca="false">IF(OR(J246="",K246=""),"",J246*K246)</f>
        <v/>
      </c>
      <c r="S246" s="21" t="str">
        <f aca="false">IF(AND(ISNUMBER(J246),ISNUMBER(K246),F246&lt;&gt;"Calentamiento",F246&lt;&gt;"Bilbo"),IF(AND(K246&gt;0,K246&lt;=12),ROUND(J246*(1+(K246+IF(ISNUMBER(L246),L246,0))/30),1),""),"")</f>
        <v/>
      </c>
      <c r="T246" s="21" t="str">
        <f aca="false">IF(AND(F246="Bilbo",ISNUMBER(J246),ISNUMBER(K246)),ROUND(J246*(1+K246/30),1),"")</f>
        <v/>
      </c>
      <c r="W246" s="22"/>
      <c r="X246" s="21" t="str">
        <f aca="false">IF(AND(F246="Bilbo",E246&lt;&gt;"",G246&lt;&gt;"",H246&lt;&gt;""),E246&amp;"|"&amp;G246&amp;"|"&amp;H246,"")</f>
        <v/>
      </c>
      <c r="Y246" s="21" t="str">
        <f aca="false">IF(B246="","",IF(B246&lt;&gt;B245,1,0))</f>
        <v/>
      </c>
    </row>
    <row r="247" customFormat="false" ht="15" hidden="false" customHeight="true" outlineLevel="0" collapsed="false">
      <c r="A247" s="21" t="str">
        <f aca="false">IF(B247="","",ROW()-4)</f>
        <v/>
      </c>
      <c r="B247" s="22"/>
      <c r="C247" s="21" t="str">
        <f aca="false">IF(B247="","",CHOOSE(WEEKDAY(B247,2),"LUNES","MARTES","MIÉRCOLES","JUEVES","VIERNES","SÁBADO","DOMINGO"))</f>
        <v/>
      </c>
      <c r="M247" s="23"/>
      <c r="Q247" s="21" t="str">
        <f aca="false">IF(OR(K247="",N247=""),"",K247-N247)</f>
        <v/>
      </c>
      <c r="R247" s="21" t="str">
        <f aca="false">IF(OR(J247="",K247=""),"",J247*K247)</f>
        <v/>
      </c>
      <c r="S247" s="21" t="str">
        <f aca="false">IF(AND(ISNUMBER(J247),ISNUMBER(K247),F247&lt;&gt;"Calentamiento",F247&lt;&gt;"Bilbo"),IF(AND(K247&gt;0,K247&lt;=12),ROUND(J247*(1+(K247+IF(ISNUMBER(L247),L247,0))/30),1),""),"")</f>
        <v/>
      </c>
      <c r="T247" s="21" t="str">
        <f aca="false">IF(AND(F247="Bilbo",ISNUMBER(J247),ISNUMBER(K247)),ROUND(J247*(1+K247/30),1),"")</f>
        <v/>
      </c>
      <c r="W247" s="22"/>
      <c r="X247" s="21" t="str">
        <f aca="false">IF(AND(F247="Bilbo",E247&lt;&gt;"",G247&lt;&gt;"",H247&lt;&gt;""),E247&amp;"|"&amp;G247&amp;"|"&amp;H247,"")</f>
        <v/>
      </c>
      <c r="Y247" s="21" t="str">
        <f aca="false">IF(B247="","",IF(B247&lt;&gt;B246,1,0))</f>
        <v/>
      </c>
    </row>
    <row r="248" customFormat="false" ht="15" hidden="false" customHeight="true" outlineLevel="0" collapsed="false">
      <c r="A248" s="21" t="str">
        <f aca="false">IF(B248="","",ROW()-4)</f>
        <v/>
      </c>
      <c r="B248" s="22"/>
      <c r="C248" s="21" t="str">
        <f aca="false">IF(B248="","",CHOOSE(WEEKDAY(B248,2),"LUNES","MARTES","MIÉRCOLES","JUEVES","VIERNES","SÁBADO","DOMINGO"))</f>
        <v/>
      </c>
      <c r="M248" s="23"/>
      <c r="Q248" s="21" t="str">
        <f aca="false">IF(OR(K248="",N248=""),"",K248-N248)</f>
        <v/>
      </c>
      <c r="R248" s="21" t="str">
        <f aca="false">IF(OR(J248="",K248=""),"",J248*K248)</f>
        <v/>
      </c>
      <c r="S248" s="21" t="str">
        <f aca="false">IF(AND(ISNUMBER(J248),ISNUMBER(K248),F248&lt;&gt;"Calentamiento",F248&lt;&gt;"Bilbo"),IF(AND(K248&gt;0,K248&lt;=12),ROUND(J248*(1+(K248+IF(ISNUMBER(L248),L248,0))/30),1),""),"")</f>
        <v/>
      </c>
      <c r="T248" s="21" t="str">
        <f aca="false">IF(AND(F248="Bilbo",ISNUMBER(J248),ISNUMBER(K248)),ROUND(J248*(1+K248/30),1),"")</f>
        <v/>
      </c>
      <c r="W248" s="22"/>
      <c r="X248" s="21" t="str">
        <f aca="false">IF(AND(F248="Bilbo",E248&lt;&gt;"",G248&lt;&gt;"",H248&lt;&gt;""),E248&amp;"|"&amp;G248&amp;"|"&amp;H248,"")</f>
        <v/>
      </c>
      <c r="Y248" s="21" t="str">
        <f aca="false">IF(B248="","",IF(B248&lt;&gt;B247,1,0))</f>
        <v/>
      </c>
    </row>
    <row r="249" customFormat="false" ht="15" hidden="false" customHeight="true" outlineLevel="0" collapsed="false">
      <c r="A249" s="21" t="str">
        <f aca="false">IF(B249="","",ROW()-4)</f>
        <v/>
      </c>
      <c r="B249" s="22"/>
      <c r="C249" s="21" t="str">
        <f aca="false">IF(B249="","",CHOOSE(WEEKDAY(B249,2),"LUNES","MARTES","MIÉRCOLES","JUEVES","VIERNES","SÁBADO","DOMINGO"))</f>
        <v/>
      </c>
      <c r="M249" s="23"/>
      <c r="Q249" s="21" t="str">
        <f aca="false">IF(OR(K249="",N249=""),"",K249-N249)</f>
        <v/>
      </c>
      <c r="R249" s="21" t="str">
        <f aca="false">IF(OR(J249="",K249=""),"",J249*K249)</f>
        <v/>
      </c>
      <c r="S249" s="21" t="str">
        <f aca="false">IF(AND(ISNUMBER(J249),ISNUMBER(K249),F249&lt;&gt;"Calentamiento",F249&lt;&gt;"Bilbo"),IF(AND(K249&gt;0,K249&lt;=12),ROUND(J249*(1+(K249+IF(ISNUMBER(L249),L249,0))/30),1),""),"")</f>
        <v/>
      </c>
      <c r="T249" s="21" t="str">
        <f aca="false">IF(AND(F249="Bilbo",ISNUMBER(J249),ISNUMBER(K249)),ROUND(J249*(1+K249/30),1),"")</f>
        <v/>
      </c>
      <c r="W249" s="22"/>
      <c r="X249" s="21" t="str">
        <f aca="false">IF(AND(F249="Bilbo",E249&lt;&gt;"",G249&lt;&gt;"",H249&lt;&gt;""),E249&amp;"|"&amp;G249&amp;"|"&amp;H249,"")</f>
        <v/>
      </c>
      <c r="Y249" s="21" t="str">
        <f aca="false">IF(B249="","",IF(B249&lt;&gt;B248,1,0))</f>
        <v/>
      </c>
    </row>
    <row r="250" customFormat="false" ht="15" hidden="false" customHeight="true" outlineLevel="0" collapsed="false">
      <c r="A250" s="21" t="str">
        <f aca="false">IF(B250="","",ROW()-4)</f>
        <v/>
      </c>
      <c r="B250" s="22"/>
      <c r="C250" s="21" t="str">
        <f aca="false">IF(B250="","",CHOOSE(WEEKDAY(B250,2),"LUNES","MARTES","MIÉRCOLES","JUEVES","VIERNES","SÁBADO","DOMINGO"))</f>
        <v/>
      </c>
      <c r="M250" s="23"/>
      <c r="Q250" s="21" t="str">
        <f aca="false">IF(OR(K250="",N250=""),"",K250-N250)</f>
        <v/>
      </c>
      <c r="R250" s="21" t="str">
        <f aca="false">IF(OR(J250="",K250=""),"",J250*K250)</f>
        <v/>
      </c>
      <c r="S250" s="21" t="str">
        <f aca="false">IF(AND(ISNUMBER(J250),ISNUMBER(K250),F250&lt;&gt;"Calentamiento",F250&lt;&gt;"Bilbo"),IF(AND(K250&gt;0,K250&lt;=12),ROUND(J250*(1+(K250+IF(ISNUMBER(L250),L250,0))/30),1),""),"")</f>
        <v/>
      </c>
      <c r="T250" s="21" t="str">
        <f aca="false">IF(AND(F250="Bilbo",ISNUMBER(J250),ISNUMBER(K250)),ROUND(J250*(1+K250/30),1),"")</f>
        <v/>
      </c>
      <c r="W250" s="22"/>
      <c r="X250" s="21" t="str">
        <f aca="false">IF(AND(F250="Bilbo",E250&lt;&gt;"",G250&lt;&gt;"",H250&lt;&gt;""),E250&amp;"|"&amp;G250&amp;"|"&amp;H250,"")</f>
        <v/>
      </c>
      <c r="Y250" s="21" t="str">
        <f aca="false">IF(B250="","",IF(B250&lt;&gt;B249,1,0))</f>
        <v/>
      </c>
    </row>
    <row r="251" customFormat="false" ht="15" hidden="false" customHeight="true" outlineLevel="0" collapsed="false">
      <c r="A251" s="21" t="str">
        <f aca="false">IF(B251="","",ROW()-4)</f>
        <v/>
      </c>
      <c r="B251" s="22"/>
      <c r="C251" s="21" t="str">
        <f aca="false">IF(B251="","",CHOOSE(WEEKDAY(B251,2),"LUNES","MARTES","MIÉRCOLES","JUEVES","VIERNES","SÁBADO","DOMINGO"))</f>
        <v/>
      </c>
      <c r="M251" s="23"/>
      <c r="Q251" s="21" t="str">
        <f aca="false">IF(OR(K251="",N251=""),"",K251-N251)</f>
        <v/>
      </c>
      <c r="R251" s="21" t="str">
        <f aca="false">IF(OR(J251="",K251=""),"",J251*K251)</f>
        <v/>
      </c>
      <c r="S251" s="21" t="str">
        <f aca="false">IF(AND(ISNUMBER(J251),ISNUMBER(K251),F251&lt;&gt;"Calentamiento",F251&lt;&gt;"Bilbo"),IF(AND(K251&gt;0,K251&lt;=12),ROUND(J251*(1+(K251+IF(ISNUMBER(L251),L251,0))/30),1),""),"")</f>
        <v/>
      </c>
      <c r="T251" s="21" t="str">
        <f aca="false">IF(AND(F251="Bilbo",ISNUMBER(J251),ISNUMBER(K251)),ROUND(J251*(1+K251/30),1),"")</f>
        <v/>
      </c>
      <c r="W251" s="22"/>
      <c r="X251" s="21" t="str">
        <f aca="false">IF(AND(F251="Bilbo",E251&lt;&gt;"",G251&lt;&gt;"",H251&lt;&gt;""),E251&amp;"|"&amp;G251&amp;"|"&amp;H251,"")</f>
        <v/>
      </c>
      <c r="Y251" s="21" t="str">
        <f aca="false">IF(B251="","",IF(B251&lt;&gt;B250,1,0))</f>
        <v/>
      </c>
    </row>
    <row r="252" customFormat="false" ht="15" hidden="false" customHeight="true" outlineLevel="0" collapsed="false">
      <c r="A252" s="21" t="str">
        <f aca="false">IF(B252="","",ROW()-4)</f>
        <v/>
      </c>
      <c r="B252" s="22"/>
      <c r="C252" s="21" t="str">
        <f aca="false">IF(B252="","",CHOOSE(WEEKDAY(B252,2),"LUNES","MARTES","MIÉRCOLES","JUEVES","VIERNES","SÁBADO","DOMINGO"))</f>
        <v/>
      </c>
      <c r="M252" s="23"/>
      <c r="Q252" s="21" t="str">
        <f aca="false">IF(OR(K252="",N252=""),"",K252-N252)</f>
        <v/>
      </c>
      <c r="R252" s="21" t="str">
        <f aca="false">IF(OR(J252="",K252=""),"",J252*K252)</f>
        <v/>
      </c>
      <c r="S252" s="21" t="str">
        <f aca="false">IF(AND(ISNUMBER(J252),ISNUMBER(K252),F252&lt;&gt;"Calentamiento",F252&lt;&gt;"Bilbo"),IF(AND(K252&gt;0,K252&lt;=12),ROUND(J252*(1+(K252+IF(ISNUMBER(L252),L252,0))/30),1),""),"")</f>
        <v/>
      </c>
      <c r="T252" s="21" t="str">
        <f aca="false">IF(AND(F252="Bilbo",ISNUMBER(J252),ISNUMBER(K252)),ROUND(J252*(1+K252/30),1),"")</f>
        <v/>
      </c>
      <c r="W252" s="22"/>
      <c r="X252" s="21" t="str">
        <f aca="false">IF(AND(F252="Bilbo",E252&lt;&gt;"",G252&lt;&gt;"",H252&lt;&gt;""),E252&amp;"|"&amp;G252&amp;"|"&amp;H252,"")</f>
        <v/>
      </c>
      <c r="Y252" s="21" t="str">
        <f aca="false">IF(B252="","",IF(B252&lt;&gt;B251,1,0))</f>
        <v/>
      </c>
    </row>
    <row r="253" customFormat="false" ht="15" hidden="false" customHeight="true" outlineLevel="0" collapsed="false">
      <c r="A253" s="21" t="str">
        <f aca="false">IF(B253="","",ROW()-4)</f>
        <v/>
      </c>
      <c r="B253" s="22"/>
      <c r="C253" s="21" t="str">
        <f aca="false">IF(B253="","",CHOOSE(WEEKDAY(B253,2),"LUNES","MARTES","MIÉRCOLES","JUEVES","VIERNES","SÁBADO","DOMINGO"))</f>
        <v/>
      </c>
      <c r="M253" s="23"/>
      <c r="Q253" s="21" t="str">
        <f aca="false">IF(OR(K253="",N253=""),"",K253-N253)</f>
        <v/>
      </c>
      <c r="R253" s="21" t="str">
        <f aca="false">IF(OR(J253="",K253=""),"",J253*K253)</f>
        <v/>
      </c>
      <c r="S253" s="21" t="str">
        <f aca="false">IF(AND(ISNUMBER(J253),ISNUMBER(K253),F253&lt;&gt;"Calentamiento",F253&lt;&gt;"Bilbo"),IF(AND(K253&gt;0,K253&lt;=12),ROUND(J253*(1+(K253+IF(ISNUMBER(L253),L253,0))/30),1),""),"")</f>
        <v/>
      </c>
      <c r="T253" s="21" t="str">
        <f aca="false">IF(AND(F253="Bilbo",ISNUMBER(J253),ISNUMBER(K253)),ROUND(J253*(1+K253/30),1),"")</f>
        <v/>
      </c>
      <c r="W253" s="22"/>
      <c r="X253" s="21" t="str">
        <f aca="false">IF(AND(F253="Bilbo",E253&lt;&gt;"",G253&lt;&gt;"",H253&lt;&gt;""),E253&amp;"|"&amp;G253&amp;"|"&amp;H253,"")</f>
        <v/>
      </c>
      <c r="Y253" s="21" t="str">
        <f aca="false">IF(B253="","",IF(B253&lt;&gt;B252,1,0))</f>
        <v/>
      </c>
    </row>
    <row r="254" customFormat="false" ht="15" hidden="false" customHeight="true" outlineLevel="0" collapsed="false">
      <c r="A254" s="21" t="str">
        <f aca="false">IF(B254="","",ROW()-4)</f>
        <v/>
      </c>
      <c r="B254" s="22"/>
      <c r="C254" s="21" t="str">
        <f aca="false">IF(B254="","",CHOOSE(WEEKDAY(B254,2),"LUNES","MARTES","MIÉRCOLES","JUEVES","VIERNES","SÁBADO","DOMINGO"))</f>
        <v/>
      </c>
      <c r="M254" s="23"/>
      <c r="Q254" s="21" t="str">
        <f aca="false">IF(OR(K254="",N254=""),"",K254-N254)</f>
        <v/>
      </c>
      <c r="R254" s="21" t="str">
        <f aca="false">IF(OR(J254="",K254=""),"",J254*K254)</f>
        <v/>
      </c>
      <c r="S254" s="21" t="str">
        <f aca="false">IF(AND(ISNUMBER(J254),ISNUMBER(K254),F254&lt;&gt;"Calentamiento",F254&lt;&gt;"Bilbo"),IF(AND(K254&gt;0,K254&lt;=12),ROUND(J254*(1+(K254+IF(ISNUMBER(L254),L254,0))/30),1),""),"")</f>
        <v/>
      </c>
      <c r="T254" s="21" t="str">
        <f aca="false">IF(AND(F254="Bilbo",ISNUMBER(J254),ISNUMBER(K254)),ROUND(J254*(1+K254/30),1),"")</f>
        <v/>
      </c>
      <c r="W254" s="22"/>
      <c r="X254" s="21" t="str">
        <f aca="false">IF(AND(F254="Bilbo",E254&lt;&gt;"",G254&lt;&gt;"",H254&lt;&gt;""),E254&amp;"|"&amp;G254&amp;"|"&amp;H254,"")</f>
        <v/>
      </c>
      <c r="Y254" s="21" t="str">
        <f aca="false">IF(B254="","",IF(B254&lt;&gt;B253,1,0))</f>
        <v/>
      </c>
    </row>
    <row r="255" customFormat="false" ht="15" hidden="false" customHeight="true" outlineLevel="0" collapsed="false">
      <c r="A255" s="21" t="str">
        <f aca="false">IF(B255="","",ROW()-4)</f>
        <v/>
      </c>
      <c r="B255" s="22"/>
      <c r="C255" s="21" t="str">
        <f aca="false">IF(B255="","",CHOOSE(WEEKDAY(B255,2),"LUNES","MARTES","MIÉRCOLES","JUEVES","VIERNES","SÁBADO","DOMINGO"))</f>
        <v/>
      </c>
      <c r="M255" s="23"/>
      <c r="Q255" s="21" t="str">
        <f aca="false">IF(OR(K255="",N255=""),"",K255-N255)</f>
        <v/>
      </c>
      <c r="R255" s="21" t="str">
        <f aca="false">IF(OR(J255="",K255=""),"",J255*K255)</f>
        <v/>
      </c>
      <c r="S255" s="21" t="str">
        <f aca="false">IF(AND(ISNUMBER(J255),ISNUMBER(K255),F255&lt;&gt;"Calentamiento",F255&lt;&gt;"Bilbo"),IF(AND(K255&gt;0,K255&lt;=12),ROUND(J255*(1+(K255+IF(ISNUMBER(L255),L255,0))/30),1),""),"")</f>
        <v/>
      </c>
      <c r="T255" s="21" t="str">
        <f aca="false">IF(AND(F255="Bilbo",ISNUMBER(J255),ISNUMBER(K255)),ROUND(J255*(1+K255/30),1),"")</f>
        <v/>
      </c>
      <c r="W255" s="22"/>
      <c r="X255" s="21" t="str">
        <f aca="false">IF(AND(F255="Bilbo",E255&lt;&gt;"",G255&lt;&gt;"",H255&lt;&gt;""),E255&amp;"|"&amp;G255&amp;"|"&amp;H255,"")</f>
        <v/>
      </c>
      <c r="Y255" s="21" t="str">
        <f aca="false">IF(B255="","",IF(B255&lt;&gt;B254,1,0))</f>
        <v/>
      </c>
    </row>
    <row r="256" customFormat="false" ht="15" hidden="false" customHeight="true" outlineLevel="0" collapsed="false">
      <c r="A256" s="21" t="str">
        <f aca="false">IF(B256="","",ROW()-4)</f>
        <v/>
      </c>
      <c r="B256" s="22"/>
      <c r="C256" s="21" t="str">
        <f aca="false">IF(B256="","",CHOOSE(WEEKDAY(B256,2),"LUNES","MARTES","MIÉRCOLES","JUEVES","VIERNES","SÁBADO","DOMINGO"))</f>
        <v/>
      </c>
      <c r="M256" s="23"/>
      <c r="Q256" s="21" t="str">
        <f aca="false">IF(OR(K256="",N256=""),"",K256-N256)</f>
        <v/>
      </c>
      <c r="R256" s="21" t="str">
        <f aca="false">IF(OR(J256="",K256=""),"",J256*K256)</f>
        <v/>
      </c>
      <c r="S256" s="21" t="str">
        <f aca="false">IF(AND(ISNUMBER(J256),ISNUMBER(K256),F256&lt;&gt;"Calentamiento",F256&lt;&gt;"Bilbo"),IF(AND(K256&gt;0,K256&lt;=12),ROUND(J256*(1+(K256+IF(ISNUMBER(L256),L256,0))/30),1),""),"")</f>
        <v/>
      </c>
      <c r="T256" s="21" t="str">
        <f aca="false">IF(AND(F256="Bilbo",ISNUMBER(J256),ISNUMBER(K256)),ROUND(J256*(1+K256/30),1),"")</f>
        <v/>
      </c>
      <c r="W256" s="22"/>
      <c r="X256" s="21" t="str">
        <f aca="false">IF(AND(F256="Bilbo",E256&lt;&gt;"",G256&lt;&gt;"",H256&lt;&gt;""),E256&amp;"|"&amp;G256&amp;"|"&amp;H256,"")</f>
        <v/>
      </c>
      <c r="Y256" s="21" t="str">
        <f aca="false">IF(B256="","",IF(B256&lt;&gt;B255,1,0))</f>
        <v/>
      </c>
    </row>
    <row r="257" customFormat="false" ht="15" hidden="false" customHeight="true" outlineLevel="0" collapsed="false">
      <c r="A257" s="21" t="str">
        <f aca="false">IF(B257="","",ROW()-4)</f>
        <v/>
      </c>
      <c r="B257" s="22"/>
      <c r="C257" s="21" t="str">
        <f aca="false">IF(B257="","",CHOOSE(WEEKDAY(B257,2),"LUNES","MARTES","MIÉRCOLES","JUEVES","VIERNES","SÁBADO","DOMINGO"))</f>
        <v/>
      </c>
      <c r="M257" s="23"/>
      <c r="Q257" s="21" t="str">
        <f aca="false">IF(OR(K257="",N257=""),"",K257-N257)</f>
        <v/>
      </c>
      <c r="R257" s="21" t="str">
        <f aca="false">IF(OR(J257="",K257=""),"",J257*K257)</f>
        <v/>
      </c>
      <c r="S257" s="21" t="str">
        <f aca="false">IF(AND(ISNUMBER(J257),ISNUMBER(K257),F257&lt;&gt;"Calentamiento",F257&lt;&gt;"Bilbo"),IF(AND(K257&gt;0,K257&lt;=12),ROUND(J257*(1+(K257+IF(ISNUMBER(L257),L257,0))/30),1),""),"")</f>
        <v/>
      </c>
      <c r="T257" s="21" t="str">
        <f aca="false">IF(AND(F257="Bilbo",ISNUMBER(J257),ISNUMBER(K257)),ROUND(J257*(1+K257/30),1),"")</f>
        <v/>
      </c>
      <c r="W257" s="22"/>
      <c r="X257" s="21" t="str">
        <f aca="false">IF(AND(F257="Bilbo",E257&lt;&gt;"",G257&lt;&gt;"",H257&lt;&gt;""),E257&amp;"|"&amp;G257&amp;"|"&amp;H257,"")</f>
        <v/>
      </c>
      <c r="Y257" s="21" t="str">
        <f aca="false">IF(B257="","",IF(B257&lt;&gt;B256,1,0))</f>
        <v/>
      </c>
    </row>
    <row r="258" customFormat="false" ht="15" hidden="false" customHeight="true" outlineLevel="0" collapsed="false">
      <c r="A258" s="21" t="str">
        <f aca="false">IF(B258="","",ROW()-4)</f>
        <v/>
      </c>
      <c r="B258" s="22"/>
      <c r="C258" s="21" t="str">
        <f aca="false">IF(B258="","",CHOOSE(WEEKDAY(B258,2),"LUNES","MARTES","MIÉRCOLES","JUEVES","VIERNES","SÁBADO","DOMINGO"))</f>
        <v/>
      </c>
      <c r="M258" s="23"/>
      <c r="Q258" s="21" t="str">
        <f aca="false">IF(OR(K258="",N258=""),"",K258-N258)</f>
        <v/>
      </c>
      <c r="R258" s="21" t="str">
        <f aca="false">IF(OR(J258="",K258=""),"",J258*K258)</f>
        <v/>
      </c>
      <c r="S258" s="21" t="str">
        <f aca="false">IF(AND(ISNUMBER(J258),ISNUMBER(K258),F258&lt;&gt;"Calentamiento",F258&lt;&gt;"Bilbo"),IF(AND(K258&gt;0,K258&lt;=12),ROUND(J258*(1+(K258+IF(ISNUMBER(L258),L258,0))/30),1),""),"")</f>
        <v/>
      </c>
      <c r="T258" s="21" t="str">
        <f aca="false">IF(AND(F258="Bilbo",ISNUMBER(J258),ISNUMBER(K258)),ROUND(J258*(1+K258/30),1),"")</f>
        <v/>
      </c>
      <c r="W258" s="22"/>
      <c r="X258" s="21" t="str">
        <f aca="false">IF(AND(F258="Bilbo",E258&lt;&gt;"",G258&lt;&gt;"",H258&lt;&gt;""),E258&amp;"|"&amp;G258&amp;"|"&amp;H258,"")</f>
        <v/>
      </c>
      <c r="Y258" s="21" t="str">
        <f aca="false">IF(B258="","",IF(B258&lt;&gt;B257,1,0))</f>
        <v/>
      </c>
    </row>
    <row r="259" customFormat="false" ht="15" hidden="false" customHeight="true" outlineLevel="0" collapsed="false">
      <c r="A259" s="21" t="str">
        <f aca="false">IF(B259="","",ROW()-4)</f>
        <v/>
      </c>
      <c r="B259" s="22"/>
      <c r="C259" s="21" t="str">
        <f aca="false">IF(B259="","",CHOOSE(WEEKDAY(B259,2),"LUNES","MARTES","MIÉRCOLES","JUEVES","VIERNES","SÁBADO","DOMINGO"))</f>
        <v/>
      </c>
      <c r="M259" s="23"/>
      <c r="Q259" s="21" t="str">
        <f aca="false">IF(OR(K259="",N259=""),"",K259-N259)</f>
        <v/>
      </c>
      <c r="R259" s="21" t="str">
        <f aca="false">IF(OR(J259="",K259=""),"",J259*K259)</f>
        <v/>
      </c>
      <c r="S259" s="21" t="str">
        <f aca="false">IF(AND(ISNUMBER(J259),ISNUMBER(K259),F259&lt;&gt;"Calentamiento",F259&lt;&gt;"Bilbo"),IF(AND(K259&gt;0,K259&lt;=12),ROUND(J259*(1+(K259+IF(ISNUMBER(L259),L259,0))/30),1),""),"")</f>
        <v/>
      </c>
      <c r="T259" s="21" t="str">
        <f aca="false">IF(AND(F259="Bilbo",ISNUMBER(J259),ISNUMBER(K259)),ROUND(J259*(1+K259/30),1),"")</f>
        <v/>
      </c>
      <c r="W259" s="22"/>
      <c r="X259" s="21" t="str">
        <f aca="false">IF(AND(F259="Bilbo",E259&lt;&gt;"",G259&lt;&gt;"",H259&lt;&gt;""),E259&amp;"|"&amp;G259&amp;"|"&amp;H259,"")</f>
        <v/>
      </c>
      <c r="Y259" s="21" t="str">
        <f aca="false">IF(B259="","",IF(B259&lt;&gt;B258,1,0))</f>
        <v/>
      </c>
    </row>
    <row r="260" customFormat="false" ht="15" hidden="false" customHeight="true" outlineLevel="0" collapsed="false">
      <c r="A260" s="21" t="str">
        <f aca="false">IF(B260="","",ROW()-4)</f>
        <v/>
      </c>
      <c r="B260" s="22"/>
      <c r="C260" s="21" t="str">
        <f aca="false">IF(B260="","",CHOOSE(WEEKDAY(B260,2),"LUNES","MARTES","MIÉRCOLES","JUEVES","VIERNES","SÁBADO","DOMINGO"))</f>
        <v/>
      </c>
      <c r="M260" s="23"/>
      <c r="Q260" s="21" t="str">
        <f aca="false">IF(OR(K260="",N260=""),"",K260-N260)</f>
        <v/>
      </c>
      <c r="R260" s="21" t="str">
        <f aca="false">IF(OR(J260="",K260=""),"",J260*K260)</f>
        <v/>
      </c>
      <c r="S260" s="21" t="str">
        <f aca="false">IF(AND(ISNUMBER(J260),ISNUMBER(K260),F260&lt;&gt;"Calentamiento",F260&lt;&gt;"Bilbo"),IF(AND(K260&gt;0,K260&lt;=12),ROUND(J260*(1+(K260+IF(ISNUMBER(L260),L260,0))/30),1),""),"")</f>
        <v/>
      </c>
      <c r="T260" s="21" t="str">
        <f aca="false">IF(AND(F260="Bilbo",ISNUMBER(J260),ISNUMBER(K260)),ROUND(J260*(1+K260/30),1),"")</f>
        <v/>
      </c>
      <c r="W260" s="22"/>
      <c r="X260" s="21" t="str">
        <f aca="false">IF(AND(F260="Bilbo",E260&lt;&gt;"",G260&lt;&gt;"",H260&lt;&gt;""),E260&amp;"|"&amp;G260&amp;"|"&amp;H260,"")</f>
        <v/>
      </c>
      <c r="Y260" s="21" t="str">
        <f aca="false">IF(B260="","",IF(B260&lt;&gt;B259,1,0))</f>
        <v/>
      </c>
    </row>
    <row r="261" customFormat="false" ht="15" hidden="false" customHeight="true" outlineLevel="0" collapsed="false">
      <c r="A261" s="21" t="str">
        <f aca="false">IF(B261="","",ROW()-4)</f>
        <v/>
      </c>
      <c r="B261" s="22"/>
      <c r="C261" s="21" t="str">
        <f aca="false">IF(B261="","",CHOOSE(WEEKDAY(B261,2),"LUNES","MARTES","MIÉRCOLES","JUEVES","VIERNES","SÁBADO","DOMINGO"))</f>
        <v/>
      </c>
      <c r="M261" s="23"/>
      <c r="Q261" s="21" t="str">
        <f aca="false">IF(OR(K261="",N261=""),"",K261-N261)</f>
        <v/>
      </c>
      <c r="R261" s="21" t="str">
        <f aca="false">IF(OR(J261="",K261=""),"",J261*K261)</f>
        <v/>
      </c>
      <c r="S261" s="21" t="str">
        <f aca="false">IF(AND(ISNUMBER(J261),ISNUMBER(K261),F261&lt;&gt;"Calentamiento",F261&lt;&gt;"Bilbo"),IF(AND(K261&gt;0,K261&lt;=12),ROUND(J261*(1+(K261+IF(ISNUMBER(L261),L261,0))/30),1),""),"")</f>
        <v/>
      </c>
      <c r="T261" s="21" t="str">
        <f aca="false">IF(AND(F261="Bilbo",ISNUMBER(J261),ISNUMBER(K261)),ROUND(J261*(1+K261/30),1),"")</f>
        <v/>
      </c>
      <c r="W261" s="22"/>
      <c r="X261" s="21" t="str">
        <f aca="false">IF(AND(F261="Bilbo",E261&lt;&gt;"",G261&lt;&gt;"",H261&lt;&gt;""),E261&amp;"|"&amp;G261&amp;"|"&amp;H261,"")</f>
        <v/>
      </c>
      <c r="Y261" s="21" t="str">
        <f aca="false">IF(B261="","",IF(B261&lt;&gt;B260,1,0))</f>
        <v/>
      </c>
    </row>
    <row r="262" customFormat="false" ht="15" hidden="false" customHeight="true" outlineLevel="0" collapsed="false">
      <c r="A262" s="21" t="str">
        <f aca="false">IF(B262="","",ROW()-4)</f>
        <v/>
      </c>
      <c r="B262" s="22"/>
      <c r="C262" s="21" t="str">
        <f aca="false">IF(B262="","",CHOOSE(WEEKDAY(B262,2),"LUNES","MARTES","MIÉRCOLES","JUEVES","VIERNES","SÁBADO","DOMINGO"))</f>
        <v/>
      </c>
      <c r="M262" s="23"/>
      <c r="Q262" s="21" t="str">
        <f aca="false">IF(OR(K262="",N262=""),"",K262-N262)</f>
        <v/>
      </c>
      <c r="R262" s="21" t="str">
        <f aca="false">IF(OR(J262="",K262=""),"",J262*K262)</f>
        <v/>
      </c>
      <c r="S262" s="21" t="str">
        <f aca="false">IF(AND(ISNUMBER(J262),ISNUMBER(K262),F262&lt;&gt;"Calentamiento",F262&lt;&gt;"Bilbo"),IF(AND(K262&gt;0,K262&lt;=12),ROUND(J262*(1+(K262+IF(ISNUMBER(L262),L262,0))/30),1),""),"")</f>
        <v/>
      </c>
      <c r="T262" s="21" t="str">
        <f aca="false">IF(AND(F262="Bilbo",ISNUMBER(J262),ISNUMBER(K262)),ROUND(J262*(1+K262/30),1),"")</f>
        <v/>
      </c>
      <c r="W262" s="22"/>
      <c r="X262" s="21" t="str">
        <f aca="false">IF(AND(F262="Bilbo",E262&lt;&gt;"",G262&lt;&gt;"",H262&lt;&gt;""),E262&amp;"|"&amp;G262&amp;"|"&amp;H262,"")</f>
        <v/>
      </c>
      <c r="Y262" s="21" t="str">
        <f aca="false">IF(B262="","",IF(B262&lt;&gt;B261,1,0))</f>
        <v/>
      </c>
    </row>
    <row r="263" customFormat="false" ht="15" hidden="false" customHeight="true" outlineLevel="0" collapsed="false">
      <c r="A263" s="21" t="str">
        <f aca="false">IF(B263="","",ROW()-4)</f>
        <v/>
      </c>
      <c r="B263" s="22"/>
      <c r="C263" s="21" t="str">
        <f aca="false">IF(B263="","",CHOOSE(WEEKDAY(B263,2),"LUNES","MARTES","MIÉRCOLES","JUEVES","VIERNES","SÁBADO","DOMINGO"))</f>
        <v/>
      </c>
      <c r="M263" s="23"/>
      <c r="Q263" s="21" t="str">
        <f aca="false">IF(OR(K263="",N263=""),"",K263-N263)</f>
        <v/>
      </c>
      <c r="R263" s="21" t="str">
        <f aca="false">IF(OR(J263="",K263=""),"",J263*K263)</f>
        <v/>
      </c>
      <c r="S263" s="21" t="str">
        <f aca="false">IF(AND(ISNUMBER(J263),ISNUMBER(K263),F263&lt;&gt;"Calentamiento",F263&lt;&gt;"Bilbo"),IF(AND(K263&gt;0,K263&lt;=12),ROUND(J263*(1+(K263+IF(ISNUMBER(L263),L263,0))/30),1),""),"")</f>
        <v/>
      </c>
      <c r="T263" s="21" t="str">
        <f aca="false">IF(AND(F263="Bilbo",ISNUMBER(J263),ISNUMBER(K263)),ROUND(J263*(1+K263/30),1),"")</f>
        <v/>
      </c>
      <c r="W263" s="22"/>
      <c r="X263" s="21" t="str">
        <f aca="false">IF(AND(F263="Bilbo",E263&lt;&gt;"",G263&lt;&gt;"",H263&lt;&gt;""),E263&amp;"|"&amp;G263&amp;"|"&amp;H263,"")</f>
        <v/>
      </c>
      <c r="Y263" s="21" t="str">
        <f aca="false">IF(B263="","",IF(B263&lt;&gt;B262,1,0))</f>
        <v/>
      </c>
    </row>
    <row r="264" customFormat="false" ht="15" hidden="false" customHeight="true" outlineLevel="0" collapsed="false">
      <c r="A264" s="21" t="str">
        <f aca="false">IF(B264="","",ROW()-4)</f>
        <v/>
      </c>
      <c r="B264" s="22"/>
      <c r="C264" s="21" t="str">
        <f aca="false">IF(B264="","",CHOOSE(WEEKDAY(B264,2),"LUNES","MARTES","MIÉRCOLES","JUEVES","VIERNES","SÁBADO","DOMINGO"))</f>
        <v/>
      </c>
      <c r="M264" s="23"/>
      <c r="Q264" s="21" t="str">
        <f aca="false">IF(OR(K264="",N264=""),"",K264-N264)</f>
        <v/>
      </c>
      <c r="R264" s="21" t="str">
        <f aca="false">IF(OR(J264="",K264=""),"",J264*K264)</f>
        <v/>
      </c>
      <c r="S264" s="21" t="str">
        <f aca="false">IF(AND(ISNUMBER(J264),ISNUMBER(K264),F264&lt;&gt;"Calentamiento",F264&lt;&gt;"Bilbo"),IF(AND(K264&gt;0,K264&lt;=12),ROUND(J264*(1+(K264+IF(ISNUMBER(L264),L264,0))/30),1),""),"")</f>
        <v/>
      </c>
      <c r="T264" s="21" t="str">
        <f aca="false">IF(AND(F264="Bilbo",ISNUMBER(J264),ISNUMBER(K264)),ROUND(J264*(1+K264/30),1),"")</f>
        <v/>
      </c>
      <c r="W264" s="22"/>
      <c r="X264" s="21" t="str">
        <f aca="false">IF(AND(F264="Bilbo",E264&lt;&gt;"",G264&lt;&gt;"",H264&lt;&gt;""),E264&amp;"|"&amp;G264&amp;"|"&amp;H264,"")</f>
        <v/>
      </c>
      <c r="Y264" s="21" t="str">
        <f aca="false">IF(B264="","",IF(B264&lt;&gt;B263,1,0))</f>
        <v/>
      </c>
    </row>
    <row r="265" customFormat="false" ht="15" hidden="false" customHeight="true" outlineLevel="0" collapsed="false">
      <c r="A265" s="21" t="str">
        <f aca="false">IF(B265="","",ROW()-4)</f>
        <v/>
      </c>
      <c r="B265" s="22"/>
      <c r="C265" s="21" t="str">
        <f aca="false">IF(B265="","",CHOOSE(WEEKDAY(B265,2),"LUNES","MARTES","MIÉRCOLES","JUEVES","VIERNES","SÁBADO","DOMINGO"))</f>
        <v/>
      </c>
      <c r="M265" s="23"/>
      <c r="Q265" s="21" t="str">
        <f aca="false">IF(OR(K265="",N265=""),"",K265-N265)</f>
        <v/>
      </c>
      <c r="R265" s="21" t="str">
        <f aca="false">IF(OR(J265="",K265=""),"",J265*K265)</f>
        <v/>
      </c>
      <c r="S265" s="21" t="str">
        <f aca="false">IF(AND(ISNUMBER(J265),ISNUMBER(K265),F265&lt;&gt;"Calentamiento",F265&lt;&gt;"Bilbo"),IF(AND(K265&gt;0,K265&lt;=12),ROUND(J265*(1+(K265+IF(ISNUMBER(L265),L265,0))/30),1),""),"")</f>
        <v/>
      </c>
      <c r="T265" s="21" t="str">
        <f aca="false">IF(AND(F265="Bilbo",ISNUMBER(J265),ISNUMBER(K265)),ROUND(J265*(1+K265/30),1),"")</f>
        <v/>
      </c>
      <c r="W265" s="22"/>
      <c r="X265" s="21" t="str">
        <f aca="false">IF(AND(F265="Bilbo",E265&lt;&gt;"",G265&lt;&gt;"",H265&lt;&gt;""),E265&amp;"|"&amp;G265&amp;"|"&amp;H265,"")</f>
        <v/>
      </c>
      <c r="Y265" s="21" t="str">
        <f aca="false">IF(B265="","",IF(B265&lt;&gt;B264,1,0))</f>
        <v/>
      </c>
    </row>
    <row r="266" customFormat="false" ht="15" hidden="false" customHeight="true" outlineLevel="0" collapsed="false">
      <c r="A266" s="21" t="str">
        <f aca="false">IF(B266="","",ROW()-4)</f>
        <v/>
      </c>
      <c r="B266" s="22"/>
      <c r="C266" s="21" t="str">
        <f aca="false">IF(B266="","",CHOOSE(WEEKDAY(B266,2),"LUNES","MARTES","MIÉRCOLES","JUEVES","VIERNES","SÁBADO","DOMINGO"))</f>
        <v/>
      </c>
      <c r="M266" s="23"/>
      <c r="Q266" s="21" t="str">
        <f aca="false">IF(OR(K266="",N266=""),"",K266-N266)</f>
        <v/>
      </c>
      <c r="R266" s="21" t="str">
        <f aca="false">IF(OR(J266="",K266=""),"",J266*K266)</f>
        <v/>
      </c>
      <c r="S266" s="21" t="str">
        <f aca="false">IF(AND(ISNUMBER(J266),ISNUMBER(K266),F266&lt;&gt;"Calentamiento",F266&lt;&gt;"Bilbo"),IF(AND(K266&gt;0,K266&lt;=12),ROUND(J266*(1+(K266+IF(ISNUMBER(L266),L266,0))/30),1),""),"")</f>
        <v/>
      </c>
      <c r="T266" s="21" t="str">
        <f aca="false">IF(AND(F266="Bilbo",ISNUMBER(J266),ISNUMBER(K266)),ROUND(J266*(1+K266/30),1),"")</f>
        <v/>
      </c>
      <c r="W266" s="22"/>
      <c r="X266" s="21" t="str">
        <f aca="false">IF(AND(F266="Bilbo",E266&lt;&gt;"",G266&lt;&gt;"",H266&lt;&gt;""),E266&amp;"|"&amp;G266&amp;"|"&amp;H266,"")</f>
        <v/>
      </c>
      <c r="Y266" s="21" t="str">
        <f aca="false">IF(B266="","",IF(B266&lt;&gt;B265,1,0))</f>
        <v/>
      </c>
    </row>
    <row r="267" customFormat="false" ht="15" hidden="false" customHeight="true" outlineLevel="0" collapsed="false">
      <c r="A267" s="21" t="str">
        <f aca="false">IF(B267="","",ROW()-4)</f>
        <v/>
      </c>
      <c r="B267" s="22"/>
      <c r="C267" s="21" t="str">
        <f aca="false">IF(B267="","",CHOOSE(WEEKDAY(B267,2),"LUNES","MARTES","MIÉRCOLES","JUEVES","VIERNES","SÁBADO","DOMINGO"))</f>
        <v/>
      </c>
      <c r="M267" s="23"/>
      <c r="Q267" s="21" t="str">
        <f aca="false">IF(OR(K267="",N267=""),"",K267-N267)</f>
        <v/>
      </c>
      <c r="R267" s="21" t="str">
        <f aca="false">IF(OR(J267="",K267=""),"",J267*K267)</f>
        <v/>
      </c>
      <c r="S267" s="21" t="str">
        <f aca="false">IF(AND(ISNUMBER(J267),ISNUMBER(K267),F267&lt;&gt;"Calentamiento",F267&lt;&gt;"Bilbo"),IF(AND(K267&gt;0,K267&lt;=12),ROUND(J267*(1+(K267+IF(ISNUMBER(L267),L267,0))/30),1),""),"")</f>
        <v/>
      </c>
      <c r="T267" s="21" t="str">
        <f aca="false">IF(AND(F267="Bilbo",ISNUMBER(J267),ISNUMBER(K267)),ROUND(J267*(1+K267/30),1),"")</f>
        <v/>
      </c>
      <c r="W267" s="22"/>
      <c r="X267" s="21" t="str">
        <f aca="false">IF(AND(F267="Bilbo",E267&lt;&gt;"",G267&lt;&gt;"",H267&lt;&gt;""),E267&amp;"|"&amp;G267&amp;"|"&amp;H267,"")</f>
        <v/>
      </c>
      <c r="Y267" s="21" t="str">
        <f aca="false">IF(B267="","",IF(B267&lt;&gt;B266,1,0))</f>
        <v/>
      </c>
    </row>
    <row r="268" customFormat="false" ht="15" hidden="false" customHeight="true" outlineLevel="0" collapsed="false">
      <c r="A268" s="21" t="str">
        <f aca="false">IF(B268="","",ROW()-4)</f>
        <v/>
      </c>
      <c r="B268" s="22"/>
      <c r="C268" s="21" t="str">
        <f aca="false">IF(B268="","",CHOOSE(WEEKDAY(B268,2),"LUNES","MARTES","MIÉRCOLES","JUEVES","VIERNES","SÁBADO","DOMINGO"))</f>
        <v/>
      </c>
      <c r="M268" s="23"/>
      <c r="Q268" s="21" t="str">
        <f aca="false">IF(OR(K268="",N268=""),"",K268-N268)</f>
        <v/>
      </c>
      <c r="R268" s="21" t="str">
        <f aca="false">IF(OR(J268="",K268=""),"",J268*K268)</f>
        <v/>
      </c>
      <c r="S268" s="21" t="str">
        <f aca="false">IF(AND(ISNUMBER(J268),ISNUMBER(K268),F268&lt;&gt;"Calentamiento",F268&lt;&gt;"Bilbo"),IF(AND(K268&gt;0,K268&lt;=12),ROUND(J268*(1+(K268+IF(ISNUMBER(L268),L268,0))/30),1),""),"")</f>
        <v/>
      </c>
      <c r="T268" s="21" t="str">
        <f aca="false">IF(AND(F268="Bilbo",ISNUMBER(J268),ISNUMBER(K268)),ROUND(J268*(1+K268/30),1),"")</f>
        <v/>
      </c>
      <c r="W268" s="22"/>
      <c r="X268" s="21" t="str">
        <f aca="false">IF(AND(F268="Bilbo",E268&lt;&gt;"",G268&lt;&gt;"",H268&lt;&gt;""),E268&amp;"|"&amp;G268&amp;"|"&amp;H268,"")</f>
        <v/>
      </c>
      <c r="Y268" s="21" t="str">
        <f aca="false">IF(B268="","",IF(B268&lt;&gt;B267,1,0))</f>
        <v/>
      </c>
    </row>
    <row r="269" customFormat="false" ht="15" hidden="false" customHeight="true" outlineLevel="0" collapsed="false">
      <c r="A269" s="21" t="str">
        <f aca="false">IF(B269="","",ROW()-4)</f>
        <v/>
      </c>
      <c r="B269" s="22"/>
      <c r="C269" s="21" t="str">
        <f aca="false">IF(B269="","",CHOOSE(WEEKDAY(B269,2),"LUNES","MARTES","MIÉRCOLES","JUEVES","VIERNES","SÁBADO","DOMINGO"))</f>
        <v/>
      </c>
      <c r="M269" s="23"/>
      <c r="Q269" s="21" t="str">
        <f aca="false">IF(OR(K269="",N269=""),"",K269-N269)</f>
        <v/>
      </c>
      <c r="R269" s="21" t="str">
        <f aca="false">IF(OR(J269="",K269=""),"",J269*K269)</f>
        <v/>
      </c>
      <c r="S269" s="21" t="str">
        <f aca="false">IF(AND(ISNUMBER(J269),ISNUMBER(K269),F269&lt;&gt;"Calentamiento",F269&lt;&gt;"Bilbo"),IF(AND(K269&gt;0,K269&lt;=12),ROUND(J269*(1+(K269+IF(ISNUMBER(L269),L269,0))/30),1),""),"")</f>
        <v/>
      </c>
      <c r="T269" s="21" t="str">
        <f aca="false">IF(AND(F269="Bilbo",ISNUMBER(J269),ISNUMBER(K269)),ROUND(J269*(1+K269/30),1),"")</f>
        <v/>
      </c>
      <c r="W269" s="22"/>
      <c r="X269" s="21" t="str">
        <f aca="false">IF(AND(F269="Bilbo",E269&lt;&gt;"",G269&lt;&gt;"",H269&lt;&gt;""),E269&amp;"|"&amp;G269&amp;"|"&amp;H269,"")</f>
        <v/>
      </c>
      <c r="Y269" s="21" t="str">
        <f aca="false">IF(B269="","",IF(B269&lt;&gt;B268,1,0))</f>
        <v/>
      </c>
    </row>
    <row r="270" customFormat="false" ht="15" hidden="false" customHeight="true" outlineLevel="0" collapsed="false">
      <c r="A270" s="21" t="str">
        <f aca="false">IF(B270="","",ROW()-4)</f>
        <v/>
      </c>
      <c r="B270" s="22"/>
      <c r="C270" s="21" t="str">
        <f aca="false">IF(B270="","",CHOOSE(WEEKDAY(B270,2),"LUNES","MARTES","MIÉRCOLES","JUEVES","VIERNES","SÁBADO","DOMINGO"))</f>
        <v/>
      </c>
      <c r="M270" s="23"/>
      <c r="Q270" s="21" t="str">
        <f aca="false">IF(OR(K270="",N270=""),"",K270-N270)</f>
        <v/>
      </c>
      <c r="R270" s="21" t="str">
        <f aca="false">IF(OR(J270="",K270=""),"",J270*K270)</f>
        <v/>
      </c>
      <c r="S270" s="21" t="str">
        <f aca="false">IF(AND(ISNUMBER(J270),ISNUMBER(K270),F270&lt;&gt;"Calentamiento",F270&lt;&gt;"Bilbo"),IF(AND(K270&gt;0,K270&lt;=12),ROUND(J270*(1+(K270+IF(ISNUMBER(L270),L270,0))/30),1),""),"")</f>
        <v/>
      </c>
      <c r="T270" s="21" t="str">
        <f aca="false">IF(AND(F270="Bilbo",ISNUMBER(J270),ISNUMBER(K270)),ROUND(J270*(1+K270/30),1),"")</f>
        <v/>
      </c>
      <c r="W270" s="22"/>
      <c r="X270" s="21" t="str">
        <f aca="false">IF(AND(F270="Bilbo",E270&lt;&gt;"",G270&lt;&gt;"",H270&lt;&gt;""),E270&amp;"|"&amp;G270&amp;"|"&amp;H270,"")</f>
        <v/>
      </c>
      <c r="Y270" s="21" t="str">
        <f aca="false">IF(B270="","",IF(B270&lt;&gt;B269,1,0))</f>
        <v/>
      </c>
    </row>
    <row r="271" customFormat="false" ht="15" hidden="false" customHeight="true" outlineLevel="0" collapsed="false">
      <c r="A271" s="21" t="str">
        <f aca="false">IF(B271="","",ROW()-4)</f>
        <v/>
      </c>
      <c r="B271" s="22"/>
      <c r="C271" s="21" t="str">
        <f aca="false">IF(B271="","",CHOOSE(WEEKDAY(B271,2),"LUNES","MARTES","MIÉRCOLES","JUEVES","VIERNES","SÁBADO","DOMINGO"))</f>
        <v/>
      </c>
      <c r="M271" s="23"/>
      <c r="Q271" s="21" t="str">
        <f aca="false">IF(OR(K271="",N271=""),"",K271-N271)</f>
        <v/>
      </c>
      <c r="R271" s="21" t="str">
        <f aca="false">IF(OR(J271="",K271=""),"",J271*K271)</f>
        <v/>
      </c>
      <c r="S271" s="21" t="str">
        <f aca="false">IF(AND(ISNUMBER(J271),ISNUMBER(K271),F271&lt;&gt;"Calentamiento",F271&lt;&gt;"Bilbo"),IF(AND(K271&gt;0,K271&lt;=12),ROUND(J271*(1+(K271+IF(ISNUMBER(L271),L271,0))/30),1),""),"")</f>
        <v/>
      </c>
      <c r="T271" s="21" t="str">
        <f aca="false">IF(AND(F271="Bilbo",ISNUMBER(J271),ISNUMBER(K271)),ROUND(J271*(1+K271/30),1),"")</f>
        <v/>
      </c>
      <c r="W271" s="22"/>
      <c r="X271" s="21" t="str">
        <f aca="false">IF(AND(F271="Bilbo",E271&lt;&gt;"",G271&lt;&gt;"",H271&lt;&gt;""),E271&amp;"|"&amp;G271&amp;"|"&amp;H271,"")</f>
        <v/>
      </c>
      <c r="Y271" s="21" t="str">
        <f aca="false">IF(B271="","",IF(B271&lt;&gt;B270,1,0))</f>
        <v/>
      </c>
    </row>
    <row r="272" customFormat="false" ht="15" hidden="false" customHeight="true" outlineLevel="0" collapsed="false">
      <c r="A272" s="21" t="str">
        <f aca="false">IF(B272="","",ROW()-4)</f>
        <v/>
      </c>
      <c r="B272" s="22"/>
      <c r="C272" s="21" t="str">
        <f aca="false">IF(B272="","",CHOOSE(WEEKDAY(B272,2),"LUNES","MARTES","MIÉRCOLES","JUEVES","VIERNES","SÁBADO","DOMINGO"))</f>
        <v/>
      </c>
      <c r="M272" s="23"/>
      <c r="Q272" s="21" t="str">
        <f aca="false">IF(OR(K272="",N272=""),"",K272-N272)</f>
        <v/>
      </c>
      <c r="R272" s="21" t="str">
        <f aca="false">IF(OR(J272="",K272=""),"",J272*K272)</f>
        <v/>
      </c>
      <c r="S272" s="21" t="str">
        <f aca="false">IF(AND(ISNUMBER(J272),ISNUMBER(K272),F272&lt;&gt;"Calentamiento",F272&lt;&gt;"Bilbo"),IF(AND(K272&gt;0,K272&lt;=12),ROUND(J272*(1+(K272+IF(ISNUMBER(L272),L272,0))/30),1),""),"")</f>
        <v/>
      </c>
      <c r="T272" s="21" t="str">
        <f aca="false">IF(AND(F272="Bilbo",ISNUMBER(J272),ISNUMBER(K272)),ROUND(J272*(1+K272/30),1),"")</f>
        <v/>
      </c>
      <c r="W272" s="22"/>
      <c r="X272" s="21" t="str">
        <f aca="false">IF(AND(F272="Bilbo",E272&lt;&gt;"",G272&lt;&gt;"",H272&lt;&gt;""),E272&amp;"|"&amp;G272&amp;"|"&amp;H272,"")</f>
        <v/>
      </c>
      <c r="Y272" s="21" t="str">
        <f aca="false">IF(B272="","",IF(B272&lt;&gt;B271,1,0))</f>
        <v/>
      </c>
    </row>
    <row r="273" customFormat="false" ht="15" hidden="false" customHeight="true" outlineLevel="0" collapsed="false">
      <c r="A273" s="21" t="str">
        <f aca="false">IF(B273="","",ROW()-4)</f>
        <v/>
      </c>
      <c r="B273" s="22"/>
      <c r="C273" s="21" t="str">
        <f aca="false">IF(B273="","",CHOOSE(WEEKDAY(B273,2),"LUNES","MARTES","MIÉRCOLES","JUEVES","VIERNES","SÁBADO","DOMINGO"))</f>
        <v/>
      </c>
      <c r="M273" s="23"/>
      <c r="Q273" s="21" t="str">
        <f aca="false">IF(OR(K273="",N273=""),"",K273-N273)</f>
        <v/>
      </c>
      <c r="R273" s="21" t="str">
        <f aca="false">IF(OR(J273="",K273=""),"",J273*K273)</f>
        <v/>
      </c>
      <c r="S273" s="21" t="str">
        <f aca="false">IF(AND(ISNUMBER(J273),ISNUMBER(K273),F273&lt;&gt;"Calentamiento",F273&lt;&gt;"Bilbo"),IF(AND(K273&gt;0,K273&lt;=12),ROUND(J273*(1+(K273+IF(ISNUMBER(L273),L273,0))/30),1),""),"")</f>
        <v/>
      </c>
      <c r="T273" s="21" t="str">
        <f aca="false">IF(AND(F273="Bilbo",ISNUMBER(J273),ISNUMBER(K273)),ROUND(J273*(1+K273/30),1),"")</f>
        <v/>
      </c>
      <c r="W273" s="22"/>
      <c r="X273" s="21" t="str">
        <f aca="false">IF(AND(F273="Bilbo",E273&lt;&gt;"",G273&lt;&gt;"",H273&lt;&gt;""),E273&amp;"|"&amp;G273&amp;"|"&amp;H273,"")</f>
        <v/>
      </c>
      <c r="Y273" s="21" t="str">
        <f aca="false">IF(B273="","",IF(B273&lt;&gt;B272,1,0))</f>
        <v/>
      </c>
    </row>
    <row r="274" customFormat="false" ht="15" hidden="false" customHeight="true" outlineLevel="0" collapsed="false">
      <c r="A274" s="21" t="str">
        <f aca="false">IF(B274="","",ROW()-4)</f>
        <v/>
      </c>
      <c r="B274" s="22"/>
      <c r="C274" s="21" t="str">
        <f aca="false">IF(B274="","",CHOOSE(WEEKDAY(B274,2),"LUNES","MARTES","MIÉRCOLES","JUEVES","VIERNES","SÁBADO","DOMINGO"))</f>
        <v/>
      </c>
      <c r="M274" s="23"/>
      <c r="Q274" s="21" t="str">
        <f aca="false">IF(OR(K274="",N274=""),"",K274-N274)</f>
        <v/>
      </c>
      <c r="R274" s="21" t="str">
        <f aca="false">IF(OR(J274="",K274=""),"",J274*K274)</f>
        <v/>
      </c>
      <c r="S274" s="21" t="str">
        <f aca="false">IF(AND(ISNUMBER(J274),ISNUMBER(K274),F274&lt;&gt;"Calentamiento",F274&lt;&gt;"Bilbo"),IF(AND(K274&gt;0,K274&lt;=12),ROUND(J274*(1+(K274+IF(ISNUMBER(L274),L274,0))/30),1),""),"")</f>
        <v/>
      </c>
      <c r="T274" s="21" t="str">
        <f aca="false">IF(AND(F274="Bilbo",ISNUMBER(J274),ISNUMBER(K274)),ROUND(J274*(1+K274/30),1),"")</f>
        <v/>
      </c>
      <c r="W274" s="22"/>
      <c r="X274" s="21" t="str">
        <f aca="false">IF(AND(F274="Bilbo",E274&lt;&gt;"",G274&lt;&gt;"",H274&lt;&gt;""),E274&amp;"|"&amp;G274&amp;"|"&amp;H274,"")</f>
        <v/>
      </c>
      <c r="Y274" s="21" t="str">
        <f aca="false">IF(B274="","",IF(B274&lt;&gt;B273,1,0))</f>
        <v/>
      </c>
    </row>
    <row r="275" customFormat="false" ht="15" hidden="false" customHeight="true" outlineLevel="0" collapsed="false">
      <c r="A275" s="21" t="str">
        <f aca="false">IF(B275="","",ROW()-4)</f>
        <v/>
      </c>
      <c r="B275" s="22"/>
      <c r="C275" s="21" t="str">
        <f aca="false">IF(B275="","",CHOOSE(WEEKDAY(B275,2),"LUNES","MARTES","MIÉRCOLES","JUEVES","VIERNES","SÁBADO","DOMINGO"))</f>
        <v/>
      </c>
      <c r="M275" s="23"/>
      <c r="Q275" s="21" t="str">
        <f aca="false">IF(OR(K275="",N275=""),"",K275-N275)</f>
        <v/>
      </c>
      <c r="R275" s="21" t="str">
        <f aca="false">IF(OR(J275="",K275=""),"",J275*K275)</f>
        <v/>
      </c>
      <c r="S275" s="21" t="str">
        <f aca="false">IF(AND(ISNUMBER(J275),ISNUMBER(K275),F275&lt;&gt;"Calentamiento",F275&lt;&gt;"Bilbo"),IF(AND(K275&gt;0,K275&lt;=12),ROUND(J275*(1+(K275+IF(ISNUMBER(L275),L275,0))/30),1),""),"")</f>
        <v/>
      </c>
      <c r="T275" s="21" t="str">
        <f aca="false">IF(AND(F275="Bilbo",ISNUMBER(J275),ISNUMBER(K275)),ROUND(J275*(1+K275/30),1),"")</f>
        <v/>
      </c>
      <c r="W275" s="22"/>
      <c r="X275" s="21" t="str">
        <f aca="false">IF(AND(F275="Bilbo",E275&lt;&gt;"",G275&lt;&gt;"",H275&lt;&gt;""),E275&amp;"|"&amp;G275&amp;"|"&amp;H275,"")</f>
        <v/>
      </c>
      <c r="Y275" s="21" t="str">
        <f aca="false">IF(B275="","",IF(B275&lt;&gt;B274,1,0))</f>
        <v/>
      </c>
    </row>
    <row r="276" customFormat="false" ht="15" hidden="false" customHeight="true" outlineLevel="0" collapsed="false">
      <c r="A276" s="21" t="str">
        <f aca="false">IF(B276="","",ROW()-4)</f>
        <v/>
      </c>
      <c r="B276" s="22"/>
      <c r="C276" s="21" t="str">
        <f aca="false">IF(B276="","",CHOOSE(WEEKDAY(B276,2),"LUNES","MARTES","MIÉRCOLES","JUEVES","VIERNES","SÁBADO","DOMINGO"))</f>
        <v/>
      </c>
      <c r="M276" s="23"/>
      <c r="Q276" s="21" t="str">
        <f aca="false">IF(OR(K276="",N276=""),"",K276-N276)</f>
        <v/>
      </c>
      <c r="R276" s="21" t="str">
        <f aca="false">IF(OR(J276="",K276=""),"",J276*K276)</f>
        <v/>
      </c>
      <c r="S276" s="21" t="str">
        <f aca="false">IF(AND(ISNUMBER(J276),ISNUMBER(K276),F276&lt;&gt;"Calentamiento",F276&lt;&gt;"Bilbo"),IF(AND(K276&gt;0,K276&lt;=12),ROUND(J276*(1+(K276+IF(ISNUMBER(L276),L276,0))/30),1),""),"")</f>
        <v/>
      </c>
      <c r="T276" s="21" t="str">
        <f aca="false">IF(AND(F276="Bilbo",ISNUMBER(J276),ISNUMBER(K276)),ROUND(J276*(1+K276/30),1),"")</f>
        <v/>
      </c>
      <c r="W276" s="22"/>
      <c r="X276" s="21" t="str">
        <f aca="false">IF(AND(F276="Bilbo",E276&lt;&gt;"",G276&lt;&gt;"",H276&lt;&gt;""),E276&amp;"|"&amp;G276&amp;"|"&amp;H276,"")</f>
        <v/>
      </c>
      <c r="Y276" s="21" t="str">
        <f aca="false">IF(B276="","",IF(B276&lt;&gt;B275,1,0))</f>
        <v/>
      </c>
    </row>
    <row r="277" customFormat="false" ht="15" hidden="false" customHeight="true" outlineLevel="0" collapsed="false">
      <c r="A277" s="21" t="str">
        <f aca="false">IF(B277="","",ROW()-4)</f>
        <v/>
      </c>
      <c r="B277" s="22"/>
      <c r="C277" s="21" t="str">
        <f aca="false">IF(B277="","",CHOOSE(WEEKDAY(B277,2),"LUNES","MARTES","MIÉRCOLES","JUEVES","VIERNES","SÁBADO","DOMINGO"))</f>
        <v/>
      </c>
      <c r="M277" s="23"/>
      <c r="Q277" s="21" t="str">
        <f aca="false">IF(OR(K277="",N277=""),"",K277-N277)</f>
        <v/>
      </c>
      <c r="R277" s="21" t="str">
        <f aca="false">IF(OR(J277="",K277=""),"",J277*K277)</f>
        <v/>
      </c>
      <c r="S277" s="21" t="str">
        <f aca="false">IF(AND(ISNUMBER(J277),ISNUMBER(K277),F277&lt;&gt;"Calentamiento",F277&lt;&gt;"Bilbo"),IF(AND(K277&gt;0,K277&lt;=12),ROUND(J277*(1+(K277+IF(ISNUMBER(L277),L277,0))/30),1),""),"")</f>
        <v/>
      </c>
      <c r="T277" s="21" t="str">
        <f aca="false">IF(AND(F277="Bilbo",ISNUMBER(J277),ISNUMBER(K277)),ROUND(J277*(1+K277/30),1),"")</f>
        <v/>
      </c>
      <c r="W277" s="22"/>
      <c r="X277" s="21" t="str">
        <f aca="false">IF(AND(F277="Bilbo",E277&lt;&gt;"",G277&lt;&gt;"",H277&lt;&gt;""),E277&amp;"|"&amp;G277&amp;"|"&amp;H277,"")</f>
        <v/>
      </c>
      <c r="Y277" s="21" t="str">
        <f aca="false">IF(B277="","",IF(B277&lt;&gt;B276,1,0))</f>
        <v/>
      </c>
    </row>
    <row r="278" customFormat="false" ht="15" hidden="false" customHeight="true" outlineLevel="0" collapsed="false">
      <c r="A278" s="21" t="str">
        <f aca="false">IF(B278="","",ROW()-4)</f>
        <v/>
      </c>
      <c r="B278" s="22"/>
      <c r="C278" s="21" t="str">
        <f aca="false">IF(B278="","",CHOOSE(WEEKDAY(B278,2),"LUNES","MARTES","MIÉRCOLES","JUEVES","VIERNES","SÁBADO","DOMINGO"))</f>
        <v/>
      </c>
      <c r="M278" s="23"/>
      <c r="Q278" s="21" t="str">
        <f aca="false">IF(OR(K278="",N278=""),"",K278-N278)</f>
        <v/>
      </c>
      <c r="R278" s="21" t="str">
        <f aca="false">IF(OR(J278="",K278=""),"",J278*K278)</f>
        <v/>
      </c>
      <c r="S278" s="21" t="str">
        <f aca="false">IF(AND(ISNUMBER(J278),ISNUMBER(K278),F278&lt;&gt;"Calentamiento",F278&lt;&gt;"Bilbo"),IF(AND(K278&gt;0,K278&lt;=12),ROUND(J278*(1+(K278+IF(ISNUMBER(L278),L278,0))/30),1),""),"")</f>
        <v/>
      </c>
      <c r="T278" s="21" t="str">
        <f aca="false">IF(AND(F278="Bilbo",ISNUMBER(J278),ISNUMBER(K278)),ROUND(J278*(1+K278/30),1),"")</f>
        <v/>
      </c>
      <c r="W278" s="22"/>
      <c r="X278" s="21" t="str">
        <f aca="false">IF(AND(F278="Bilbo",E278&lt;&gt;"",G278&lt;&gt;"",H278&lt;&gt;""),E278&amp;"|"&amp;G278&amp;"|"&amp;H278,"")</f>
        <v/>
      </c>
      <c r="Y278" s="21" t="str">
        <f aca="false">IF(B278="","",IF(B278&lt;&gt;B277,1,0))</f>
        <v/>
      </c>
    </row>
    <row r="279" customFormat="false" ht="15" hidden="false" customHeight="true" outlineLevel="0" collapsed="false">
      <c r="A279" s="21" t="str">
        <f aca="false">IF(B279="","",ROW()-4)</f>
        <v/>
      </c>
      <c r="B279" s="22"/>
      <c r="C279" s="21" t="str">
        <f aca="false">IF(B279="","",CHOOSE(WEEKDAY(B279,2),"LUNES","MARTES","MIÉRCOLES","JUEVES","VIERNES","SÁBADO","DOMINGO"))</f>
        <v/>
      </c>
      <c r="M279" s="23"/>
      <c r="Q279" s="21" t="str">
        <f aca="false">IF(OR(K279="",N279=""),"",K279-N279)</f>
        <v/>
      </c>
      <c r="R279" s="21" t="str">
        <f aca="false">IF(OR(J279="",K279=""),"",J279*K279)</f>
        <v/>
      </c>
      <c r="S279" s="21" t="str">
        <f aca="false">IF(AND(ISNUMBER(J279),ISNUMBER(K279),F279&lt;&gt;"Calentamiento",F279&lt;&gt;"Bilbo"),IF(AND(K279&gt;0,K279&lt;=12),ROUND(J279*(1+(K279+IF(ISNUMBER(L279),L279,0))/30),1),""),"")</f>
        <v/>
      </c>
      <c r="T279" s="21" t="str">
        <f aca="false">IF(AND(F279="Bilbo",ISNUMBER(J279),ISNUMBER(K279)),ROUND(J279*(1+K279/30),1),"")</f>
        <v/>
      </c>
      <c r="W279" s="22"/>
      <c r="X279" s="21" t="str">
        <f aca="false">IF(AND(F279="Bilbo",E279&lt;&gt;"",G279&lt;&gt;"",H279&lt;&gt;""),E279&amp;"|"&amp;G279&amp;"|"&amp;H279,"")</f>
        <v/>
      </c>
      <c r="Y279" s="21" t="str">
        <f aca="false">IF(B279="","",IF(B279&lt;&gt;B278,1,0))</f>
        <v/>
      </c>
    </row>
    <row r="280" customFormat="false" ht="15" hidden="false" customHeight="true" outlineLevel="0" collapsed="false">
      <c r="A280" s="21" t="str">
        <f aca="false">IF(B280="","",ROW()-4)</f>
        <v/>
      </c>
      <c r="B280" s="22"/>
      <c r="C280" s="21" t="str">
        <f aca="false">IF(B280="","",CHOOSE(WEEKDAY(B280,2),"LUNES","MARTES","MIÉRCOLES","JUEVES","VIERNES","SÁBADO","DOMINGO"))</f>
        <v/>
      </c>
      <c r="M280" s="23"/>
      <c r="Q280" s="21" t="str">
        <f aca="false">IF(OR(K280="",N280=""),"",K280-N280)</f>
        <v/>
      </c>
      <c r="R280" s="21" t="str">
        <f aca="false">IF(OR(J280="",K280=""),"",J280*K280)</f>
        <v/>
      </c>
      <c r="S280" s="21" t="str">
        <f aca="false">IF(AND(ISNUMBER(J280),ISNUMBER(K280),F280&lt;&gt;"Calentamiento",F280&lt;&gt;"Bilbo"),IF(AND(K280&gt;0,K280&lt;=12),ROUND(J280*(1+(K280+IF(ISNUMBER(L280),L280,0))/30),1),""),"")</f>
        <v/>
      </c>
      <c r="T280" s="21" t="str">
        <f aca="false">IF(AND(F280="Bilbo",ISNUMBER(J280),ISNUMBER(K280)),ROUND(J280*(1+K280/30),1),"")</f>
        <v/>
      </c>
      <c r="W280" s="22"/>
      <c r="X280" s="21" t="str">
        <f aca="false">IF(AND(F280="Bilbo",E280&lt;&gt;"",G280&lt;&gt;"",H280&lt;&gt;""),E280&amp;"|"&amp;G280&amp;"|"&amp;H280,"")</f>
        <v/>
      </c>
      <c r="Y280" s="21" t="str">
        <f aca="false">IF(B280="","",IF(B280&lt;&gt;B279,1,0))</f>
        <v/>
      </c>
    </row>
    <row r="281" customFormat="false" ht="15" hidden="false" customHeight="true" outlineLevel="0" collapsed="false">
      <c r="A281" s="21" t="str">
        <f aca="false">IF(B281="","",ROW()-4)</f>
        <v/>
      </c>
      <c r="B281" s="22"/>
      <c r="C281" s="21" t="str">
        <f aca="false">IF(B281="","",CHOOSE(WEEKDAY(B281,2),"LUNES","MARTES","MIÉRCOLES","JUEVES","VIERNES","SÁBADO","DOMINGO"))</f>
        <v/>
      </c>
      <c r="M281" s="23"/>
      <c r="Q281" s="21" t="str">
        <f aca="false">IF(OR(K281="",N281=""),"",K281-N281)</f>
        <v/>
      </c>
      <c r="R281" s="21" t="str">
        <f aca="false">IF(OR(J281="",K281=""),"",J281*K281)</f>
        <v/>
      </c>
      <c r="S281" s="21" t="str">
        <f aca="false">IF(AND(ISNUMBER(J281),ISNUMBER(K281),F281&lt;&gt;"Calentamiento",F281&lt;&gt;"Bilbo"),IF(AND(K281&gt;0,K281&lt;=12),ROUND(J281*(1+(K281+IF(ISNUMBER(L281),L281,0))/30),1),""),"")</f>
        <v/>
      </c>
      <c r="T281" s="21" t="str">
        <f aca="false">IF(AND(F281="Bilbo",ISNUMBER(J281),ISNUMBER(K281)),ROUND(J281*(1+K281/30),1),"")</f>
        <v/>
      </c>
      <c r="W281" s="22"/>
      <c r="X281" s="21" t="str">
        <f aca="false">IF(AND(F281="Bilbo",E281&lt;&gt;"",G281&lt;&gt;"",H281&lt;&gt;""),E281&amp;"|"&amp;G281&amp;"|"&amp;H281,"")</f>
        <v/>
      </c>
      <c r="Y281" s="21" t="str">
        <f aca="false">IF(B281="","",IF(B281&lt;&gt;B280,1,0))</f>
        <v/>
      </c>
    </row>
    <row r="282" customFormat="false" ht="15" hidden="false" customHeight="true" outlineLevel="0" collapsed="false">
      <c r="A282" s="21" t="str">
        <f aca="false">IF(B282="","",ROW()-4)</f>
        <v/>
      </c>
      <c r="B282" s="22"/>
      <c r="C282" s="21" t="str">
        <f aca="false">IF(B282="","",CHOOSE(WEEKDAY(B282,2),"LUNES","MARTES","MIÉRCOLES","JUEVES","VIERNES","SÁBADO","DOMINGO"))</f>
        <v/>
      </c>
      <c r="M282" s="23"/>
      <c r="Q282" s="21" t="str">
        <f aca="false">IF(OR(K282="",N282=""),"",K282-N282)</f>
        <v/>
      </c>
      <c r="R282" s="21" t="str">
        <f aca="false">IF(OR(J282="",K282=""),"",J282*K282)</f>
        <v/>
      </c>
      <c r="S282" s="21" t="str">
        <f aca="false">IF(AND(ISNUMBER(J282),ISNUMBER(K282),F282&lt;&gt;"Calentamiento",F282&lt;&gt;"Bilbo"),IF(AND(K282&gt;0,K282&lt;=12),ROUND(J282*(1+(K282+IF(ISNUMBER(L282),L282,0))/30),1),""),"")</f>
        <v/>
      </c>
      <c r="T282" s="21" t="str">
        <f aca="false">IF(AND(F282="Bilbo",ISNUMBER(J282),ISNUMBER(K282)),ROUND(J282*(1+K282/30),1),"")</f>
        <v/>
      </c>
      <c r="W282" s="22"/>
      <c r="X282" s="21" t="str">
        <f aca="false">IF(AND(F282="Bilbo",E282&lt;&gt;"",G282&lt;&gt;"",H282&lt;&gt;""),E282&amp;"|"&amp;G282&amp;"|"&amp;H282,"")</f>
        <v/>
      </c>
      <c r="Y282" s="21" t="str">
        <f aca="false">IF(B282="","",IF(B282&lt;&gt;B281,1,0))</f>
        <v/>
      </c>
    </row>
    <row r="283" customFormat="false" ht="15" hidden="false" customHeight="true" outlineLevel="0" collapsed="false">
      <c r="A283" s="21" t="str">
        <f aca="false">IF(B283="","",ROW()-4)</f>
        <v/>
      </c>
      <c r="B283" s="22"/>
      <c r="C283" s="21" t="str">
        <f aca="false">IF(B283="","",CHOOSE(WEEKDAY(B283,2),"LUNES","MARTES","MIÉRCOLES","JUEVES","VIERNES","SÁBADO","DOMINGO"))</f>
        <v/>
      </c>
      <c r="M283" s="23"/>
      <c r="Q283" s="21" t="str">
        <f aca="false">IF(OR(K283="",N283=""),"",K283-N283)</f>
        <v/>
      </c>
      <c r="R283" s="21" t="str">
        <f aca="false">IF(OR(J283="",K283=""),"",J283*K283)</f>
        <v/>
      </c>
      <c r="S283" s="21" t="str">
        <f aca="false">IF(AND(ISNUMBER(J283),ISNUMBER(K283),F283&lt;&gt;"Calentamiento",F283&lt;&gt;"Bilbo"),IF(AND(K283&gt;0,K283&lt;=12),ROUND(J283*(1+(K283+IF(ISNUMBER(L283),L283,0))/30),1),""),"")</f>
        <v/>
      </c>
      <c r="T283" s="21" t="str">
        <f aca="false">IF(AND(F283="Bilbo",ISNUMBER(J283),ISNUMBER(K283)),ROUND(J283*(1+K283/30),1),"")</f>
        <v/>
      </c>
      <c r="W283" s="22"/>
      <c r="X283" s="21" t="str">
        <f aca="false">IF(AND(F283="Bilbo",E283&lt;&gt;"",G283&lt;&gt;"",H283&lt;&gt;""),E283&amp;"|"&amp;G283&amp;"|"&amp;H283,"")</f>
        <v/>
      </c>
      <c r="Y283" s="21" t="str">
        <f aca="false">IF(B283="","",IF(B283&lt;&gt;B282,1,0))</f>
        <v/>
      </c>
    </row>
    <row r="284" customFormat="false" ht="15" hidden="false" customHeight="true" outlineLevel="0" collapsed="false">
      <c r="A284" s="21" t="str">
        <f aca="false">IF(B284="","",ROW()-4)</f>
        <v/>
      </c>
      <c r="B284" s="22"/>
      <c r="C284" s="21" t="str">
        <f aca="false">IF(B284="","",CHOOSE(WEEKDAY(B284,2),"LUNES","MARTES","MIÉRCOLES","JUEVES","VIERNES","SÁBADO","DOMINGO"))</f>
        <v/>
      </c>
      <c r="M284" s="23"/>
      <c r="Q284" s="21" t="str">
        <f aca="false">IF(OR(K284="",N284=""),"",K284-N284)</f>
        <v/>
      </c>
      <c r="R284" s="21" t="str">
        <f aca="false">IF(OR(J284="",K284=""),"",J284*K284)</f>
        <v/>
      </c>
      <c r="S284" s="21" t="str">
        <f aca="false">IF(AND(ISNUMBER(J284),ISNUMBER(K284),F284&lt;&gt;"Calentamiento",F284&lt;&gt;"Bilbo"),IF(AND(K284&gt;0,K284&lt;=12),ROUND(J284*(1+(K284+IF(ISNUMBER(L284),L284,0))/30),1),""),"")</f>
        <v/>
      </c>
      <c r="T284" s="21" t="str">
        <f aca="false">IF(AND(F284="Bilbo",ISNUMBER(J284),ISNUMBER(K284)),ROUND(J284*(1+K284/30),1),"")</f>
        <v/>
      </c>
      <c r="W284" s="22"/>
      <c r="X284" s="21" t="str">
        <f aca="false">IF(AND(F284="Bilbo",E284&lt;&gt;"",G284&lt;&gt;"",H284&lt;&gt;""),E284&amp;"|"&amp;G284&amp;"|"&amp;H284,"")</f>
        <v/>
      </c>
      <c r="Y284" s="21" t="str">
        <f aca="false">IF(B284="","",IF(B284&lt;&gt;B283,1,0))</f>
        <v/>
      </c>
    </row>
    <row r="285" customFormat="false" ht="15" hidden="false" customHeight="true" outlineLevel="0" collapsed="false">
      <c r="A285" s="21" t="str">
        <f aca="false">IF(B285="","",ROW()-4)</f>
        <v/>
      </c>
      <c r="B285" s="22"/>
      <c r="C285" s="21" t="str">
        <f aca="false">IF(B285="","",CHOOSE(WEEKDAY(B285,2),"LUNES","MARTES","MIÉRCOLES","JUEVES","VIERNES","SÁBADO","DOMINGO"))</f>
        <v/>
      </c>
      <c r="M285" s="23"/>
      <c r="Q285" s="21" t="str">
        <f aca="false">IF(OR(K285="",N285=""),"",K285-N285)</f>
        <v/>
      </c>
      <c r="R285" s="21" t="str">
        <f aca="false">IF(OR(J285="",K285=""),"",J285*K285)</f>
        <v/>
      </c>
      <c r="S285" s="21" t="str">
        <f aca="false">IF(AND(ISNUMBER(J285),ISNUMBER(K285),F285&lt;&gt;"Calentamiento",F285&lt;&gt;"Bilbo"),IF(AND(K285&gt;0,K285&lt;=12),ROUND(J285*(1+(K285+IF(ISNUMBER(L285),L285,0))/30),1),""),"")</f>
        <v/>
      </c>
      <c r="T285" s="21" t="str">
        <f aca="false">IF(AND(F285="Bilbo",ISNUMBER(J285),ISNUMBER(K285)),ROUND(J285*(1+K285/30),1),"")</f>
        <v/>
      </c>
      <c r="W285" s="22"/>
      <c r="X285" s="21" t="str">
        <f aca="false">IF(AND(F285="Bilbo",E285&lt;&gt;"",G285&lt;&gt;"",H285&lt;&gt;""),E285&amp;"|"&amp;G285&amp;"|"&amp;H285,"")</f>
        <v/>
      </c>
      <c r="Y285" s="21" t="str">
        <f aca="false">IF(B285="","",IF(B285&lt;&gt;B284,1,0))</f>
        <v/>
      </c>
    </row>
    <row r="286" customFormat="false" ht="15" hidden="false" customHeight="true" outlineLevel="0" collapsed="false">
      <c r="A286" s="21" t="str">
        <f aca="false">IF(B286="","",ROW()-4)</f>
        <v/>
      </c>
      <c r="B286" s="22"/>
      <c r="C286" s="21" t="str">
        <f aca="false">IF(B286="","",CHOOSE(WEEKDAY(B286,2),"LUNES","MARTES","MIÉRCOLES","JUEVES","VIERNES","SÁBADO","DOMINGO"))</f>
        <v/>
      </c>
      <c r="M286" s="23"/>
      <c r="Q286" s="21" t="str">
        <f aca="false">IF(OR(K286="",N286=""),"",K286-N286)</f>
        <v/>
      </c>
      <c r="R286" s="21" t="str">
        <f aca="false">IF(OR(J286="",K286=""),"",J286*K286)</f>
        <v/>
      </c>
      <c r="S286" s="21" t="str">
        <f aca="false">IF(AND(ISNUMBER(J286),ISNUMBER(K286),F286&lt;&gt;"Calentamiento",F286&lt;&gt;"Bilbo"),IF(AND(K286&gt;0,K286&lt;=12),ROUND(J286*(1+(K286+IF(ISNUMBER(L286),L286,0))/30),1),""),"")</f>
        <v/>
      </c>
      <c r="T286" s="21" t="str">
        <f aca="false">IF(AND(F286="Bilbo",ISNUMBER(J286),ISNUMBER(K286)),ROUND(J286*(1+K286/30),1),"")</f>
        <v/>
      </c>
      <c r="W286" s="22"/>
      <c r="X286" s="21" t="str">
        <f aca="false">IF(AND(F286="Bilbo",E286&lt;&gt;"",G286&lt;&gt;"",H286&lt;&gt;""),E286&amp;"|"&amp;G286&amp;"|"&amp;H286,"")</f>
        <v/>
      </c>
      <c r="Y286" s="21" t="str">
        <f aca="false">IF(B286="","",IF(B286&lt;&gt;B285,1,0))</f>
        <v/>
      </c>
    </row>
    <row r="287" customFormat="false" ht="15" hidden="false" customHeight="true" outlineLevel="0" collapsed="false">
      <c r="A287" s="21" t="str">
        <f aca="false">IF(B287="","",ROW()-4)</f>
        <v/>
      </c>
      <c r="B287" s="22"/>
      <c r="C287" s="21" t="str">
        <f aca="false">IF(B287="","",CHOOSE(WEEKDAY(B287,2),"LUNES","MARTES","MIÉRCOLES","JUEVES","VIERNES","SÁBADO","DOMINGO"))</f>
        <v/>
      </c>
      <c r="M287" s="23"/>
      <c r="Q287" s="21" t="str">
        <f aca="false">IF(OR(K287="",N287=""),"",K287-N287)</f>
        <v/>
      </c>
      <c r="R287" s="21" t="str">
        <f aca="false">IF(OR(J287="",K287=""),"",J287*K287)</f>
        <v/>
      </c>
      <c r="S287" s="21" t="str">
        <f aca="false">IF(AND(ISNUMBER(J287),ISNUMBER(K287),F287&lt;&gt;"Calentamiento",F287&lt;&gt;"Bilbo"),IF(AND(K287&gt;0,K287&lt;=12),ROUND(J287*(1+(K287+IF(ISNUMBER(L287),L287,0))/30),1),""),"")</f>
        <v/>
      </c>
      <c r="T287" s="21" t="str">
        <f aca="false">IF(AND(F287="Bilbo",ISNUMBER(J287),ISNUMBER(K287)),ROUND(J287*(1+K287/30),1),"")</f>
        <v/>
      </c>
      <c r="W287" s="22"/>
      <c r="X287" s="21" t="str">
        <f aca="false">IF(AND(F287="Bilbo",E287&lt;&gt;"",G287&lt;&gt;"",H287&lt;&gt;""),E287&amp;"|"&amp;G287&amp;"|"&amp;H287,"")</f>
        <v/>
      </c>
      <c r="Y287" s="21" t="str">
        <f aca="false">IF(B287="","",IF(B287&lt;&gt;B286,1,0))</f>
        <v/>
      </c>
    </row>
    <row r="288" customFormat="false" ht="15" hidden="false" customHeight="true" outlineLevel="0" collapsed="false">
      <c r="A288" s="21" t="str">
        <f aca="false">IF(B288="","",ROW()-4)</f>
        <v/>
      </c>
      <c r="B288" s="22"/>
      <c r="C288" s="21" t="str">
        <f aca="false">IF(B288="","",CHOOSE(WEEKDAY(B288,2),"LUNES","MARTES","MIÉRCOLES","JUEVES","VIERNES","SÁBADO","DOMINGO"))</f>
        <v/>
      </c>
      <c r="M288" s="23"/>
      <c r="Q288" s="21" t="str">
        <f aca="false">IF(OR(K288="",N288=""),"",K288-N288)</f>
        <v/>
      </c>
      <c r="R288" s="21" t="str">
        <f aca="false">IF(OR(J288="",K288=""),"",J288*K288)</f>
        <v/>
      </c>
      <c r="S288" s="21" t="str">
        <f aca="false">IF(AND(ISNUMBER(J288),ISNUMBER(K288),F288&lt;&gt;"Calentamiento",F288&lt;&gt;"Bilbo"),IF(AND(K288&gt;0,K288&lt;=12),ROUND(J288*(1+(K288+IF(ISNUMBER(L288),L288,0))/30),1),""),"")</f>
        <v/>
      </c>
      <c r="T288" s="21" t="str">
        <f aca="false">IF(AND(F288="Bilbo",ISNUMBER(J288),ISNUMBER(K288)),ROUND(J288*(1+K288/30),1),"")</f>
        <v/>
      </c>
      <c r="W288" s="22"/>
      <c r="X288" s="21" t="str">
        <f aca="false">IF(AND(F288="Bilbo",E288&lt;&gt;"",G288&lt;&gt;"",H288&lt;&gt;""),E288&amp;"|"&amp;G288&amp;"|"&amp;H288,"")</f>
        <v/>
      </c>
      <c r="Y288" s="21" t="str">
        <f aca="false">IF(B288="","",IF(B288&lt;&gt;B287,1,0))</f>
        <v/>
      </c>
    </row>
    <row r="289" customFormat="false" ht="15" hidden="false" customHeight="true" outlineLevel="0" collapsed="false">
      <c r="A289" s="21" t="str">
        <f aca="false">IF(B289="","",ROW()-4)</f>
        <v/>
      </c>
      <c r="B289" s="22"/>
      <c r="C289" s="21" t="str">
        <f aca="false">IF(B289="","",CHOOSE(WEEKDAY(B289,2),"LUNES","MARTES","MIÉRCOLES","JUEVES","VIERNES","SÁBADO","DOMINGO"))</f>
        <v/>
      </c>
      <c r="M289" s="23"/>
      <c r="Q289" s="21" t="str">
        <f aca="false">IF(OR(K289="",N289=""),"",K289-N289)</f>
        <v/>
      </c>
      <c r="R289" s="21" t="str">
        <f aca="false">IF(OR(J289="",K289=""),"",J289*K289)</f>
        <v/>
      </c>
      <c r="S289" s="21" t="str">
        <f aca="false">IF(AND(ISNUMBER(J289),ISNUMBER(K289),F289&lt;&gt;"Calentamiento",F289&lt;&gt;"Bilbo"),IF(AND(K289&gt;0,K289&lt;=12),ROUND(J289*(1+(K289+IF(ISNUMBER(L289),L289,0))/30),1),""),"")</f>
        <v/>
      </c>
      <c r="T289" s="21" t="str">
        <f aca="false">IF(AND(F289="Bilbo",ISNUMBER(J289),ISNUMBER(K289)),ROUND(J289*(1+K289/30),1),"")</f>
        <v/>
      </c>
      <c r="W289" s="22"/>
      <c r="X289" s="21" t="str">
        <f aca="false">IF(AND(F289="Bilbo",E289&lt;&gt;"",G289&lt;&gt;"",H289&lt;&gt;""),E289&amp;"|"&amp;G289&amp;"|"&amp;H289,"")</f>
        <v/>
      </c>
      <c r="Y289" s="21" t="str">
        <f aca="false">IF(B289="","",IF(B289&lt;&gt;B288,1,0))</f>
        <v/>
      </c>
    </row>
    <row r="290" customFormat="false" ht="15" hidden="false" customHeight="true" outlineLevel="0" collapsed="false">
      <c r="A290" s="21" t="str">
        <f aca="false">IF(B290="","",ROW()-4)</f>
        <v/>
      </c>
      <c r="B290" s="22"/>
      <c r="C290" s="21" t="str">
        <f aca="false">IF(B290="","",CHOOSE(WEEKDAY(B290,2),"LUNES","MARTES","MIÉRCOLES","JUEVES","VIERNES","SÁBADO","DOMINGO"))</f>
        <v/>
      </c>
      <c r="M290" s="23"/>
      <c r="Q290" s="21" t="str">
        <f aca="false">IF(OR(K290="",N290=""),"",K290-N290)</f>
        <v/>
      </c>
      <c r="R290" s="21" t="str">
        <f aca="false">IF(OR(J290="",K290=""),"",J290*K290)</f>
        <v/>
      </c>
      <c r="S290" s="21" t="str">
        <f aca="false">IF(AND(ISNUMBER(J290),ISNUMBER(K290),F290&lt;&gt;"Calentamiento",F290&lt;&gt;"Bilbo"),IF(AND(K290&gt;0,K290&lt;=12),ROUND(J290*(1+(K290+IF(ISNUMBER(L290),L290,0))/30),1),""),"")</f>
        <v/>
      </c>
      <c r="T290" s="21" t="str">
        <f aca="false">IF(AND(F290="Bilbo",ISNUMBER(J290),ISNUMBER(K290)),ROUND(J290*(1+K290/30),1),"")</f>
        <v/>
      </c>
      <c r="W290" s="22"/>
      <c r="X290" s="21" t="str">
        <f aca="false">IF(AND(F290="Bilbo",E290&lt;&gt;"",G290&lt;&gt;"",H290&lt;&gt;""),E290&amp;"|"&amp;G290&amp;"|"&amp;H290,"")</f>
        <v/>
      </c>
      <c r="Y290" s="21" t="str">
        <f aca="false">IF(B290="","",IF(B290&lt;&gt;B289,1,0))</f>
        <v/>
      </c>
    </row>
    <row r="291" customFormat="false" ht="15" hidden="false" customHeight="true" outlineLevel="0" collapsed="false">
      <c r="A291" s="21" t="str">
        <f aca="false">IF(B291="","",ROW()-4)</f>
        <v/>
      </c>
      <c r="B291" s="22"/>
      <c r="C291" s="21" t="str">
        <f aca="false">IF(B291="","",CHOOSE(WEEKDAY(B291,2),"LUNES","MARTES","MIÉRCOLES","JUEVES","VIERNES","SÁBADO","DOMINGO"))</f>
        <v/>
      </c>
      <c r="M291" s="23"/>
      <c r="Q291" s="21" t="str">
        <f aca="false">IF(OR(K291="",N291=""),"",K291-N291)</f>
        <v/>
      </c>
      <c r="R291" s="21" t="str">
        <f aca="false">IF(OR(J291="",K291=""),"",J291*K291)</f>
        <v/>
      </c>
      <c r="S291" s="21" t="str">
        <f aca="false">IF(AND(ISNUMBER(J291),ISNUMBER(K291),F291&lt;&gt;"Calentamiento",F291&lt;&gt;"Bilbo"),IF(AND(K291&gt;0,K291&lt;=12),ROUND(J291*(1+(K291+IF(ISNUMBER(L291),L291,0))/30),1),""),"")</f>
        <v/>
      </c>
      <c r="T291" s="21" t="str">
        <f aca="false">IF(AND(F291="Bilbo",ISNUMBER(J291),ISNUMBER(K291)),ROUND(J291*(1+K291/30),1),"")</f>
        <v/>
      </c>
      <c r="W291" s="22"/>
      <c r="X291" s="21" t="str">
        <f aca="false">IF(AND(F291="Bilbo",E291&lt;&gt;"",G291&lt;&gt;"",H291&lt;&gt;""),E291&amp;"|"&amp;G291&amp;"|"&amp;H291,"")</f>
        <v/>
      </c>
      <c r="Y291" s="21" t="str">
        <f aca="false">IF(B291="","",IF(B291&lt;&gt;B290,1,0))</f>
        <v/>
      </c>
    </row>
    <row r="292" customFormat="false" ht="15" hidden="false" customHeight="true" outlineLevel="0" collapsed="false">
      <c r="A292" s="21" t="str">
        <f aca="false">IF(B292="","",ROW()-4)</f>
        <v/>
      </c>
      <c r="B292" s="22"/>
      <c r="C292" s="21" t="str">
        <f aca="false">IF(B292="","",CHOOSE(WEEKDAY(B292,2),"LUNES","MARTES","MIÉRCOLES","JUEVES","VIERNES","SÁBADO","DOMINGO"))</f>
        <v/>
      </c>
      <c r="M292" s="23"/>
      <c r="Q292" s="21" t="str">
        <f aca="false">IF(OR(K292="",N292=""),"",K292-N292)</f>
        <v/>
      </c>
      <c r="R292" s="21" t="str">
        <f aca="false">IF(OR(J292="",K292=""),"",J292*K292)</f>
        <v/>
      </c>
      <c r="S292" s="21" t="str">
        <f aca="false">IF(AND(ISNUMBER(J292),ISNUMBER(K292),F292&lt;&gt;"Calentamiento",F292&lt;&gt;"Bilbo"),IF(AND(K292&gt;0,K292&lt;=12),ROUND(J292*(1+(K292+IF(ISNUMBER(L292),L292,0))/30),1),""),"")</f>
        <v/>
      </c>
      <c r="T292" s="21" t="str">
        <f aca="false">IF(AND(F292="Bilbo",ISNUMBER(J292),ISNUMBER(K292)),ROUND(J292*(1+K292/30),1),"")</f>
        <v/>
      </c>
      <c r="W292" s="22"/>
      <c r="X292" s="21" t="str">
        <f aca="false">IF(AND(F292="Bilbo",E292&lt;&gt;"",G292&lt;&gt;"",H292&lt;&gt;""),E292&amp;"|"&amp;G292&amp;"|"&amp;H292,"")</f>
        <v/>
      </c>
      <c r="Y292" s="21" t="str">
        <f aca="false">IF(B292="","",IF(B292&lt;&gt;B291,1,0))</f>
        <v/>
      </c>
    </row>
    <row r="293" customFormat="false" ht="15" hidden="false" customHeight="true" outlineLevel="0" collapsed="false">
      <c r="A293" s="21" t="str">
        <f aca="false">IF(B293="","",ROW()-4)</f>
        <v/>
      </c>
      <c r="B293" s="22"/>
      <c r="C293" s="21" t="str">
        <f aca="false">IF(B293="","",CHOOSE(WEEKDAY(B293,2),"LUNES","MARTES","MIÉRCOLES","JUEVES","VIERNES","SÁBADO","DOMINGO"))</f>
        <v/>
      </c>
      <c r="M293" s="23"/>
      <c r="Q293" s="21" t="str">
        <f aca="false">IF(OR(K293="",N293=""),"",K293-N293)</f>
        <v/>
      </c>
      <c r="R293" s="21" t="str">
        <f aca="false">IF(OR(J293="",K293=""),"",J293*K293)</f>
        <v/>
      </c>
      <c r="S293" s="21" t="str">
        <f aca="false">IF(AND(ISNUMBER(J293),ISNUMBER(K293),F293&lt;&gt;"Calentamiento",F293&lt;&gt;"Bilbo"),IF(AND(K293&gt;0,K293&lt;=12),ROUND(J293*(1+(K293+IF(ISNUMBER(L293),L293,0))/30),1),""),"")</f>
        <v/>
      </c>
      <c r="T293" s="21" t="str">
        <f aca="false">IF(AND(F293="Bilbo",ISNUMBER(J293),ISNUMBER(K293)),ROUND(J293*(1+K293/30),1),"")</f>
        <v/>
      </c>
      <c r="W293" s="22"/>
      <c r="X293" s="21" t="str">
        <f aca="false">IF(AND(F293="Bilbo",E293&lt;&gt;"",G293&lt;&gt;"",H293&lt;&gt;""),E293&amp;"|"&amp;G293&amp;"|"&amp;H293,"")</f>
        <v/>
      </c>
      <c r="Y293" s="21" t="str">
        <f aca="false">IF(B293="","",IF(B293&lt;&gt;B292,1,0))</f>
        <v/>
      </c>
    </row>
    <row r="294" customFormat="false" ht="15" hidden="false" customHeight="true" outlineLevel="0" collapsed="false">
      <c r="A294" s="21" t="str">
        <f aca="false">IF(B294="","",ROW()-4)</f>
        <v/>
      </c>
      <c r="B294" s="22"/>
      <c r="C294" s="21" t="str">
        <f aca="false">IF(B294="","",CHOOSE(WEEKDAY(B294,2),"LUNES","MARTES","MIÉRCOLES","JUEVES","VIERNES","SÁBADO","DOMINGO"))</f>
        <v/>
      </c>
      <c r="M294" s="23"/>
      <c r="Q294" s="21" t="str">
        <f aca="false">IF(OR(K294="",N294=""),"",K294-N294)</f>
        <v/>
      </c>
      <c r="R294" s="21" t="str">
        <f aca="false">IF(OR(J294="",K294=""),"",J294*K294)</f>
        <v/>
      </c>
      <c r="S294" s="21" t="str">
        <f aca="false">IF(AND(ISNUMBER(J294),ISNUMBER(K294),F294&lt;&gt;"Calentamiento",F294&lt;&gt;"Bilbo"),IF(AND(K294&gt;0,K294&lt;=12),ROUND(J294*(1+(K294+IF(ISNUMBER(L294),L294,0))/30),1),""),"")</f>
        <v/>
      </c>
      <c r="T294" s="21" t="str">
        <f aca="false">IF(AND(F294="Bilbo",ISNUMBER(J294),ISNUMBER(K294)),ROUND(J294*(1+K294/30),1),"")</f>
        <v/>
      </c>
      <c r="W294" s="22"/>
      <c r="X294" s="21" t="str">
        <f aca="false">IF(AND(F294="Bilbo",E294&lt;&gt;"",G294&lt;&gt;"",H294&lt;&gt;""),E294&amp;"|"&amp;G294&amp;"|"&amp;H294,"")</f>
        <v/>
      </c>
      <c r="Y294" s="21" t="str">
        <f aca="false">IF(B294="","",IF(B294&lt;&gt;B293,1,0))</f>
        <v/>
      </c>
    </row>
    <row r="295" customFormat="false" ht="15" hidden="false" customHeight="true" outlineLevel="0" collapsed="false">
      <c r="A295" s="21" t="str">
        <f aca="false">IF(B295="","",ROW()-4)</f>
        <v/>
      </c>
      <c r="B295" s="22"/>
      <c r="C295" s="21" t="str">
        <f aca="false">IF(B295="","",CHOOSE(WEEKDAY(B295,2),"LUNES","MARTES","MIÉRCOLES","JUEVES","VIERNES","SÁBADO","DOMINGO"))</f>
        <v/>
      </c>
      <c r="M295" s="23"/>
      <c r="Q295" s="21" t="str">
        <f aca="false">IF(OR(K295="",N295=""),"",K295-N295)</f>
        <v/>
      </c>
      <c r="R295" s="21" t="str">
        <f aca="false">IF(OR(J295="",K295=""),"",J295*K295)</f>
        <v/>
      </c>
      <c r="S295" s="21" t="str">
        <f aca="false">IF(AND(ISNUMBER(J295),ISNUMBER(K295),F295&lt;&gt;"Calentamiento",F295&lt;&gt;"Bilbo"),IF(AND(K295&gt;0,K295&lt;=12),ROUND(J295*(1+(K295+IF(ISNUMBER(L295),L295,0))/30),1),""),"")</f>
        <v/>
      </c>
      <c r="T295" s="21" t="str">
        <f aca="false">IF(AND(F295="Bilbo",ISNUMBER(J295),ISNUMBER(K295)),ROUND(J295*(1+K295/30),1),"")</f>
        <v/>
      </c>
      <c r="W295" s="22"/>
      <c r="X295" s="21" t="str">
        <f aca="false">IF(AND(F295="Bilbo",E295&lt;&gt;"",G295&lt;&gt;"",H295&lt;&gt;""),E295&amp;"|"&amp;G295&amp;"|"&amp;H295,"")</f>
        <v/>
      </c>
      <c r="Y295" s="21" t="str">
        <f aca="false">IF(B295="","",IF(B295&lt;&gt;B294,1,0))</f>
        <v/>
      </c>
    </row>
    <row r="296" customFormat="false" ht="15" hidden="false" customHeight="true" outlineLevel="0" collapsed="false">
      <c r="A296" s="21" t="str">
        <f aca="false">IF(B296="","",ROW()-4)</f>
        <v/>
      </c>
      <c r="B296" s="22"/>
      <c r="C296" s="21" t="str">
        <f aca="false">IF(B296="","",CHOOSE(WEEKDAY(B296,2),"LUNES","MARTES","MIÉRCOLES","JUEVES","VIERNES","SÁBADO","DOMINGO"))</f>
        <v/>
      </c>
      <c r="M296" s="23"/>
      <c r="Q296" s="21" t="str">
        <f aca="false">IF(OR(K296="",N296=""),"",K296-N296)</f>
        <v/>
      </c>
      <c r="R296" s="21" t="str">
        <f aca="false">IF(OR(J296="",K296=""),"",J296*K296)</f>
        <v/>
      </c>
      <c r="S296" s="21" t="str">
        <f aca="false">IF(AND(ISNUMBER(J296),ISNUMBER(K296),F296&lt;&gt;"Calentamiento",F296&lt;&gt;"Bilbo"),IF(AND(K296&gt;0,K296&lt;=12),ROUND(J296*(1+(K296+IF(ISNUMBER(L296),L296,0))/30),1),""),"")</f>
        <v/>
      </c>
      <c r="T296" s="21" t="str">
        <f aca="false">IF(AND(F296="Bilbo",ISNUMBER(J296),ISNUMBER(K296)),ROUND(J296*(1+K296/30),1),"")</f>
        <v/>
      </c>
      <c r="W296" s="22"/>
      <c r="X296" s="21" t="str">
        <f aca="false">IF(AND(F296="Bilbo",E296&lt;&gt;"",G296&lt;&gt;"",H296&lt;&gt;""),E296&amp;"|"&amp;G296&amp;"|"&amp;H296,"")</f>
        <v/>
      </c>
      <c r="Y296" s="21" t="str">
        <f aca="false">IF(B296="","",IF(B296&lt;&gt;B295,1,0))</f>
        <v/>
      </c>
    </row>
    <row r="297" customFormat="false" ht="15" hidden="false" customHeight="true" outlineLevel="0" collapsed="false">
      <c r="A297" s="21" t="str">
        <f aca="false">IF(B297="","",ROW()-4)</f>
        <v/>
      </c>
      <c r="B297" s="22"/>
      <c r="C297" s="21" t="str">
        <f aca="false">IF(B297="","",CHOOSE(WEEKDAY(B297,2),"LUNES","MARTES","MIÉRCOLES","JUEVES","VIERNES","SÁBADO","DOMINGO"))</f>
        <v/>
      </c>
      <c r="M297" s="23"/>
      <c r="Q297" s="21" t="str">
        <f aca="false">IF(OR(K297="",N297=""),"",K297-N297)</f>
        <v/>
      </c>
      <c r="R297" s="21" t="str">
        <f aca="false">IF(OR(J297="",K297=""),"",J297*K297)</f>
        <v/>
      </c>
      <c r="S297" s="21" t="str">
        <f aca="false">IF(AND(ISNUMBER(J297),ISNUMBER(K297),F297&lt;&gt;"Calentamiento",F297&lt;&gt;"Bilbo"),IF(AND(K297&gt;0,K297&lt;=12),ROUND(J297*(1+(K297+IF(ISNUMBER(L297),L297,0))/30),1),""),"")</f>
        <v/>
      </c>
      <c r="T297" s="21" t="str">
        <f aca="false">IF(AND(F297="Bilbo",ISNUMBER(J297),ISNUMBER(K297)),ROUND(J297*(1+K297/30),1),"")</f>
        <v/>
      </c>
      <c r="W297" s="22"/>
      <c r="X297" s="21" t="str">
        <f aca="false">IF(AND(F297="Bilbo",E297&lt;&gt;"",G297&lt;&gt;"",H297&lt;&gt;""),E297&amp;"|"&amp;G297&amp;"|"&amp;H297,"")</f>
        <v/>
      </c>
      <c r="Y297" s="21" t="str">
        <f aca="false">IF(B297="","",IF(B297&lt;&gt;B296,1,0))</f>
        <v/>
      </c>
    </row>
    <row r="298" customFormat="false" ht="15" hidden="false" customHeight="true" outlineLevel="0" collapsed="false">
      <c r="A298" s="21" t="str">
        <f aca="false">IF(B298="","",ROW()-4)</f>
        <v/>
      </c>
      <c r="B298" s="22"/>
      <c r="C298" s="21" t="str">
        <f aca="false">IF(B298="","",CHOOSE(WEEKDAY(B298,2),"LUNES","MARTES","MIÉRCOLES","JUEVES","VIERNES","SÁBADO","DOMINGO"))</f>
        <v/>
      </c>
      <c r="M298" s="23"/>
      <c r="Q298" s="21" t="str">
        <f aca="false">IF(OR(K298="",N298=""),"",K298-N298)</f>
        <v/>
      </c>
      <c r="R298" s="21" t="str">
        <f aca="false">IF(OR(J298="",K298=""),"",J298*K298)</f>
        <v/>
      </c>
      <c r="S298" s="21" t="str">
        <f aca="false">IF(AND(ISNUMBER(J298),ISNUMBER(K298),F298&lt;&gt;"Calentamiento",F298&lt;&gt;"Bilbo"),IF(AND(K298&gt;0,K298&lt;=12),ROUND(J298*(1+(K298+IF(ISNUMBER(L298),L298,0))/30),1),""),"")</f>
        <v/>
      </c>
      <c r="T298" s="21" t="str">
        <f aca="false">IF(AND(F298="Bilbo",ISNUMBER(J298),ISNUMBER(K298)),ROUND(J298*(1+K298/30),1),"")</f>
        <v/>
      </c>
      <c r="W298" s="22"/>
      <c r="X298" s="21" t="str">
        <f aca="false">IF(AND(F298="Bilbo",E298&lt;&gt;"",G298&lt;&gt;"",H298&lt;&gt;""),E298&amp;"|"&amp;G298&amp;"|"&amp;H298,"")</f>
        <v/>
      </c>
      <c r="Y298" s="21" t="str">
        <f aca="false">IF(B298="","",IF(B298&lt;&gt;B297,1,0))</f>
        <v/>
      </c>
    </row>
    <row r="299" customFormat="false" ht="15" hidden="false" customHeight="true" outlineLevel="0" collapsed="false">
      <c r="A299" s="21" t="str">
        <f aca="false">IF(B299="","",ROW()-4)</f>
        <v/>
      </c>
      <c r="B299" s="22"/>
      <c r="C299" s="21" t="str">
        <f aca="false">IF(B299="","",CHOOSE(WEEKDAY(B299,2),"LUNES","MARTES","MIÉRCOLES","JUEVES","VIERNES","SÁBADO","DOMINGO"))</f>
        <v/>
      </c>
      <c r="M299" s="23"/>
      <c r="Q299" s="21" t="str">
        <f aca="false">IF(OR(K299="",N299=""),"",K299-N299)</f>
        <v/>
      </c>
      <c r="R299" s="21" t="str">
        <f aca="false">IF(OR(J299="",K299=""),"",J299*K299)</f>
        <v/>
      </c>
      <c r="S299" s="21" t="str">
        <f aca="false">IF(AND(ISNUMBER(J299),ISNUMBER(K299),F299&lt;&gt;"Calentamiento",F299&lt;&gt;"Bilbo"),IF(AND(K299&gt;0,K299&lt;=12),ROUND(J299*(1+(K299+IF(ISNUMBER(L299),L299,0))/30),1),""),"")</f>
        <v/>
      </c>
      <c r="T299" s="21" t="str">
        <f aca="false">IF(AND(F299="Bilbo",ISNUMBER(J299),ISNUMBER(K299)),ROUND(J299*(1+K299/30),1),"")</f>
        <v/>
      </c>
      <c r="W299" s="22"/>
      <c r="X299" s="21" t="str">
        <f aca="false">IF(AND(F299="Bilbo",E299&lt;&gt;"",G299&lt;&gt;"",H299&lt;&gt;""),E299&amp;"|"&amp;G299&amp;"|"&amp;H299,"")</f>
        <v/>
      </c>
      <c r="Y299" s="21" t="str">
        <f aca="false">IF(B299="","",IF(B299&lt;&gt;B298,1,0))</f>
        <v/>
      </c>
    </row>
    <row r="300" customFormat="false" ht="15" hidden="false" customHeight="true" outlineLevel="0" collapsed="false">
      <c r="A300" s="21" t="str">
        <f aca="false">IF(B300="","",ROW()-4)</f>
        <v/>
      </c>
      <c r="B300" s="22"/>
      <c r="C300" s="21" t="str">
        <f aca="false">IF(B300="","",CHOOSE(WEEKDAY(B300,2),"LUNES","MARTES","MIÉRCOLES","JUEVES","VIERNES","SÁBADO","DOMINGO"))</f>
        <v/>
      </c>
      <c r="M300" s="23"/>
      <c r="Q300" s="21" t="str">
        <f aca="false">IF(OR(K300="",N300=""),"",K300-N300)</f>
        <v/>
      </c>
      <c r="R300" s="21" t="str">
        <f aca="false">IF(OR(J300="",K300=""),"",J300*K300)</f>
        <v/>
      </c>
      <c r="S300" s="21" t="str">
        <f aca="false">IF(AND(ISNUMBER(J300),ISNUMBER(K300),F300&lt;&gt;"Calentamiento",F300&lt;&gt;"Bilbo"),IF(AND(K300&gt;0,K300&lt;=12),ROUND(J300*(1+(K300+IF(ISNUMBER(L300),L300,0))/30),1),""),"")</f>
        <v/>
      </c>
      <c r="T300" s="21" t="str">
        <f aca="false">IF(AND(F300="Bilbo",ISNUMBER(J300),ISNUMBER(K300)),ROUND(J300*(1+K300/30),1),"")</f>
        <v/>
      </c>
      <c r="W300" s="22"/>
      <c r="X300" s="21" t="str">
        <f aca="false">IF(AND(F300="Bilbo",E300&lt;&gt;"",G300&lt;&gt;"",H300&lt;&gt;""),E300&amp;"|"&amp;G300&amp;"|"&amp;H300,"")</f>
        <v/>
      </c>
      <c r="Y300" s="21" t="str">
        <f aca="false">IF(B300="","",IF(B300&lt;&gt;B299,1,0))</f>
        <v/>
      </c>
    </row>
    <row r="301" customFormat="false" ht="15" hidden="false" customHeight="true" outlineLevel="0" collapsed="false">
      <c r="A301" s="21" t="str">
        <f aca="false">IF(B301="","",ROW()-4)</f>
        <v/>
      </c>
      <c r="B301" s="22"/>
      <c r="C301" s="21" t="str">
        <f aca="false">IF(B301="","",CHOOSE(WEEKDAY(B301,2),"LUNES","MARTES","MIÉRCOLES","JUEVES","VIERNES","SÁBADO","DOMINGO"))</f>
        <v/>
      </c>
      <c r="M301" s="23"/>
      <c r="Q301" s="21" t="str">
        <f aca="false">IF(OR(K301="",N301=""),"",K301-N301)</f>
        <v/>
      </c>
      <c r="R301" s="21" t="str">
        <f aca="false">IF(OR(J301="",K301=""),"",J301*K301)</f>
        <v/>
      </c>
      <c r="S301" s="21" t="str">
        <f aca="false">IF(AND(ISNUMBER(J301),ISNUMBER(K301),F301&lt;&gt;"Calentamiento",F301&lt;&gt;"Bilbo"),IF(AND(K301&gt;0,K301&lt;=12),ROUND(J301*(1+(K301+IF(ISNUMBER(L301),L301,0))/30),1),""),"")</f>
        <v/>
      </c>
      <c r="T301" s="21" t="str">
        <f aca="false">IF(AND(F301="Bilbo",ISNUMBER(J301),ISNUMBER(K301)),ROUND(J301*(1+K301/30),1),"")</f>
        <v/>
      </c>
      <c r="W301" s="22"/>
      <c r="X301" s="21" t="str">
        <f aca="false">IF(AND(F301="Bilbo",E301&lt;&gt;"",G301&lt;&gt;"",H301&lt;&gt;""),E301&amp;"|"&amp;G301&amp;"|"&amp;H301,"")</f>
        <v/>
      </c>
      <c r="Y301" s="21" t="str">
        <f aca="false">IF(B301="","",IF(B301&lt;&gt;B300,1,0))</f>
        <v/>
      </c>
    </row>
    <row r="302" customFormat="false" ht="15" hidden="false" customHeight="true" outlineLevel="0" collapsed="false">
      <c r="A302" s="21" t="str">
        <f aca="false">IF(B302="","",ROW()-4)</f>
        <v/>
      </c>
      <c r="B302" s="22"/>
      <c r="C302" s="21" t="str">
        <f aca="false">IF(B302="","",CHOOSE(WEEKDAY(B302,2),"LUNES","MARTES","MIÉRCOLES","JUEVES","VIERNES","SÁBADO","DOMINGO"))</f>
        <v/>
      </c>
      <c r="M302" s="23"/>
      <c r="Q302" s="21" t="str">
        <f aca="false">IF(OR(K302="",N302=""),"",K302-N302)</f>
        <v/>
      </c>
      <c r="R302" s="21" t="str">
        <f aca="false">IF(OR(J302="",K302=""),"",J302*K302)</f>
        <v/>
      </c>
      <c r="S302" s="21" t="str">
        <f aca="false">IF(AND(ISNUMBER(J302),ISNUMBER(K302),F302&lt;&gt;"Calentamiento",F302&lt;&gt;"Bilbo"),IF(AND(K302&gt;0,K302&lt;=12),ROUND(J302*(1+(K302+IF(ISNUMBER(L302),L302,0))/30),1),""),"")</f>
        <v/>
      </c>
      <c r="T302" s="21" t="str">
        <f aca="false">IF(AND(F302="Bilbo",ISNUMBER(J302),ISNUMBER(K302)),ROUND(J302*(1+K302/30),1),"")</f>
        <v/>
      </c>
      <c r="W302" s="22"/>
      <c r="X302" s="21" t="str">
        <f aca="false">IF(AND(F302="Bilbo",E302&lt;&gt;"",G302&lt;&gt;"",H302&lt;&gt;""),E302&amp;"|"&amp;G302&amp;"|"&amp;H302,"")</f>
        <v/>
      </c>
      <c r="Y302" s="21" t="str">
        <f aca="false">IF(B302="","",IF(B302&lt;&gt;B301,1,0))</f>
        <v/>
      </c>
    </row>
    <row r="303" customFormat="false" ht="15" hidden="false" customHeight="true" outlineLevel="0" collapsed="false">
      <c r="A303" s="21" t="str">
        <f aca="false">IF(B303="","",ROW()-4)</f>
        <v/>
      </c>
      <c r="B303" s="22"/>
      <c r="C303" s="21" t="str">
        <f aca="false">IF(B303="","",CHOOSE(WEEKDAY(B303,2),"LUNES","MARTES","MIÉRCOLES","JUEVES","VIERNES","SÁBADO","DOMINGO"))</f>
        <v/>
      </c>
      <c r="M303" s="23"/>
      <c r="Q303" s="21" t="str">
        <f aca="false">IF(OR(K303="",N303=""),"",K303-N303)</f>
        <v/>
      </c>
      <c r="R303" s="21" t="str">
        <f aca="false">IF(OR(J303="",K303=""),"",J303*K303)</f>
        <v/>
      </c>
      <c r="S303" s="21" t="str">
        <f aca="false">IF(AND(ISNUMBER(J303),ISNUMBER(K303),F303&lt;&gt;"Calentamiento",F303&lt;&gt;"Bilbo"),IF(AND(K303&gt;0,K303&lt;=12),ROUND(J303*(1+(K303+IF(ISNUMBER(L303),L303,0))/30),1),""),"")</f>
        <v/>
      </c>
      <c r="T303" s="21" t="str">
        <f aca="false">IF(AND(F303="Bilbo",ISNUMBER(J303),ISNUMBER(K303)),ROUND(J303*(1+K303/30),1),"")</f>
        <v/>
      </c>
      <c r="W303" s="22"/>
      <c r="X303" s="21" t="str">
        <f aca="false">IF(AND(F303="Bilbo",E303&lt;&gt;"",G303&lt;&gt;"",H303&lt;&gt;""),E303&amp;"|"&amp;G303&amp;"|"&amp;H303,"")</f>
        <v/>
      </c>
      <c r="Y303" s="21" t="str">
        <f aca="false">IF(B303="","",IF(B303&lt;&gt;B302,1,0))</f>
        <v/>
      </c>
    </row>
    <row r="304" customFormat="false" ht="15" hidden="false" customHeight="true" outlineLevel="0" collapsed="false">
      <c r="A304" s="21" t="str">
        <f aca="false">IF(B304="","",ROW()-4)</f>
        <v/>
      </c>
      <c r="B304" s="22"/>
      <c r="C304" s="21" t="str">
        <f aca="false">IF(B304="","",CHOOSE(WEEKDAY(B304,2),"LUNES","MARTES","MIÉRCOLES","JUEVES","VIERNES","SÁBADO","DOMINGO"))</f>
        <v/>
      </c>
      <c r="M304" s="23"/>
      <c r="Q304" s="21" t="str">
        <f aca="false">IF(OR(K304="",N304=""),"",K304-N304)</f>
        <v/>
      </c>
      <c r="R304" s="21" t="str">
        <f aca="false">IF(OR(J304="",K304=""),"",J304*K304)</f>
        <v/>
      </c>
      <c r="S304" s="21" t="str">
        <f aca="false">IF(AND(ISNUMBER(J304),ISNUMBER(K304),F304&lt;&gt;"Calentamiento",F304&lt;&gt;"Bilbo"),IF(AND(K304&gt;0,K304&lt;=12),ROUND(J304*(1+(K304+IF(ISNUMBER(L304),L304,0))/30),1),""),"")</f>
        <v/>
      </c>
      <c r="T304" s="21" t="str">
        <f aca="false">IF(AND(F304="Bilbo",ISNUMBER(J304),ISNUMBER(K304)),ROUND(J304*(1+K304/30),1),"")</f>
        <v/>
      </c>
      <c r="W304" s="22"/>
      <c r="X304" s="21" t="str">
        <f aca="false">IF(AND(F304="Bilbo",E304&lt;&gt;"",G304&lt;&gt;"",H304&lt;&gt;""),E304&amp;"|"&amp;G304&amp;"|"&amp;H304,"")</f>
        <v/>
      </c>
      <c r="Y304" s="21" t="str">
        <f aca="false">IF(B304="","",IF(B304&lt;&gt;B303,1,0))</f>
        <v/>
      </c>
    </row>
    <row r="305" customFormat="false" ht="15" hidden="false" customHeight="true" outlineLevel="0" collapsed="false">
      <c r="A305" s="21" t="str">
        <f aca="false">IF(B305="","",ROW()-4)</f>
        <v/>
      </c>
      <c r="B305" s="22"/>
      <c r="C305" s="21" t="str">
        <f aca="false">IF(B305="","",CHOOSE(WEEKDAY(B305,2),"LUNES","MARTES","MIÉRCOLES","JUEVES","VIERNES","SÁBADO","DOMINGO"))</f>
        <v/>
      </c>
      <c r="M305" s="23"/>
      <c r="Q305" s="21" t="str">
        <f aca="false">IF(OR(K305="",N305=""),"",K305-N305)</f>
        <v/>
      </c>
      <c r="R305" s="21" t="str">
        <f aca="false">IF(OR(J305="",K305=""),"",J305*K305)</f>
        <v/>
      </c>
      <c r="S305" s="21" t="str">
        <f aca="false">IF(AND(ISNUMBER(J305),ISNUMBER(K305),F305&lt;&gt;"Calentamiento",F305&lt;&gt;"Bilbo"),IF(AND(K305&gt;0,K305&lt;=12),ROUND(J305*(1+(K305+IF(ISNUMBER(L305),L305,0))/30),1),""),"")</f>
        <v/>
      </c>
      <c r="T305" s="21" t="str">
        <f aca="false">IF(AND(F305="Bilbo",ISNUMBER(J305),ISNUMBER(K305)),ROUND(J305*(1+K305/30),1),"")</f>
        <v/>
      </c>
      <c r="W305" s="22"/>
      <c r="X305" s="21" t="str">
        <f aca="false">IF(AND(F305="Bilbo",E305&lt;&gt;"",G305&lt;&gt;"",H305&lt;&gt;""),E305&amp;"|"&amp;G305&amp;"|"&amp;H305,"")</f>
        <v/>
      </c>
      <c r="Y305" s="21" t="str">
        <f aca="false">IF(B305="","",IF(B305&lt;&gt;B304,1,0))</f>
        <v/>
      </c>
    </row>
    <row r="306" customFormat="false" ht="15" hidden="false" customHeight="true" outlineLevel="0" collapsed="false">
      <c r="A306" s="21" t="str">
        <f aca="false">IF(B306="","",ROW()-4)</f>
        <v/>
      </c>
      <c r="B306" s="22"/>
      <c r="C306" s="21" t="str">
        <f aca="false">IF(B306="","",CHOOSE(WEEKDAY(B306,2),"LUNES","MARTES","MIÉRCOLES","JUEVES","VIERNES","SÁBADO","DOMINGO"))</f>
        <v/>
      </c>
      <c r="M306" s="23"/>
      <c r="Q306" s="21" t="str">
        <f aca="false">IF(OR(K306="",N306=""),"",K306-N306)</f>
        <v/>
      </c>
      <c r="R306" s="21" t="str">
        <f aca="false">IF(OR(J306="",K306=""),"",J306*K306)</f>
        <v/>
      </c>
      <c r="S306" s="21" t="str">
        <f aca="false">IF(AND(ISNUMBER(J306),ISNUMBER(K306),F306&lt;&gt;"Calentamiento",F306&lt;&gt;"Bilbo"),IF(AND(K306&gt;0,K306&lt;=12),ROUND(J306*(1+(K306+IF(ISNUMBER(L306),L306,0))/30),1),""),"")</f>
        <v/>
      </c>
      <c r="T306" s="21" t="str">
        <f aca="false">IF(AND(F306="Bilbo",ISNUMBER(J306),ISNUMBER(K306)),ROUND(J306*(1+K306/30),1),"")</f>
        <v/>
      </c>
      <c r="W306" s="22"/>
      <c r="X306" s="21" t="str">
        <f aca="false">IF(AND(F306="Bilbo",E306&lt;&gt;"",G306&lt;&gt;"",H306&lt;&gt;""),E306&amp;"|"&amp;G306&amp;"|"&amp;H306,"")</f>
        <v/>
      </c>
      <c r="Y306" s="21" t="str">
        <f aca="false">IF(B306="","",IF(B306&lt;&gt;B305,1,0))</f>
        <v/>
      </c>
    </row>
    <row r="307" customFormat="false" ht="15" hidden="false" customHeight="true" outlineLevel="0" collapsed="false">
      <c r="A307" s="21" t="str">
        <f aca="false">IF(B307="","",ROW()-4)</f>
        <v/>
      </c>
      <c r="B307" s="22"/>
      <c r="C307" s="21" t="str">
        <f aca="false">IF(B307="","",CHOOSE(WEEKDAY(B307,2),"LUNES","MARTES","MIÉRCOLES","JUEVES","VIERNES","SÁBADO","DOMINGO"))</f>
        <v/>
      </c>
      <c r="M307" s="23"/>
      <c r="Q307" s="21" t="str">
        <f aca="false">IF(OR(K307="",N307=""),"",K307-N307)</f>
        <v/>
      </c>
      <c r="R307" s="21" t="str">
        <f aca="false">IF(OR(J307="",K307=""),"",J307*K307)</f>
        <v/>
      </c>
      <c r="S307" s="21" t="str">
        <f aca="false">IF(AND(ISNUMBER(J307),ISNUMBER(K307),F307&lt;&gt;"Calentamiento",F307&lt;&gt;"Bilbo"),IF(AND(K307&gt;0,K307&lt;=12),ROUND(J307*(1+(K307+IF(ISNUMBER(L307),L307,0))/30),1),""),"")</f>
        <v/>
      </c>
      <c r="T307" s="21" t="str">
        <f aca="false">IF(AND(F307="Bilbo",ISNUMBER(J307),ISNUMBER(K307)),ROUND(J307*(1+K307/30),1),"")</f>
        <v/>
      </c>
      <c r="W307" s="22"/>
      <c r="X307" s="21" t="str">
        <f aca="false">IF(AND(F307="Bilbo",E307&lt;&gt;"",G307&lt;&gt;"",H307&lt;&gt;""),E307&amp;"|"&amp;G307&amp;"|"&amp;H307,"")</f>
        <v/>
      </c>
      <c r="Y307" s="21" t="str">
        <f aca="false">IF(B307="","",IF(B307&lt;&gt;B306,1,0))</f>
        <v/>
      </c>
    </row>
    <row r="308" customFormat="false" ht="15" hidden="false" customHeight="true" outlineLevel="0" collapsed="false">
      <c r="A308" s="21" t="str">
        <f aca="false">IF(B308="","",ROW()-4)</f>
        <v/>
      </c>
      <c r="B308" s="22"/>
      <c r="C308" s="21" t="str">
        <f aca="false">IF(B308="","",CHOOSE(WEEKDAY(B308,2),"LUNES","MARTES","MIÉRCOLES","JUEVES","VIERNES","SÁBADO","DOMINGO"))</f>
        <v/>
      </c>
      <c r="M308" s="23"/>
      <c r="Q308" s="21" t="str">
        <f aca="false">IF(OR(K308="",N308=""),"",K308-N308)</f>
        <v/>
      </c>
      <c r="R308" s="21" t="str">
        <f aca="false">IF(OR(J308="",K308=""),"",J308*K308)</f>
        <v/>
      </c>
      <c r="S308" s="21" t="str">
        <f aca="false">IF(AND(ISNUMBER(J308),ISNUMBER(K308),F308&lt;&gt;"Calentamiento",F308&lt;&gt;"Bilbo"),IF(AND(K308&gt;0,K308&lt;=12),ROUND(J308*(1+(K308+IF(ISNUMBER(L308),L308,0))/30),1),""),"")</f>
        <v/>
      </c>
      <c r="T308" s="21" t="str">
        <f aca="false">IF(AND(F308="Bilbo",ISNUMBER(J308),ISNUMBER(K308)),ROUND(J308*(1+K308/30),1),"")</f>
        <v/>
      </c>
      <c r="W308" s="22"/>
      <c r="X308" s="21" t="str">
        <f aca="false">IF(AND(F308="Bilbo",E308&lt;&gt;"",G308&lt;&gt;"",H308&lt;&gt;""),E308&amp;"|"&amp;G308&amp;"|"&amp;H308,"")</f>
        <v/>
      </c>
      <c r="Y308" s="21" t="str">
        <f aca="false">IF(B308="","",IF(B308&lt;&gt;B307,1,0))</f>
        <v/>
      </c>
    </row>
    <row r="309" customFormat="false" ht="15" hidden="false" customHeight="true" outlineLevel="0" collapsed="false">
      <c r="A309" s="21" t="str">
        <f aca="false">IF(B309="","",ROW()-4)</f>
        <v/>
      </c>
      <c r="B309" s="22"/>
      <c r="C309" s="21" t="str">
        <f aca="false">IF(B309="","",CHOOSE(WEEKDAY(B309,2),"LUNES","MARTES","MIÉRCOLES","JUEVES","VIERNES","SÁBADO","DOMINGO"))</f>
        <v/>
      </c>
      <c r="M309" s="23"/>
      <c r="Q309" s="21" t="str">
        <f aca="false">IF(OR(K309="",N309=""),"",K309-N309)</f>
        <v/>
      </c>
      <c r="R309" s="21" t="str">
        <f aca="false">IF(OR(J309="",K309=""),"",J309*K309)</f>
        <v/>
      </c>
      <c r="S309" s="21" t="str">
        <f aca="false">IF(AND(ISNUMBER(J309),ISNUMBER(K309),F309&lt;&gt;"Calentamiento",F309&lt;&gt;"Bilbo"),IF(AND(K309&gt;0,K309&lt;=12),ROUND(J309*(1+(K309+IF(ISNUMBER(L309),L309,0))/30),1),""),"")</f>
        <v/>
      </c>
      <c r="T309" s="21" t="str">
        <f aca="false">IF(AND(F309="Bilbo",ISNUMBER(J309),ISNUMBER(K309)),ROUND(J309*(1+K309/30),1),"")</f>
        <v/>
      </c>
      <c r="W309" s="22"/>
      <c r="X309" s="21" t="str">
        <f aca="false">IF(AND(F309="Bilbo",E309&lt;&gt;"",G309&lt;&gt;"",H309&lt;&gt;""),E309&amp;"|"&amp;G309&amp;"|"&amp;H309,"")</f>
        <v/>
      </c>
      <c r="Y309" s="21" t="str">
        <f aca="false">IF(B309="","",IF(B309&lt;&gt;B308,1,0))</f>
        <v/>
      </c>
    </row>
    <row r="310" customFormat="false" ht="15" hidden="false" customHeight="true" outlineLevel="0" collapsed="false">
      <c r="A310" s="21" t="str">
        <f aca="false">IF(B310="","",ROW()-4)</f>
        <v/>
      </c>
      <c r="B310" s="22"/>
      <c r="C310" s="21" t="str">
        <f aca="false">IF(B310="","",CHOOSE(WEEKDAY(B310,2),"LUNES","MARTES","MIÉRCOLES","JUEVES","VIERNES","SÁBADO","DOMINGO"))</f>
        <v/>
      </c>
      <c r="M310" s="23"/>
      <c r="Q310" s="21" t="str">
        <f aca="false">IF(OR(K310="",N310=""),"",K310-N310)</f>
        <v/>
      </c>
      <c r="R310" s="21" t="str">
        <f aca="false">IF(OR(J310="",K310=""),"",J310*K310)</f>
        <v/>
      </c>
      <c r="S310" s="21" t="str">
        <f aca="false">IF(AND(ISNUMBER(J310),ISNUMBER(K310),F310&lt;&gt;"Calentamiento",F310&lt;&gt;"Bilbo"),IF(AND(K310&gt;0,K310&lt;=12),ROUND(J310*(1+(K310+IF(ISNUMBER(L310),L310,0))/30),1),""),"")</f>
        <v/>
      </c>
      <c r="T310" s="21" t="str">
        <f aca="false">IF(AND(F310="Bilbo",ISNUMBER(J310),ISNUMBER(K310)),ROUND(J310*(1+K310/30),1),"")</f>
        <v/>
      </c>
      <c r="W310" s="22"/>
      <c r="X310" s="21" t="str">
        <f aca="false">IF(AND(F310="Bilbo",E310&lt;&gt;"",G310&lt;&gt;"",H310&lt;&gt;""),E310&amp;"|"&amp;G310&amp;"|"&amp;H310,"")</f>
        <v/>
      </c>
      <c r="Y310" s="21" t="str">
        <f aca="false">IF(B310="","",IF(B310&lt;&gt;B309,1,0))</f>
        <v/>
      </c>
    </row>
    <row r="311" customFormat="false" ht="15" hidden="false" customHeight="true" outlineLevel="0" collapsed="false">
      <c r="A311" s="21" t="str">
        <f aca="false">IF(B311="","",ROW()-4)</f>
        <v/>
      </c>
      <c r="B311" s="22"/>
      <c r="C311" s="21" t="str">
        <f aca="false">IF(B311="","",CHOOSE(WEEKDAY(B311,2),"LUNES","MARTES","MIÉRCOLES","JUEVES","VIERNES","SÁBADO","DOMINGO"))</f>
        <v/>
      </c>
      <c r="M311" s="23"/>
      <c r="Q311" s="21" t="str">
        <f aca="false">IF(OR(K311="",N311=""),"",K311-N311)</f>
        <v/>
      </c>
      <c r="R311" s="21" t="str">
        <f aca="false">IF(OR(J311="",K311=""),"",J311*K311)</f>
        <v/>
      </c>
      <c r="S311" s="21" t="str">
        <f aca="false">IF(AND(ISNUMBER(J311),ISNUMBER(K311),F311&lt;&gt;"Calentamiento",F311&lt;&gt;"Bilbo"),IF(AND(K311&gt;0,K311&lt;=12),ROUND(J311*(1+(K311+IF(ISNUMBER(L311),L311,0))/30),1),""),"")</f>
        <v/>
      </c>
      <c r="T311" s="21" t="str">
        <f aca="false">IF(AND(F311="Bilbo",ISNUMBER(J311),ISNUMBER(K311)),ROUND(J311*(1+K311/30),1),"")</f>
        <v/>
      </c>
      <c r="W311" s="22"/>
      <c r="X311" s="21" t="str">
        <f aca="false">IF(AND(F311="Bilbo",E311&lt;&gt;"",G311&lt;&gt;"",H311&lt;&gt;""),E311&amp;"|"&amp;G311&amp;"|"&amp;H311,"")</f>
        <v/>
      </c>
      <c r="Y311" s="21" t="str">
        <f aca="false">IF(B311="","",IF(B311&lt;&gt;B310,1,0))</f>
        <v/>
      </c>
    </row>
    <row r="312" customFormat="false" ht="15" hidden="false" customHeight="true" outlineLevel="0" collapsed="false">
      <c r="A312" s="21" t="str">
        <f aca="false">IF(B312="","",ROW()-4)</f>
        <v/>
      </c>
      <c r="B312" s="22"/>
      <c r="C312" s="21" t="str">
        <f aca="false">IF(B312="","",CHOOSE(WEEKDAY(B312,2),"LUNES","MARTES","MIÉRCOLES","JUEVES","VIERNES","SÁBADO","DOMINGO"))</f>
        <v/>
      </c>
      <c r="M312" s="23"/>
      <c r="Q312" s="21" t="str">
        <f aca="false">IF(OR(K312="",N312=""),"",K312-N312)</f>
        <v/>
      </c>
      <c r="R312" s="21" t="str">
        <f aca="false">IF(OR(J312="",K312=""),"",J312*K312)</f>
        <v/>
      </c>
      <c r="S312" s="21" t="str">
        <f aca="false">IF(AND(ISNUMBER(J312),ISNUMBER(K312),F312&lt;&gt;"Calentamiento",F312&lt;&gt;"Bilbo"),IF(AND(K312&gt;0,K312&lt;=12),ROUND(J312*(1+(K312+IF(ISNUMBER(L312),L312,0))/30),1),""),"")</f>
        <v/>
      </c>
      <c r="T312" s="21" t="str">
        <f aca="false">IF(AND(F312="Bilbo",ISNUMBER(J312),ISNUMBER(K312)),ROUND(J312*(1+K312/30),1),"")</f>
        <v/>
      </c>
      <c r="W312" s="22"/>
      <c r="X312" s="21" t="str">
        <f aca="false">IF(AND(F312="Bilbo",E312&lt;&gt;"",G312&lt;&gt;"",H312&lt;&gt;""),E312&amp;"|"&amp;G312&amp;"|"&amp;H312,"")</f>
        <v/>
      </c>
      <c r="Y312" s="21" t="str">
        <f aca="false">IF(B312="","",IF(B312&lt;&gt;B311,1,0))</f>
        <v/>
      </c>
    </row>
    <row r="313" customFormat="false" ht="15" hidden="false" customHeight="true" outlineLevel="0" collapsed="false">
      <c r="A313" s="21" t="str">
        <f aca="false">IF(B313="","",ROW()-4)</f>
        <v/>
      </c>
      <c r="B313" s="22"/>
      <c r="C313" s="21" t="str">
        <f aca="false">IF(B313="","",CHOOSE(WEEKDAY(B313,2),"LUNES","MARTES","MIÉRCOLES","JUEVES","VIERNES","SÁBADO","DOMINGO"))</f>
        <v/>
      </c>
      <c r="M313" s="23"/>
      <c r="Q313" s="21" t="str">
        <f aca="false">IF(OR(K313="",N313=""),"",K313-N313)</f>
        <v/>
      </c>
      <c r="R313" s="21" t="str">
        <f aca="false">IF(OR(J313="",K313=""),"",J313*K313)</f>
        <v/>
      </c>
      <c r="S313" s="21" t="str">
        <f aca="false">IF(AND(ISNUMBER(J313),ISNUMBER(K313),F313&lt;&gt;"Calentamiento",F313&lt;&gt;"Bilbo"),IF(AND(K313&gt;0,K313&lt;=12),ROUND(J313*(1+(K313+IF(ISNUMBER(L313),L313,0))/30),1),""),"")</f>
        <v/>
      </c>
      <c r="T313" s="21" t="str">
        <f aca="false">IF(AND(F313="Bilbo",ISNUMBER(J313),ISNUMBER(K313)),ROUND(J313*(1+K313/30),1),"")</f>
        <v/>
      </c>
      <c r="W313" s="22"/>
      <c r="X313" s="21" t="str">
        <f aca="false">IF(AND(F313="Bilbo",E313&lt;&gt;"",G313&lt;&gt;"",H313&lt;&gt;""),E313&amp;"|"&amp;G313&amp;"|"&amp;H313,"")</f>
        <v/>
      </c>
      <c r="Y313" s="21" t="str">
        <f aca="false">IF(B313="","",IF(B313&lt;&gt;B312,1,0))</f>
        <v/>
      </c>
    </row>
    <row r="314" customFormat="false" ht="15" hidden="false" customHeight="true" outlineLevel="0" collapsed="false">
      <c r="A314" s="21" t="str">
        <f aca="false">IF(B314="","",ROW()-4)</f>
        <v/>
      </c>
      <c r="B314" s="22"/>
      <c r="C314" s="21" t="str">
        <f aca="false">IF(B314="","",CHOOSE(WEEKDAY(B314,2),"LUNES","MARTES","MIÉRCOLES","JUEVES","VIERNES","SÁBADO","DOMINGO"))</f>
        <v/>
      </c>
      <c r="M314" s="23"/>
      <c r="Q314" s="21" t="str">
        <f aca="false">IF(OR(K314="",N314=""),"",K314-N314)</f>
        <v/>
      </c>
      <c r="R314" s="21" t="str">
        <f aca="false">IF(OR(J314="",K314=""),"",J314*K314)</f>
        <v/>
      </c>
      <c r="S314" s="21" t="str">
        <f aca="false">IF(AND(ISNUMBER(J314),ISNUMBER(K314),F314&lt;&gt;"Calentamiento",F314&lt;&gt;"Bilbo"),IF(AND(K314&gt;0,K314&lt;=12),ROUND(J314*(1+(K314+IF(ISNUMBER(L314),L314,0))/30),1),""),"")</f>
        <v/>
      </c>
      <c r="T314" s="21" t="str">
        <f aca="false">IF(AND(F314="Bilbo",ISNUMBER(J314),ISNUMBER(K314)),ROUND(J314*(1+K314/30),1),"")</f>
        <v/>
      </c>
      <c r="W314" s="22"/>
      <c r="X314" s="21" t="str">
        <f aca="false">IF(AND(F314="Bilbo",E314&lt;&gt;"",G314&lt;&gt;"",H314&lt;&gt;""),E314&amp;"|"&amp;G314&amp;"|"&amp;H314,"")</f>
        <v/>
      </c>
      <c r="Y314" s="21" t="str">
        <f aca="false">IF(B314="","",IF(B314&lt;&gt;B313,1,0))</f>
        <v/>
      </c>
    </row>
    <row r="315" customFormat="false" ht="15" hidden="false" customHeight="true" outlineLevel="0" collapsed="false">
      <c r="A315" s="21" t="str">
        <f aca="false">IF(B315="","",ROW()-4)</f>
        <v/>
      </c>
      <c r="B315" s="22"/>
      <c r="C315" s="21" t="str">
        <f aca="false">IF(B315="","",CHOOSE(WEEKDAY(B315,2),"LUNES","MARTES","MIÉRCOLES","JUEVES","VIERNES","SÁBADO","DOMINGO"))</f>
        <v/>
      </c>
      <c r="M315" s="23"/>
      <c r="Q315" s="21" t="str">
        <f aca="false">IF(OR(K315="",N315=""),"",K315-N315)</f>
        <v/>
      </c>
      <c r="R315" s="21" t="str">
        <f aca="false">IF(OR(J315="",K315=""),"",J315*K315)</f>
        <v/>
      </c>
      <c r="S315" s="21" t="str">
        <f aca="false">IF(AND(ISNUMBER(J315),ISNUMBER(K315),F315&lt;&gt;"Calentamiento",F315&lt;&gt;"Bilbo"),IF(AND(K315&gt;0,K315&lt;=12),ROUND(J315*(1+(K315+IF(ISNUMBER(L315),L315,0))/30),1),""),"")</f>
        <v/>
      </c>
      <c r="T315" s="21" t="str">
        <f aca="false">IF(AND(F315="Bilbo",ISNUMBER(J315),ISNUMBER(K315)),ROUND(J315*(1+K315/30),1),"")</f>
        <v/>
      </c>
      <c r="W315" s="22"/>
      <c r="X315" s="21" t="str">
        <f aca="false">IF(AND(F315="Bilbo",E315&lt;&gt;"",G315&lt;&gt;"",H315&lt;&gt;""),E315&amp;"|"&amp;G315&amp;"|"&amp;H315,"")</f>
        <v/>
      </c>
      <c r="Y315" s="21" t="str">
        <f aca="false">IF(B315="","",IF(B315&lt;&gt;B314,1,0))</f>
        <v/>
      </c>
    </row>
    <row r="316" customFormat="false" ht="15" hidden="false" customHeight="true" outlineLevel="0" collapsed="false">
      <c r="A316" s="21" t="str">
        <f aca="false">IF(B316="","",ROW()-4)</f>
        <v/>
      </c>
      <c r="B316" s="22"/>
      <c r="C316" s="21" t="str">
        <f aca="false">IF(B316="","",CHOOSE(WEEKDAY(B316,2),"LUNES","MARTES","MIÉRCOLES","JUEVES","VIERNES","SÁBADO","DOMINGO"))</f>
        <v/>
      </c>
      <c r="M316" s="23"/>
      <c r="Q316" s="21" t="str">
        <f aca="false">IF(OR(K316="",N316=""),"",K316-N316)</f>
        <v/>
      </c>
      <c r="R316" s="21" t="str">
        <f aca="false">IF(OR(J316="",K316=""),"",J316*K316)</f>
        <v/>
      </c>
      <c r="S316" s="21" t="str">
        <f aca="false">IF(AND(ISNUMBER(J316),ISNUMBER(K316),F316&lt;&gt;"Calentamiento",F316&lt;&gt;"Bilbo"),IF(AND(K316&gt;0,K316&lt;=12),ROUND(J316*(1+(K316+IF(ISNUMBER(L316),L316,0))/30),1),""),"")</f>
        <v/>
      </c>
      <c r="T316" s="21" t="str">
        <f aca="false">IF(AND(F316="Bilbo",ISNUMBER(J316),ISNUMBER(K316)),ROUND(J316*(1+K316/30),1),"")</f>
        <v/>
      </c>
      <c r="W316" s="22"/>
      <c r="X316" s="21" t="str">
        <f aca="false">IF(AND(F316="Bilbo",E316&lt;&gt;"",G316&lt;&gt;"",H316&lt;&gt;""),E316&amp;"|"&amp;G316&amp;"|"&amp;H316,"")</f>
        <v/>
      </c>
      <c r="Y316" s="21" t="str">
        <f aca="false">IF(B316="","",IF(B316&lt;&gt;B315,1,0))</f>
        <v/>
      </c>
    </row>
    <row r="317" customFormat="false" ht="15" hidden="false" customHeight="true" outlineLevel="0" collapsed="false">
      <c r="A317" s="21" t="str">
        <f aca="false">IF(B317="","",ROW()-4)</f>
        <v/>
      </c>
      <c r="B317" s="22"/>
      <c r="C317" s="21" t="str">
        <f aca="false">IF(B317="","",CHOOSE(WEEKDAY(B317,2),"LUNES","MARTES","MIÉRCOLES","JUEVES","VIERNES","SÁBADO","DOMINGO"))</f>
        <v/>
      </c>
      <c r="M317" s="23"/>
      <c r="Q317" s="21" t="str">
        <f aca="false">IF(OR(K317="",N317=""),"",K317-N317)</f>
        <v/>
      </c>
      <c r="R317" s="21" t="str">
        <f aca="false">IF(OR(J317="",K317=""),"",J317*K317)</f>
        <v/>
      </c>
      <c r="S317" s="21" t="str">
        <f aca="false">IF(AND(ISNUMBER(J317),ISNUMBER(K317),F317&lt;&gt;"Calentamiento",F317&lt;&gt;"Bilbo"),IF(AND(K317&gt;0,K317&lt;=12),ROUND(J317*(1+(K317+IF(ISNUMBER(L317),L317,0))/30),1),""),"")</f>
        <v/>
      </c>
      <c r="T317" s="21" t="str">
        <f aca="false">IF(AND(F317="Bilbo",ISNUMBER(J317),ISNUMBER(K317)),ROUND(J317*(1+K317/30),1),"")</f>
        <v/>
      </c>
      <c r="W317" s="22"/>
      <c r="X317" s="21" t="str">
        <f aca="false">IF(AND(F317="Bilbo",E317&lt;&gt;"",G317&lt;&gt;"",H317&lt;&gt;""),E317&amp;"|"&amp;G317&amp;"|"&amp;H317,"")</f>
        <v/>
      </c>
      <c r="Y317" s="21" t="str">
        <f aca="false">IF(B317="","",IF(B317&lt;&gt;B316,1,0))</f>
        <v/>
      </c>
    </row>
    <row r="318" customFormat="false" ht="15" hidden="false" customHeight="true" outlineLevel="0" collapsed="false">
      <c r="A318" s="21" t="str">
        <f aca="false">IF(B318="","",ROW()-4)</f>
        <v/>
      </c>
      <c r="B318" s="22"/>
      <c r="C318" s="21" t="str">
        <f aca="false">IF(B318="","",CHOOSE(WEEKDAY(B318,2),"LUNES","MARTES","MIÉRCOLES","JUEVES","VIERNES","SÁBADO","DOMINGO"))</f>
        <v/>
      </c>
      <c r="M318" s="23"/>
      <c r="Q318" s="21" t="str">
        <f aca="false">IF(OR(K318="",N318=""),"",K318-N318)</f>
        <v/>
      </c>
      <c r="R318" s="21" t="str">
        <f aca="false">IF(OR(J318="",K318=""),"",J318*K318)</f>
        <v/>
      </c>
      <c r="S318" s="21" t="str">
        <f aca="false">IF(AND(ISNUMBER(J318),ISNUMBER(K318),F318&lt;&gt;"Calentamiento",F318&lt;&gt;"Bilbo"),IF(AND(K318&gt;0,K318&lt;=12),ROUND(J318*(1+(K318+IF(ISNUMBER(L318),L318,0))/30),1),""),"")</f>
        <v/>
      </c>
      <c r="T318" s="21" t="str">
        <f aca="false">IF(AND(F318="Bilbo",ISNUMBER(J318),ISNUMBER(K318)),ROUND(J318*(1+K318/30),1),"")</f>
        <v/>
      </c>
      <c r="W318" s="22"/>
      <c r="X318" s="21" t="str">
        <f aca="false">IF(AND(F318="Bilbo",E318&lt;&gt;"",G318&lt;&gt;"",H318&lt;&gt;""),E318&amp;"|"&amp;G318&amp;"|"&amp;H318,"")</f>
        <v/>
      </c>
      <c r="Y318" s="21" t="str">
        <f aca="false">IF(B318="","",IF(B318&lt;&gt;B317,1,0))</f>
        <v/>
      </c>
    </row>
    <row r="319" customFormat="false" ht="15" hidden="false" customHeight="true" outlineLevel="0" collapsed="false">
      <c r="A319" s="21" t="str">
        <f aca="false">IF(B319="","",ROW()-4)</f>
        <v/>
      </c>
      <c r="B319" s="22"/>
      <c r="C319" s="21" t="str">
        <f aca="false">IF(B319="","",CHOOSE(WEEKDAY(B319,2),"LUNES","MARTES","MIÉRCOLES","JUEVES","VIERNES","SÁBADO","DOMINGO"))</f>
        <v/>
      </c>
      <c r="M319" s="23"/>
      <c r="Q319" s="21" t="str">
        <f aca="false">IF(OR(K319="",N319=""),"",K319-N319)</f>
        <v/>
      </c>
      <c r="R319" s="21" t="str">
        <f aca="false">IF(OR(J319="",K319=""),"",J319*K319)</f>
        <v/>
      </c>
      <c r="S319" s="21" t="str">
        <f aca="false">IF(AND(ISNUMBER(J319),ISNUMBER(K319),F319&lt;&gt;"Calentamiento",F319&lt;&gt;"Bilbo"),IF(AND(K319&gt;0,K319&lt;=12),ROUND(J319*(1+(K319+IF(ISNUMBER(L319),L319,0))/30),1),""),"")</f>
        <v/>
      </c>
      <c r="T319" s="21" t="str">
        <f aca="false">IF(AND(F319="Bilbo",ISNUMBER(J319),ISNUMBER(K319)),ROUND(J319*(1+K319/30),1),"")</f>
        <v/>
      </c>
      <c r="W319" s="22"/>
      <c r="X319" s="21" t="str">
        <f aca="false">IF(AND(F319="Bilbo",E319&lt;&gt;"",G319&lt;&gt;"",H319&lt;&gt;""),E319&amp;"|"&amp;G319&amp;"|"&amp;H319,"")</f>
        <v/>
      </c>
      <c r="Y319" s="21" t="str">
        <f aca="false">IF(B319="","",IF(B319&lt;&gt;B318,1,0))</f>
        <v/>
      </c>
    </row>
    <row r="320" customFormat="false" ht="15" hidden="false" customHeight="true" outlineLevel="0" collapsed="false">
      <c r="A320" s="21" t="str">
        <f aca="false">IF(B320="","",ROW()-4)</f>
        <v/>
      </c>
      <c r="B320" s="22"/>
      <c r="C320" s="21" t="str">
        <f aca="false">IF(B320="","",CHOOSE(WEEKDAY(B320,2),"LUNES","MARTES","MIÉRCOLES","JUEVES","VIERNES","SÁBADO","DOMINGO"))</f>
        <v/>
      </c>
      <c r="M320" s="23"/>
      <c r="Q320" s="21" t="str">
        <f aca="false">IF(OR(K320="",N320=""),"",K320-N320)</f>
        <v/>
      </c>
      <c r="R320" s="21" t="str">
        <f aca="false">IF(OR(J320="",K320=""),"",J320*K320)</f>
        <v/>
      </c>
      <c r="S320" s="21" t="str">
        <f aca="false">IF(AND(ISNUMBER(J320),ISNUMBER(K320),F320&lt;&gt;"Calentamiento",F320&lt;&gt;"Bilbo"),IF(AND(K320&gt;0,K320&lt;=12),ROUND(J320*(1+(K320+IF(ISNUMBER(L320),L320,0))/30),1),""),"")</f>
        <v/>
      </c>
      <c r="T320" s="21" t="str">
        <f aca="false">IF(AND(F320="Bilbo",ISNUMBER(J320),ISNUMBER(K320)),ROUND(J320*(1+K320/30),1),"")</f>
        <v/>
      </c>
      <c r="W320" s="22"/>
      <c r="X320" s="21" t="str">
        <f aca="false">IF(AND(F320="Bilbo",E320&lt;&gt;"",G320&lt;&gt;"",H320&lt;&gt;""),E320&amp;"|"&amp;G320&amp;"|"&amp;H320,"")</f>
        <v/>
      </c>
      <c r="Y320" s="21" t="str">
        <f aca="false">IF(B320="","",IF(B320&lt;&gt;B319,1,0))</f>
        <v/>
      </c>
    </row>
    <row r="321" customFormat="false" ht="15" hidden="false" customHeight="true" outlineLevel="0" collapsed="false">
      <c r="A321" s="21" t="str">
        <f aca="false">IF(B321="","",ROW()-4)</f>
        <v/>
      </c>
      <c r="B321" s="22"/>
      <c r="C321" s="21" t="str">
        <f aca="false">IF(B321="","",CHOOSE(WEEKDAY(B321,2),"LUNES","MARTES","MIÉRCOLES","JUEVES","VIERNES","SÁBADO","DOMINGO"))</f>
        <v/>
      </c>
      <c r="M321" s="23"/>
      <c r="Q321" s="21" t="str">
        <f aca="false">IF(OR(K321="",N321=""),"",K321-N321)</f>
        <v/>
      </c>
      <c r="R321" s="21" t="str">
        <f aca="false">IF(OR(J321="",K321=""),"",J321*K321)</f>
        <v/>
      </c>
      <c r="S321" s="21" t="str">
        <f aca="false">IF(AND(ISNUMBER(J321),ISNUMBER(K321),F321&lt;&gt;"Calentamiento",F321&lt;&gt;"Bilbo"),IF(AND(K321&gt;0,K321&lt;=12),ROUND(J321*(1+(K321+IF(ISNUMBER(L321),L321,0))/30),1),""),"")</f>
        <v/>
      </c>
      <c r="T321" s="21" t="str">
        <f aca="false">IF(AND(F321="Bilbo",ISNUMBER(J321),ISNUMBER(K321)),ROUND(J321*(1+K321/30),1),"")</f>
        <v/>
      </c>
      <c r="W321" s="22"/>
      <c r="X321" s="21" t="str">
        <f aca="false">IF(AND(F321="Bilbo",E321&lt;&gt;"",G321&lt;&gt;"",H321&lt;&gt;""),E321&amp;"|"&amp;G321&amp;"|"&amp;H321,"")</f>
        <v/>
      </c>
      <c r="Y321" s="21" t="str">
        <f aca="false">IF(B321="","",IF(B321&lt;&gt;B320,1,0))</f>
        <v/>
      </c>
    </row>
    <row r="322" customFormat="false" ht="15" hidden="false" customHeight="true" outlineLevel="0" collapsed="false">
      <c r="A322" s="21" t="str">
        <f aca="false">IF(B322="","",ROW()-4)</f>
        <v/>
      </c>
      <c r="B322" s="22"/>
      <c r="C322" s="21" t="str">
        <f aca="false">IF(B322="","",CHOOSE(WEEKDAY(B322,2),"LUNES","MARTES","MIÉRCOLES","JUEVES","VIERNES","SÁBADO","DOMINGO"))</f>
        <v/>
      </c>
      <c r="M322" s="23"/>
      <c r="Q322" s="21" t="str">
        <f aca="false">IF(OR(K322="",N322=""),"",K322-N322)</f>
        <v/>
      </c>
      <c r="R322" s="21" t="str">
        <f aca="false">IF(OR(J322="",K322=""),"",J322*K322)</f>
        <v/>
      </c>
      <c r="S322" s="21" t="str">
        <f aca="false">IF(AND(ISNUMBER(J322),ISNUMBER(K322),F322&lt;&gt;"Calentamiento",F322&lt;&gt;"Bilbo"),IF(AND(K322&gt;0,K322&lt;=12),ROUND(J322*(1+(K322+IF(ISNUMBER(L322),L322,0))/30),1),""),"")</f>
        <v/>
      </c>
      <c r="T322" s="21" t="str">
        <f aca="false">IF(AND(F322="Bilbo",ISNUMBER(J322),ISNUMBER(K322)),ROUND(J322*(1+K322/30),1),"")</f>
        <v/>
      </c>
      <c r="W322" s="22"/>
      <c r="X322" s="21" t="str">
        <f aca="false">IF(AND(F322="Bilbo",E322&lt;&gt;"",G322&lt;&gt;"",H322&lt;&gt;""),E322&amp;"|"&amp;G322&amp;"|"&amp;H322,"")</f>
        <v/>
      </c>
      <c r="Y322" s="21" t="str">
        <f aca="false">IF(B322="","",IF(B322&lt;&gt;B321,1,0))</f>
        <v/>
      </c>
    </row>
    <row r="323" customFormat="false" ht="15" hidden="false" customHeight="true" outlineLevel="0" collapsed="false">
      <c r="A323" s="21" t="str">
        <f aca="false">IF(B323="","",ROW()-4)</f>
        <v/>
      </c>
      <c r="B323" s="22"/>
      <c r="C323" s="21" t="str">
        <f aca="false">IF(B323="","",CHOOSE(WEEKDAY(B323,2),"LUNES","MARTES","MIÉRCOLES","JUEVES","VIERNES","SÁBADO","DOMINGO"))</f>
        <v/>
      </c>
      <c r="M323" s="23"/>
      <c r="Q323" s="21" t="str">
        <f aca="false">IF(OR(K323="",N323=""),"",K323-N323)</f>
        <v/>
      </c>
      <c r="R323" s="21" t="str">
        <f aca="false">IF(OR(J323="",K323=""),"",J323*K323)</f>
        <v/>
      </c>
      <c r="S323" s="21" t="str">
        <f aca="false">IF(AND(ISNUMBER(J323),ISNUMBER(K323),F323&lt;&gt;"Calentamiento",F323&lt;&gt;"Bilbo"),IF(AND(K323&gt;0,K323&lt;=12),ROUND(J323*(1+(K323+IF(ISNUMBER(L323),L323,0))/30),1),""),"")</f>
        <v/>
      </c>
      <c r="T323" s="21" t="str">
        <f aca="false">IF(AND(F323="Bilbo",ISNUMBER(J323),ISNUMBER(K323)),ROUND(J323*(1+K323/30),1),"")</f>
        <v/>
      </c>
      <c r="W323" s="22"/>
      <c r="X323" s="21" t="str">
        <f aca="false">IF(AND(F323="Bilbo",E323&lt;&gt;"",G323&lt;&gt;"",H323&lt;&gt;""),E323&amp;"|"&amp;G323&amp;"|"&amp;H323,"")</f>
        <v/>
      </c>
      <c r="Y323" s="21" t="str">
        <f aca="false">IF(B323="","",IF(B323&lt;&gt;B322,1,0))</f>
        <v/>
      </c>
    </row>
    <row r="324" customFormat="false" ht="15" hidden="false" customHeight="true" outlineLevel="0" collapsed="false">
      <c r="A324" s="21" t="str">
        <f aca="false">IF(B324="","",ROW()-4)</f>
        <v/>
      </c>
      <c r="B324" s="22"/>
      <c r="C324" s="21" t="str">
        <f aca="false">IF(B324="","",CHOOSE(WEEKDAY(B324,2),"LUNES","MARTES","MIÉRCOLES","JUEVES","VIERNES","SÁBADO","DOMINGO"))</f>
        <v/>
      </c>
      <c r="M324" s="23"/>
      <c r="Q324" s="21" t="str">
        <f aca="false">IF(OR(K324="",N324=""),"",K324-N324)</f>
        <v/>
      </c>
      <c r="R324" s="21" t="str">
        <f aca="false">IF(OR(J324="",K324=""),"",J324*K324)</f>
        <v/>
      </c>
      <c r="S324" s="21" t="str">
        <f aca="false">IF(AND(ISNUMBER(J324),ISNUMBER(K324),F324&lt;&gt;"Calentamiento",F324&lt;&gt;"Bilbo"),IF(AND(K324&gt;0,K324&lt;=12),ROUND(J324*(1+(K324+IF(ISNUMBER(L324),L324,0))/30),1),""),"")</f>
        <v/>
      </c>
      <c r="T324" s="21" t="str">
        <f aca="false">IF(AND(F324="Bilbo",ISNUMBER(J324),ISNUMBER(K324)),ROUND(J324*(1+K324/30),1),"")</f>
        <v/>
      </c>
      <c r="W324" s="22"/>
      <c r="X324" s="21" t="str">
        <f aca="false">IF(AND(F324="Bilbo",E324&lt;&gt;"",G324&lt;&gt;"",H324&lt;&gt;""),E324&amp;"|"&amp;G324&amp;"|"&amp;H324,"")</f>
        <v/>
      </c>
      <c r="Y324" s="21" t="str">
        <f aca="false">IF(B324="","",IF(B324&lt;&gt;B323,1,0))</f>
        <v/>
      </c>
    </row>
    <row r="325" customFormat="false" ht="15" hidden="false" customHeight="true" outlineLevel="0" collapsed="false">
      <c r="A325" s="21" t="str">
        <f aca="false">IF(B325="","",ROW()-4)</f>
        <v/>
      </c>
      <c r="B325" s="22"/>
      <c r="C325" s="21" t="str">
        <f aca="false">IF(B325="","",CHOOSE(WEEKDAY(B325,2),"LUNES","MARTES","MIÉRCOLES","JUEVES","VIERNES","SÁBADO","DOMINGO"))</f>
        <v/>
      </c>
      <c r="M325" s="23"/>
      <c r="Q325" s="21" t="str">
        <f aca="false">IF(OR(K325="",N325=""),"",K325-N325)</f>
        <v/>
      </c>
      <c r="R325" s="21" t="str">
        <f aca="false">IF(OR(J325="",K325=""),"",J325*K325)</f>
        <v/>
      </c>
      <c r="S325" s="21" t="str">
        <f aca="false">IF(AND(ISNUMBER(J325),ISNUMBER(K325),F325&lt;&gt;"Calentamiento",F325&lt;&gt;"Bilbo"),IF(AND(K325&gt;0,K325&lt;=12),ROUND(J325*(1+(K325+IF(ISNUMBER(L325),L325,0))/30),1),""),"")</f>
        <v/>
      </c>
      <c r="T325" s="21" t="str">
        <f aca="false">IF(AND(F325="Bilbo",ISNUMBER(J325),ISNUMBER(K325)),ROUND(J325*(1+K325/30),1),"")</f>
        <v/>
      </c>
      <c r="W325" s="22"/>
      <c r="X325" s="21" t="str">
        <f aca="false">IF(AND(F325="Bilbo",E325&lt;&gt;"",G325&lt;&gt;"",H325&lt;&gt;""),E325&amp;"|"&amp;G325&amp;"|"&amp;H325,"")</f>
        <v/>
      </c>
      <c r="Y325" s="21" t="str">
        <f aca="false">IF(B325="","",IF(B325&lt;&gt;B324,1,0))</f>
        <v/>
      </c>
    </row>
    <row r="326" customFormat="false" ht="15" hidden="false" customHeight="true" outlineLevel="0" collapsed="false">
      <c r="A326" s="21" t="str">
        <f aca="false">IF(B326="","",ROW()-4)</f>
        <v/>
      </c>
      <c r="B326" s="22"/>
      <c r="C326" s="21" t="str">
        <f aca="false">IF(B326="","",CHOOSE(WEEKDAY(B326,2),"LUNES","MARTES","MIÉRCOLES","JUEVES","VIERNES","SÁBADO","DOMINGO"))</f>
        <v/>
      </c>
      <c r="M326" s="23"/>
      <c r="Q326" s="21" t="str">
        <f aca="false">IF(OR(K326="",N326=""),"",K326-N326)</f>
        <v/>
      </c>
      <c r="R326" s="21" t="str">
        <f aca="false">IF(OR(J326="",K326=""),"",J326*K326)</f>
        <v/>
      </c>
      <c r="S326" s="21" t="str">
        <f aca="false">IF(AND(ISNUMBER(J326),ISNUMBER(K326),F326&lt;&gt;"Calentamiento",F326&lt;&gt;"Bilbo"),IF(AND(K326&gt;0,K326&lt;=12),ROUND(J326*(1+(K326+IF(ISNUMBER(L326),L326,0))/30),1),""),"")</f>
        <v/>
      </c>
      <c r="T326" s="21" t="str">
        <f aca="false">IF(AND(F326="Bilbo",ISNUMBER(J326),ISNUMBER(K326)),ROUND(J326*(1+K326/30),1),"")</f>
        <v/>
      </c>
      <c r="W326" s="22"/>
      <c r="X326" s="21" t="str">
        <f aca="false">IF(AND(F326="Bilbo",E326&lt;&gt;"",G326&lt;&gt;"",H326&lt;&gt;""),E326&amp;"|"&amp;G326&amp;"|"&amp;H326,"")</f>
        <v/>
      </c>
      <c r="Y326" s="21" t="str">
        <f aca="false">IF(B326="","",IF(B326&lt;&gt;B325,1,0))</f>
        <v/>
      </c>
    </row>
    <row r="327" customFormat="false" ht="15" hidden="false" customHeight="true" outlineLevel="0" collapsed="false">
      <c r="A327" s="21" t="str">
        <f aca="false">IF(B327="","",ROW()-4)</f>
        <v/>
      </c>
      <c r="B327" s="22"/>
      <c r="C327" s="21" t="str">
        <f aca="false">IF(B327="","",CHOOSE(WEEKDAY(B327,2),"LUNES","MARTES","MIÉRCOLES","JUEVES","VIERNES","SÁBADO","DOMINGO"))</f>
        <v/>
      </c>
      <c r="M327" s="23"/>
      <c r="Q327" s="21" t="str">
        <f aca="false">IF(OR(K327="",N327=""),"",K327-N327)</f>
        <v/>
      </c>
      <c r="R327" s="21" t="str">
        <f aca="false">IF(OR(J327="",K327=""),"",J327*K327)</f>
        <v/>
      </c>
      <c r="S327" s="21" t="str">
        <f aca="false">IF(AND(ISNUMBER(J327),ISNUMBER(K327),F327&lt;&gt;"Calentamiento",F327&lt;&gt;"Bilbo"),IF(AND(K327&gt;0,K327&lt;=12),ROUND(J327*(1+(K327+IF(ISNUMBER(L327),L327,0))/30),1),""),"")</f>
        <v/>
      </c>
      <c r="T327" s="21" t="str">
        <f aca="false">IF(AND(F327="Bilbo",ISNUMBER(J327),ISNUMBER(K327)),ROUND(J327*(1+K327/30),1),"")</f>
        <v/>
      </c>
      <c r="W327" s="22"/>
      <c r="X327" s="21" t="str">
        <f aca="false">IF(AND(F327="Bilbo",E327&lt;&gt;"",G327&lt;&gt;"",H327&lt;&gt;""),E327&amp;"|"&amp;G327&amp;"|"&amp;H327,"")</f>
        <v/>
      </c>
      <c r="Y327" s="21" t="str">
        <f aca="false">IF(B327="","",IF(B327&lt;&gt;B326,1,0))</f>
        <v/>
      </c>
    </row>
    <row r="328" customFormat="false" ht="15" hidden="false" customHeight="true" outlineLevel="0" collapsed="false">
      <c r="A328" s="21" t="str">
        <f aca="false">IF(B328="","",ROW()-4)</f>
        <v/>
      </c>
      <c r="B328" s="22"/>
      <c r="C328" s="21" t="str">
        <f aca="false">IF(B328="","",CHOOSE(WEEKDAY(B328,2),"LUNES","MARTES","MIÉRCOLES","JUEVES","VIERNES","SÁBADO","DOMINGO"))</f>
        <v/>
      </c>
      <c r="M328" s="23"/>
      <c r="Q328" s="21" t="str">
        <f aca="false">IF(OR(K328="",N328=""),"",K328-N328)</f>
        <v/>
      </c>
      <c r="R328" s="21" t="str">
        <f aca="false">IF(OR(J328="",K328=""),"",J328*K328)</f>
        <v/>
      </c>
      <c r="S328" s="21" t="str">
        <f aca="false">IF(AND(ISNUMBER(J328),ISNUMBER(K328),F328&lt;&gt;"Calentamiento",F328&lt;&gt;"Bilbo"),IF(AND(K328&gt;0,K328&lt;=12),ROUND(J328*(1+(K328+IF(ISNUMBER(L328),L328,0))/30),1),""),"")</f>
        <v/>
      </c>
      <c r="T328" s="21" t="str">
        <f aca="false">IF(AND(F328="Bilbo",ISNUMBER(J328),ISNUMBER(K328)),ROUND(J328*(1+K328/30),1),"")</f>
        <v/>
      </c>
      <c r="W328" s="22"/>
      <c r="X328" s="21" t="str">
        <f aca="false">IF(AND(F328="Bilbo",E328&lt;&gt;"",G328&lt;&gt;"",H328&lt;&gt;""),E328&amp;"|"&amp;G328&amp;"|"&amp;H328,"")</f>
        <v/>
      </c>
      <c r="Y328" s="21" t="str">
        <f aca="false">IF(B328="","",IF(B328&lt;&gt;B327,1,0))</f>
        <v/>
      </c>
    </row>
    <row r="329" customFormat="false" ht="15" hidden="false" customHeight="true" outlineLevel="0" collapsed="false">
      <c r="A329" s="21" t="str">
        <f aca="false">IF(B329="","",ROW()-4)</f>
        <v/>
      </c>
      <c r="B329" s="22"/>
      <c r="C329" s="21" t="str">
        <f aca="false">IF(B329="","",CHOOSE(WEEKDAY(B329,2),"LUNES","MARTES","MIÉRCOLES","JUEVES","VIERNES","SÁBADO","DOMINGO"))</f>
        <v/>
      </c>
      <c r="M329" s="23"/>
      <c r="Q329" s="21" t="str">
        <f aca="false">IF(OR(K329="",N329=""),"",K329-N329)</f>
        <v/>
      </c>
      <c r="R329" s="21" t="str">
        <f aca="false">IF(OR(J329="",K329=""),"",J329*K329)</f>
        <v/>
      </c>
      <c r="S329" s="21" t="str">
        <f aca="false">IF(AND(ISNUMBER(J329),ISNUMBER(K329),F329&lt;&gt;"Calentamiento",F329&lt;&gt;"Bilbo"),IF(AND(K329&gt;0,K329&lt;=12),ROUND(J329*(1+(K329+IF(ISNUMBER(L329),L329,0))/30),1),""),"")</f>
        <v/>
      </c>
      <c r="T329" s="21" t="str">
        <f aca="false">IF(AND(F329="Bilbo",ISNUMBER(J329),ISNUMBER(K329)),ROUND(J329*(1+K329/30),1),"")</f>
        <v/>
      </c>
      <c r="W329" s="22"/>
      <c r="X329" s="21" t="str">
        <f aca="false">IF(AND(F329="Bilbo",E329&lt;&gt;"",G329&lt;&gt;"",H329&lt;&gt;""),E329&amp;"|"&amp;G329&amp;"|"&amp;H329,"")</f>
        <v/>
      </c>
      <c r="Y329" s="21" t="str">
        <f aca="false">IF(B329="","",IF(B329&lt;&gt;B328,1,0))</f>
        <v/>
      </c>
    </row>
    <row r="330" customFormat="false" ht="15" hidden="false" customHeight="true" outlineLevel="0" collapsed="false">
      <c r="A330" s="21" t="str">
        <f aca="false">IF(B330="","",ROW()-4)</f>
        <v/>
      </c>
      <c r="B330" s="22"/>
      <c r="C330" s="21" t="str">
        <f aca="false">IF(B330="","",CHOOSE(WEEKDAY(B330,2),"LUNES","MARTES","MIÉRCOLES","JUEVES","VIERNES","SÁBADO","DOMINGO"))</f>
        <v/>
      </c>
      <c r="M330" s="23"/>
      <c r="Q330" s="21" t="str">
        <f aca="false">IF(OR(K330="",N330=""),"",K330-N330)</f>
        <v/>
      </c>
      <c r="R330" s="21" t="str">
        <f aca="false">IF(OR(J330="",K330=""),"",J330*K330)</f>
        <v/>
      </c>
      <c r="S330" s="21" t="str">
        <f aca="false">IF(AND(ISNUMBER(J330),ISNUMBER(K330),F330&lt;&gt;"Calentamiento",F330&lt;&gt;"Bilbo"),IF(AND(K330&gt;0,K330&lt;=12),ROUND(J330*(1+(K330+IF(ISNUMBER(L330),L330,0))/30),1),""),"")</f>
        <v/>
      </c>
      <c r="T330" s="21" t="str">
        <f aca="false">IF(AND(F330="Bilbo",ISNUMBER(J330),ISNUMBER(K330)),ROUND(J330*(1+K330/30),1),"")</f>
        <v/>
      </c>
      <c r="W330" s="22"/>
      <c r="X330" s="21" t="str">
        <f aca="false">IF(AND(F330="Bilbo",E330&lt;&gt;"",G330&lt;&gt;"",H330&lt;&gt;""),E330&amp;"|"&amp;G330&amp;"|"&amp;H330,"")</f>
        <v/>
      </c>
      <c r="Y330" s="21" t="str">
        <f aca="false">IF(B330="","",IF(B330&lt;&gt;B329,1,0))</f>
        <v/>
      </c>
    </row>
    <row r="331" customFormat="false" ht="15" hidden="false" customHeight="true" outlineLevel="0" collapsed="false">
      <c r="A331" s="21" t="str">
        <f aca="false">IF(B331="","",ROW()-4)</f>
        <v/>
      </c>
      <c r="B331" s="22"/>
      <c r="C331" s="21" t="str">
        <f aca="false">IF(B331="","",CHOOSE(WEEKDAY(B331,2),"LUNES","MARTES","MIÉRCOLES","JUEVES","VIERNES","SÁBADO","DOMINGO"))</f>
        <v/>
      </c>
      <c r="M331" s="23"/>
      <c r="Q331" s="21" t="str">
        <f aca="false">IF(OR(K331="",N331=""),"",K331-N331)</f>
        <v/>
      </c>
      <c r="R331" s="21" t="str">
        <f aca="false">IF(OR(J331="",K331=""),"",J331*K331)</f>
        <v/>
      </c>
      <c r="S331" s="21" t="str">
        <f aca="false">IF(AND(ISNUMBER(J331),ISNUMBER(K331),F331&lt;&gt;"Calentamiento",F331&lt;&gt;"Bilbo"),IF(AND(K331&gt;0,K331&lt;=12),ROUND(J331*(1+(K331+IF(ISNUMBER(L331),L331,0))/30),1),""),"")</f>
        <v/>
      </c>
      <c r="T331" s="21" t="str">
        <f aca="false">IF(AND(F331="Bilbo",ISNUMBER(J331),ISNUMBER(K331)),ROUND(J331*(1+K331/30),1),"")</f>
        <v/>
      </c>
      <c r="W331" s="22"/>
      <c r="X331" s="21" t="str">
        <f aca="false">IF(AND(F331="Bilbo",E331&lt;&gt;"",G331&lt;&gt;"",H331&lt;&gt;""),E331&amp;"|"&amp;G331&amp;"|"&amp;H331,"")</f>
        <v/>
      </c>
      <c r="Y331" s="21" t="str">
        <f aca="false">IF(B331="","",IF(B331&lt;&gt;B330,1,0))</f>
        <v/>
      </c>
    </row>
    <row r="332" customFormat="false" ht="15" hidden="false" customHeight="true" outlineLevel="0" collapsed="false">
      <c r="A332" s="21" t="str">
        <f aca="false">IF(B332="","",ROW()-4)</f>
        <v/>
      </c>
      <c r="B332" s="22"/>
      <c r="C332" s="21" t="str">
        <f aca="false">IF(B332="","",CHOOSE(WEEKDAY(B332,2),"LUNES","MARTES","MIÉRCOLES","JUEVES","VIERNES","SÁBADO","DOMINGO"))</f>
        <v/>
      </c>
      <c r="M332" s="23"/>
      <c r="Q332" s="21" t="str">
        <f aca="false">IF(OR(K332="",N332=""),"",K332-N332)</f>
        <v/>
      </c>
      <c r="R332" s="21" t="str">
        <f aca="false">IF(OR(J332="",K332=""),"",J332*K332)</f>
        <v/>
      </c>
      <c r="S332" s="21" t="str">
        <f aca="false">IF(AND(ISNUMBER(J332),ISNUMBER(K332),F332&lt;&gt;"Calentamiento",F332&lt;&gt;"Bilbo"),IF(AND(K332&gt;0,K332&lt;=12),ROUND(J332*(1+(K332+IF(ISNUMBER(L332),L332,0))/30),1),""),"")</f>
        <v/>
      </c>
      <c r="T332" s="21" t="str">
        <f aca="false">IF(AND(F332="Bilbo",ISNUMBER(J332),ISNUMBER(K332)),ROUND(J332*(1+K332/30),1),"")</f>
        <v/>
      </c>
      <c r="W332" s="22"/>
      <c r="X332" s="21" t="str">
        <f aca="false">IF(AND(F332="Bilbo",E332&lt;&gt;"",G332&lt;&gt;"",H332&lt;&gt;""),E332&amp;"|"&amp;G332&amp;"|"&amp;H332,"")</f>
        <v/>
      </c>
      <c r="Y332" s="21" t="str">
        <f aca="false">IF(B332="","",IF(B332&lt;&gt;B331,1,0))</f>
        <v/>
      </c>
    </row>
    <row r="333" customFormat="false" ht="15" hidden="false" customHeight="true" outlineLevel="0" collapsed="false">
      <c r="A333" s="21" t="str">
        <f aca="false">IF(B333="","",ROW()-4)</f>
        <v/>
      </c>
      <c r="B333" s="22"/>
      <c r="C333" s="21" t="str">
        <f aca="false">IF(B333="","",CHOOSE(WEEKDAY(B333,2),"LUNES","MARTES","MIÉRCOLES","JUEVES","VIERNES","SÁBADO","DOMINGO"))</f>
        <v/>
      </c>
      <c r="M333" s="23"/>
      <c r="Q333" s="21" t="str">
        <f aca="false">IF(OR(K333="",N333=""),"",K333-N333)</f>
        <v/>
      </c>
      <c r="R333" s="21" t="str">
        <f aca="false">IF(OR(J333="",K333=""),"",J333*K333)</f>
        <v/>
      </c>
      <c r="S333" s="21" t="str">
        <f aca="false">IF(AND(ISNUMBER(J333),ISNUMBER(K333),F333&lt;&gt;"Calentamiento",F333&lt;&gt;"Bilbo"),IF(AND(K333&gt;0,K333&lt;=12),ROUND(J333*(1+(K333+IF(ISNUMBER(L333),L333,0))/30),1),""),"")</f>
        <v/>
      </c>
      <c r="T333" s="21" t="str">
        <f aca="false">IF(AND(F333="Bilbo",ISNUMBER(J333),ISNUMBER(K333)),ROUND(J333*(1+K333/30),1),"")</f>
        <v/>
      </c>
      <c r="W333" s="22"/>
      <c r="X333" s="21" t="str">
        <f aca="false">IF(AND(F333="Bilbo",E333&lt;&gt;"",G333&lt;&gt;"",H333&lt;&gt;""),E333&amp;"|"&amp;G333&amp;"|"&amp;H333,"")</f>
        <v/>
      </c>
      <c r="Y333" s="21" t="str">
        <f aca="false">IF(B333="","",IF(B333&lt;&gt;B332,1,0))</f>
        <v/>
      </c>
    </row>
    <row r="334" customFormat="false" ht="15" hidden="false" customHeight="true" outlineLevel="0" collapsed="false">
      <c r="A334" s="21" t="str">
        <f aca="false">IF(B334="","",ROW()-4)</f>
        <v/>
      </c>
      <c r="B334" s="22"/>
      <c r="C334" s="21" t="str">
        <f aca="false">IF(B334="","",CHOOSE(WEEKDAY(B334,2),"LUNES","MARTES","MIÉRCOLES","JUEVES","VIERNES","SÁBADO","DOMINGO"))</f>
        <v/>
      </c>
      <c r="M334" s="23"/>
      <c r="Q334" s="21" t="str">
        <f aca="false">IF(OR(K334="",N334=""),"",K334-N334)</f>
        <v/>
      </c>
      <c r="R334" s="21" t="str">
        <f aca="false">IF(OR(J334="",K334=""),"",J334*K334)</f>
        <v/>
      </c>
      <c r="S334" s="21" t="str">
        <f aca="false">IF(AND(ISNUMBER(J334),ISNUMBER(K334),F334&lt;&gt;"Calentamiento",F334&lt;&gt;"Bilbo"),IF(AND(K334&gt;0,K334&lt;=12),ROUND(J334*(1+(K334+IF(ISNUMBER(L334),L334,0))/30),1),""),"")</f>
        <v/>
      </c>
      <c r="T334" s="21" t="str">
        <f aca="false">IF(AND(F334="Bilbo",ISNUMBER(J334),ISNUMBER(K334)),ROUND(J334*(1+K334/30),1),"")</f>
        <v/>
      </c>
      <c r="W334" s="22"/>
      <c r="X334" s="21" t="str">
        <f aca="false">IF(AND(F334="Bilbo",E334&lt;&gt;"",G334&lt;&gt;"",H334&lt;&gt;""),E334&amp;"|"&amp;G334&amp;"|"&amp;H334,"")</f>
        <v/>
      </c>
      <c r="Y334" s="21" t="str">
        <f aca="false">IF(B334="","",IF(B334&lt;&gt;B333,1,0))</f>
        <v/>
      </c>
    </row>
    <row r="335" customFormat="false" ht="15" hidden="false" customHeight="true" outlineLevel="0" collapsed="false">
      <c r="A335" s="21" t="str">
        <f aca="false">IF(B335="","",ROW()-4)</f>
        <v/>
      </c>
      <c r="B335" s="22"/>
      <c r="C335" s="21" t="str">
        <f aca="false">IF(B335="","",CHOOSE(WEEKDAY(B335,2),"LUNES","MARTES","MIÉRCOLES","JUEVES","VIERNES","SÁBADO","DOMINGO"))</f>
        <v/>
      </c>
      <c r="M335" s="23"/>
      <c r="Q335" s="21" t="str">
        <f aca="false">IF(OR(K335="",N335=""),"",K335-N335)</f>
        <v/>
      </c>
      <c r="R335" s="21" t="str">
        <f aca="false">IF(OR(J335="",K335=""),"",J335*K335)</f>
        <v/>
      </c>
      <c r="S335" s="21" t="str">
        <f aca="false">IF(AND(ISNUMBER(J335),ISNUMBER(K335),F335&lt;&gt;"Calentamiento",F335&lt;&gt;"Bilbo"),IF(AND(K335&gt;0,K335&lt;=12),ROUND(J335*(1+(K335+IF(ISNUMBER(L335),L335,0))/30),1),""),"")</f>
        <v/>
      </c>
      <c r="T335" s="21" t="str">
        <f aca="false">IF(AND(F335="Bilbo",ISNUMBER(J335),ISNUMBER(K335)),ROUND(J335*(1+K335/30),1),"")</f>
        <v/>
      </c>
      <c r="W335" s="22"/>
      <c r="X335" s="21" t="str">
        <f aca="false">IF(AND(F335="Bilbo",E335&lt;&gt;"",G335&lt;&gt;"",H335&lt;&gt;""),E335&amp;"|"&amp;G335&amp;"|"&amp;H335,"")</f>
        <v/>
      </c>
      <c r="Y335" s="21" t="str">
        <f aca="false">IF(B335="","",IF(B335&lt;&gt;B334,1,0))</f>
        <v/>
      </c>
    </row>
    <row r="336" customFormat="false" ht="15" hidden="false" customHeight="true" outlineLevel="0" collapsed="false">
      <c r="A336" s="21" t="str">
        <f aca="false">IF(B336="","",ROW()-4)</f>
        <v/>
      </c>
      <c r="B336" s="22"/>
      <c r="C336" s="21" t="str">
        <f aca="false">IF(B336="","",CHOOSE(WEEKDAY(B336,2),"LUNES","MARTES","MIÉRCOLES","JUEVES","VIERNES","SÁBADO","DOMINGO"))</f>
        <v/>
      </c>
      <c r="M336" s="23"/>
      <c r="Q336" s="21" t="str">
        <f aca="false">IF(OR(K336="",N336=""),"",K336-N336)</f>
        <v/>
      </c>
      <c r="R336" s="21" t="str">
        <f aca="false">IF(OR(J336="",K336=""),"",J336*K336)</f>
        <v/>
      </c>
      <c r="S336" s="21" t="str">
        <f aca="false">IF(AND(ISNUMBER(J336),ISNUMBER(K336),F336&lt;&gt;"Calentamiento",F336&lt;&gt;"Bilbo"),IF(AND(K336&gt;0,K336&lt;=12),ROUND(J336*(1+(K336+IF(ISNUMBER(L336),L336,0))/30),1),""),"")</f>
        <v/>
      </c>
      <c r="T336" s="21" t="str">
        <f aca="false">IF(AND(F336="Bilbo",ISNUMBER(J336),ISNUMBER(K336)),ROUND(J336*(1+K336/30),1),"")</f>
        <v/>
      </c>
      <c r="W336" s="22"/>
      <c r="X336" s="21" t="str">
        <f aca="false">IF(AND(F336="Bilbo",E336&lt;&gt;"",G336&lt;&gt;"",H336&lt;&gt;""),E336&amp;"|"&amp;G336&amp;"|"&amp;H336,"")</f>
        <v/>
      </c>
      <c r="Y336" s="21" t="str">
        <f aca="false">IF(B336="","",IF(B336&lt;&gt;B335,1,0))</f>
        <v/>
      </c>
    </row>
    <row r="337" customFormat="false" ht="15" hidden="false" customHeight="true" outlineLevel="0" collapsed="false">
      <c r="A337" s="21" t="str">
        <f aca="false">IF(B337="","",ROW()-4)</f>
        <v/>
      </c>
      <c r="B337" s="22"/>
      <c r="C337" s="21" t="str">
        <f aca="false">IF(B337="","",CHOOSE(WEEKDAY(B337,2),"LUNES","MARTES","MIÉRCOLES","JUEVES","VIERNES","SÁBADO","DOMINGO"))</f>
        <v/>
      </c>
      <c r="M337" s="23"/>
      <c r="Q337" s="21" t="str">
        <f aca="false">IF(OR(K337="",N337=""),"",K337-N337)</f>
        <v/>
      </c>
      <c r="R337" s="21" t="str">
        <f aca="false">IF(OR(J337="",K337=""),"",J337*K337)</f>
        <v/>
      </c>
      <c r="S337" s="21" t="str">
        <f aca="false">IF(AND(ISNUMBER(J337),ISNUMBER(K337),F337&lt;&gt;"Calentamiento",F337&lt;&gt;"Bilbo"),IF(AND(K337&gt;0,K337&lt;=12),ROUND(J337*(1+(K337+IF(ISNUMBER(L337),L337,0))/30),1),""),"")</f>
        <v/>
      </c>
      <c r="T337" s="21" t="str">
        <f aca="false">IF(AND(F337="Bilbo",ISNUMBER(J337),ISNUMBER(K337)),ROUND(J337*(1+K337/30),1),"")</f>
        <v/>
      </c>
      <c r="W337" s="22"/>
      <c r="X337" s="21" t="str">
        <f aca="false">IF(AND(F337="Bilbo",E337&lt;&gt;"",G337&lt;&gt;"",H337&lt;&gt;""),E337&amp;"|"&amp;G337&amp;"|"&amp;H337,"")</f>
        <v/>
      </c>
      <c r="Y337" s="21" t="str">
        <f aca="false">IF(B337="","",IF(B337&lt;&gt;B336,1,0))</f>
        <v/>
      </c>
    </row>
    <row r="338" customFormat="false" ht="15" hidden="false" customHeight="true" outlineLevel="0" collapsed="false">
      <c r="A338" s="21" t="str">
        <f aca="false">IF(B338="","",ROW()-4)</f>
        <v/>
      </c>
      <c r="B338" s="22"/>
      <c r="C338" s="21" t="str">
        <f aca="false">IF(B338="","",CHOOSE(WEEKDAY(B338,2),"LUNES","MARTES","MIÉRCOLES","JUEVES","VIERNES","SÁBADO","DOMINGO"))</f>
        <v/>
      </c>
      <c r="M338" s="23"/>
      <c r="Q338" s="21" t="str">
        <f aca="false">IF(OR(K338="",N338=""),"",K338-N338)</f>
        <v/>
      </c>
      <c r="R338" s="21" t="str">
        <f aca="false">IF(OR(J338="",K338=""),"",J338*K338)</f>
        <v/>
      </c>
      <c r="S338" s="21" t="str">
        <f aca="false">IF(AND(ISNUMBER(J338),ISNUMBER(K338),F338&lt;&gt;"Calentamiento",F338&lt;&gt;"Bilbo"),IF(AND(K338&gt;0,K338&lt;=12),ROUND(J338*(1+(K338+IF(ISNUMBER(L338),L338,0))/30),1),""),"")</f>
        <v/>
      </c>
      <c r="T338" s="21" t="str">
        <f aca="false">IF(AND(F338="Bilbo",ISNUMBER(J338),ISNUMBER(K338)),ROUND(J338*(1+K338/30),1),"")</f>
        <v/>
      </c>
      <c r="W338" s="22"/>
      <c r="X338" s="21" t="str">
        <f aca="false">IF(AND(F338="Bilbo",E338&lt;&gt;"",G338&lt;&gt;"",H338&lt;&gt;""),E338&amp;"|"&amp;G338&amp;"|"&amp;H338,"")</f>
        <v/>
      </c>
      <c r="Y338" s="21" t="str">
        <f aca="false">IF(B338="","",IF(B338&lt;&gt;B337,1,0))</f>
        <v/>
      </c>
    </row>
    <row r="339" customFormat="false" ht="15" hidden="false" customHeight="true" outlineLevel="0" collapsed="false">
      <c r="A339" s="21" t="str">
        <f aca="false">IF(B339="","",ROW()-4)</f>
        <v/>
      </c>
      <c r="B339" s="22"/>
      <c r="C339" s="21" t="str">
        <f aca="false">IF(B339="","",CHOOSE(WEEKDAY(B339,2),"LUNES","MARTES","MIÉRCOLES","JUEVES","VIERNES","SÁBADO","DOMINGO"))</f>
        <v/>
      </c>
      <c r="M339" s="23"/>
      <c r="Q339" s="21" t="str">
        <f aca="false">IF(OR(K339="",N339=""),"",K339-N339)</f>
        <v/>
      </c>
      <c r="R339" s="21" t="str">
        <f aca="false">IF(OR(J339="",K339=""),"",J339*K339)</f>
        <v/>
      </c>
      <c r="S339" s="21" t="str">
        <f aca="false">IF(AND(ISNUMBER(J339),ISNUMBER(K339),F339&lt;&gt;"Calentamiento",F339&lt;&gt;"Bilbo"),IF(AND(K339&gt;0,K339&lt;=12),ROUND(J339*(1+(K339+IF(ISNUMBER(L339),L339,0))/30),1),""),"")</f>
        <v/>
      </c>
      <c r="T339" s="21" t="str">
        <f aca="false">IF(AND(F339="Bilbo",ISNUMBER(J339),ISNUMBER(K339)),ROUND(J339*(1+K339/30),1),"")</f>
        <v/>
      </c>
      <c r="W339" s="22"/>
      <c r="X339" s="21" t="str">
        <f aca="false">IF(AND(F339="Bilbo",E339&lt;&gt;"",G339&lt;&gt;"",H339&lt;&gt;""),E339&amp;"|"&amp;G339&amp;"|"&amp;H339,"")</f>
        <v/>
      </c>
      <c r="Y339" s="21" t="str">
        <f aca="false">IF(B339="","",IF(B339&lt;&gt;B338,1,0))</f>
        <v/>
      </c>
    </row>
    <row r="340" customFormat="false" ht="15" hidden="false" customHeight="true" outlineLevel="0" collapsed="false">
      <c r="A340" s="21" t="str">
        <f aca="false">IF(B340="","",ROW()-4)</f>
        <v/>
      </c>
      <c r="B340" s="22"/>
      <c r="C340" s="21" t="str">
        <f aca="false">IF(B340="","",CHOOSE(WEEKDAY(B340,2),"LUNES","MARTES","MIÉRCOLES","JUEVES","VIERNES","SÁBADO","DOMINGO"))</f>
        <v/>
      </c>
      <c r="M340" s="23"/>
      <c r="Q340" s="21" t="str">
        <f aca="false">IF(OR(K340="",N340=""),"",K340-N340)</f>
        <v/>
      </c>
      <c r="R340" s="21" t="str">
        <f aca="false">IF(OR(J340="",K340=""),"",J340*K340)</f>
        <v/>
      </c>
      <c r="S340" s="21" t="str">
        <f aca="false">IF(AND(ISNUMBER(J340),ISNUMBER(K340),F340&lt;&gt;"Calentamiento",F340&lt;&gt;"Bilbo"),IF(AND(K340&gt;0,K340&lt;=12),ROUND(J340*(1+(K340+IF(ISNUMBER(L340),L340,0))/30),1),""),"")</f>
        <v/>
      </c>
      <c r="T340" s="21" t="str">
        <f aca="false">IF(AND(F340="Bilbo",ISNUMBER(J340),ISNUMBER(K340)),ROUND(J340*(1+K340/30),1),"")</f>
        <v/>
      </c>
      <c r="W340" s="22"/>
      <c r="X340" s="21" t="str">
        <f aca="false">IF(AND(F340="Bilbo",E340&lt;&gt;"",G340&lt;&gt;"",H340&lt;&gt;""),E340&amp;"|"&amp;G340&amp;"|"&amp;H340,"")</f>
        <v/>
      </c>
      <c r="Y340" s="21" t="str">
        <f aca="false">IF(B340="","",IF(B340&lt;&gt;B339,1,0))</f>
        <v/>
      </c>
    </row>
    <row r="341" customFormat="false" ht="15" hidden="false" customHeight="true" outlineLevel="0" collapsed="false">
      <c r="A341" s="21" t="str">
        <f aca="false">IF(B341="","",ROW()-4)</f>
        <v/>
      </c>
      <c r="B341" s="22"/>
      <c r="C341" s="21" t="str">
        <f aca="false">IF(B341="","",CHOOSE(WEEKDAY(B341,2),"LUNES","MARTES","MIÉRCOLES","JUEVES","VIERNES","SÁBADO","DOMINGO"))</f>
        <v/>
      </c>
      <c r="M341" s="23"/>
      <c r="Q341" s="21" t="str">
        <f aca="false">IF(OR(K341="",N341=""),"",K341-N341)</f>
        <v/>
      </c>
      <c r="R341" s="21" t="str">
        <f aca="false">IF(OR(J341="",K341=""),"",J341*K341)</f>
        <v/>
      </c>
      <c r="S341" s="21" t="str">
        <f aca="false">IF(AND(ISNUMBER(J341),ISNUMBER(K341),F341&lt;&gt;"Calentamiento",F341&lt;&gt;"Bilbo"),IF(AND(K341&gt;0,K341&lt;=12),ROUND(J341*(1+(K341+IF(ISNUMBER(L341),L341,0))/30),1),""),"")</f>
        <v/>
      </c>
      <c r="T341" s="21" t="str">
        <f aca="false">IF(AND(F341="Bilbo",ISNUMBER(J341),ISNUMBER(K341)),ROUND(J341*(1+K341/30),1),"")</f>
        <v/>
      </c>
      <c r="W341" s="22"/>
      <c r="X341" s="21" t="str">
        <f aca="false">IF(AND(F341="Bilbo",E341&lt;&gt;"",G341&lt;&gt;"",H341&lt;&gt;""),E341&amp;"|"&amp;G341&amp;"|"&amp;H341,"")</f>
        <v/>
      </c>
      <c r="Y341" s="21" t="str">
        <f aca="false">IF(B341="","",IF(B341&lt;&gt;B340,1,0))</f>
        <v/>
      </c>
    </row>
    <row r="342" customFormat="false" ht="15" hidden="false" customHeight="true" outlineLevel="0" collapsed="false">
      <c r="A342" s="21" t="str">
        <f aca="false">IF(B342="","",ROW()-4)</f>
        <v/>
      </c>
      <c r="B342" s="22"/>
      <c r="C342" s="21" t="str">
        <f aca="false">IF(B342="","",CHOOSE(WEEKDAY(B342,2),"LUNES","MARTES","MIÉRCOLES","JUEVES","VIERNES","SÁBADO","DOMINGO"))</f>
        <v/>
      </c>
      <c r="M342" s="23"/>
      <c r="Q342" s="21" t="str">
        <f aca="false">IF(OR(K342="",N342=""),"",K342-N342)</f>
        <v/>
      </c>
      <c r="R342" s="21" t="str">
        <f aca="false">IF(OR(J342="",K342=""),"",J342*K342)</f>
        <v/>
      </c>
      <c r="S342" s="21" t="str">
        <f aca="false">IF(AND(ISNUMBER(J342),ISNUMBER(K342),F342&lt;&gt;"Calentamiento",F342&lt;&gt;"Bilbo"),IF(AND(K342&gt;0,K342&lt;=12),ROUND(J342*(1+(K342+IF(ISNUMBER(L342),L342,0))/30),1),""),"")</f>
        <v/>
      </c>
      <c r="T342" s="21" t="str">
        <f aca="false">IF(AND(F342="Bilbo",ISNUMBER(J342),ISNUMBER(K342)),ROUND(J342*(1+K342/30),1),"")</f>
        <v/>
      </c>
      <c r="W342" s="22"/>
      <c r="X342" s="21" t="str">
        <f aca="false">IF(AND(F342="Bilbo",E342&lt;&gt;"",G342&lt;&gt;"",H342&lt;&gt;""),E342&amp;"|"&amp;G342&amp;"|"&amp;H342,"")</f>
        <v/>
      </c>
      <c r="Y342" s="21" t="str">
        <f aca="false">IF(B342="","",IF(B342&lt;&gt;B341,1,0))</f>
        <v/>
      </c>
    </row>
    <row r="343" customFormat="false" ht="15" hidden="false" customHeight="true" outlineLevel="0" collapsed="false">
      <c r="A343" s="21" t="str">
        <f aca="false">IF(B343="","",ROW()-4)</f>
        <v/>
      </c>
      <c r="B343" s="22"/>
      <c r="C343" s="21" t="str">
        <f aca="false">IF(B343="","",CHOOSE(WEEKDAY(B343,2),"LUNES","MARTES","MIÉRCOLES","JUEVES","VIERNES","SÁBADO","DOMINGO"))</f>
        <v/>
      </c>
      <c r="M343" s="23"/>
      <c r="Q343" s="21" t="str">
        <f aca="false">IF(OR(K343="",N343=""),"",K343-N343)</f>
        <v/>
      </c>
      <c r="R343" s="21" t="str">
        <f aca="false">IF(OR(J343="",K343=""),"",J343*K343)</f>
        <v/>
      </c>
      <c r="S343" s="21" t="str">
        <f aca="false">IF(AND(ISNUMBER(J343),ISNUMBER(K343),F343&lt;&gt;"Calentamiento",F343&lt;&gt;"Bilbo"),IF(AND(K343&gt;0,K343&lt;=12),ROUND(J343*(1+(K343+IF(ISNUMBER(L343),L343,0))/30),1),""),"")</f>
        <v/>
      </c>
      <c r="T343" s="21" t="str">
        <f aca="false">IF(AND(F343="Bilbo",ISNUMBER(J343),ISNUMBER(K343)),ROUND(J343*(1+K343/30),1),"")</f>
        <v/>
      </c>
      <c r="W343" s="22"/>
      <c r="X343" s="21" t="str">
        <f aca="false">IF(AND(F343="Bilbo",E343&lt;&gt;"",G343&lt;&gt;"",H343&lt;&gt;""),E343&amp;"|"&amp;G343&amp;"|"&amp;H343,"")</f>
        <v/>
      </c>
      <c r="Y343" s="21" t="str">
        <f aca="false">IF(B343="","",IF(B343&lt;&gt;B342,1,0))</f>
        <v/>
      </c>
    </row>
    <row r="344" customFormat="false" ht="15" hidden="false" customHeight="true" outlineLevel="0" collapsed="false">
      <c r="A344" s="21" t="str">
        <f aca="false">IF(B344="","",ROW()-4)</f>
        <v/>
      </c>
      <c r="B344" s="22"/>
      <c r="C344" s="21" t="str">
        <f aca="false">IF(B344="","",CHOOSE(WEEKDAY(B344,2),"LUNES","MARTES","MIÉRCOLES","JUEVES","VIERNES","SÁBADO","DOMINGO"))</f>
        <v/>
      </c>
      <c r="M344" s="23"/>
      <c r="Q344" s="21" t="str">
        <f aca="false">IF(OR(K344="",N344=""),"",K344-N344)</f>
        <v/>
      </c>
      <c r="R344" s="21" t="str">
        <f aca="false">IF(OR(J344="",K344=""),"",J344*K344)</f>
        <v/>
      </c>
      <c r="S344" s="21" t="str">
        <f aca="false">IF(AND(ISNUMBER(J344),ISNUMBER(K344),F344&lt;&gt;"Calentamiento",F344&lt;&gt;"Bilbo"),IF(AND(K344&gt;0,K344&lt;=12),ROUND(J344*(1+(K344+IF(ISNUMBER(L344),L344,0))/30),1),""),"")</f>
        <v/>
      </c>
      <c r="T344" s="21" t="str">
        <f aca="false">IF(AND(F344="Bilbo",ISNUMBER(J344),ISNUMBER(K344)),ROUND(J344*(1+K344/30),1),"")</f>
        <v/>
      </c>
      <c r="W344" s="22"/>
      <c r="X344" s="21" t="str">
        <f aca="false">IF(AND(F344="Bilbo",E344&lt;&gt;"",G344&lt;&gt;"",H344&lt;&gt;""),E344&amp;"|"&amp;G344&amp;"|"&amp;H344,"")</f>
        <v/>
      </c>
      <c r="Y344" s="21" t="str">
        <f aca="false">IF(B344="","",IF(B344&lt;&gt;B343,1,0))</f>
        <v/>
      </c>
    </row>
    <row r="345" customFormat="false" ht="15" hidden="false" customHeight="true" outlineLevel="0" collapsed="false">
      <c r="A345" s="21" t="str">
        <f aca="false">IF(B345="","",ROW()-4)</f>
        <v/>
      </c>
      <c r="B345" s="22"/>
      <c r="C345" s="21" t="str">
        <f aca="false">IF(B345="","",CHOOSE(WEEKDAY(B345,2),"LUNES","MARTES","MIÉRCOLES","JUEVES","VIERNES","SÁBADO","DOMINGO"))</f>
        <v/>
      </c>
      <c r="M345" s="23"/>
      <c r="Q345" s="21" t="str">
        <f aca="false">IF(OR(K345="",N345=""),"",K345-N345)</f>
        <v/>
      </c>
      <c r="R345" s="21" t="str">
        <f aca="false">IF(OR(J345="",K345=""),"",J345*K345)</f>
        <v/>
      </c>
      <c r="S345" s="21" t="str">
        <f aca="false">IF(AND(ISNUMBER(J345),ISNUMBER(K345),F345&lt;&gt;"Calentamiento",F345&lt;&gt;"Bilbo"),IF(AND(K345&gt;0,K345&lt;=12),ROUND(J345*(1+(K345+IF(ISNUMBER(L345),L345,0))/30),1),""),"")</f>
        <v/>
      </c>
      <c r="T345" s="21" t="str">
        <f aca="false">IF(AND(F345="Bilbo",ISNUMBER(J345),ISNUMBER(K345)),ROUND(J345*(1+K345/30),1),"")</f>
        <v/>
      </c>
      <c r="W345" s="22"/>
      <c r="X345" s="21" t="str">
        <f aca="false">IF(AND(F345="Bilbo",E345&lt;&gt;"",G345&lt;&gt;"",H345&lt;&gt;""),E345&amp;"|"&amp;G345&amp;"|"&amp;H345,"")</f>
        <v/>
      </c>
      <c r="Y345" s="21" t="str">
        <f aca="false">IF(B345="","",IF(B345&lt;&gt;B344,1,0))</f>
        <v/>
      </c>
    </row>
    <row r="346" customFormat="false" ht="15" hidden="false" customHeight="true" outlineLevel="0" collapsed="false">
      <c r="A346" s="21" t="str">
        <f aca="false">IF(B346="","",ROW()-4)</f>
        <v/>
      </c>
      <c r="B346" s="22"/>
      <c r="C346" s="21" t="str">
        <f aca="false">IF(B346="","",CHOOSE(WEEKDAY(B346,2),"LUNES","MARTES","MIÉRCOLES","JUEVES","VIERNES","SÁBADO","DOMINGO"))</f>
        <v/>
      </c>
      <c r="M346" s="23"/>
      <c r="Q346" s="21" t="str">
        <f aca="false">IF(OR(K346="",N346=""),"",K346-N346)</f>
        <v/>
      </c>
      <c r="R346" s="21" t="str">
        <f aca="false">IF(OR(J346="",K346=""),"",J346*K346)</f>
        <v/>
      </c>
      <c r="S346" s="21" t="str">
        <f aca="false">IF(AND(ISNUMBER(J346),ISNUMBER(K346),F346&lt;&gt;"Calentamiento",F346&lt;&gt;"Bilbo"),IF(AND(K346&gt;0,K346&lt;=12),ROUND(J346*(1+(K346+IF(ISNUMBER(L346),L346,0))/30),1),""),"")</f>
        <v/>
      </c>
      <c r="T346" s="21" t="str">
        <f aca="false">IF(AND(F346="Bilbo",ISNUMBER(J346),ISNUMBER(K346)),ROUND(J346*(1+K346/30),1),"")</f>
        <v/>
      </c>
      <c r="W346" s="22"/>
      <c r="X346" s="21" t="str">
        <f aca="false">IF(AND(F346="Bilbo",E346&lt;&gt;"",G346&lt;&gt;"",H346&lt;&gt;""),E346&amp;"|"&amp;G346&amp;"|"&amp;H346,"")</f>
        <v/>
      </c>
      <c r="Y346" s="21" t="str">
        <f aca="false">IF(B346="","",IF(B346&lt;&gt;B345,1,0))</f>
        <v/>
      </c>
    </row>
    <row r="347" customFormat="false" ht="15" hidden="false" customHeight="true" outlineLevel="0" collapsed="false">
      <c r="A347" s="21" t="str">
        <f aca="false">IF(B347="","",ROW()-4)</f>
        <v/>
      </c>
      <c r="B347" s="22"/>
      <c r="C347" s="21" t="str">
        <f aca="false">IF(B347="","",CHOOSE(WEEKDAY(B347,2),"LUNES","MARTES","MIÉRCOLES","JUEVES","VIERNES","SÁBADO","DOMINGO"))</f>
        <v/>
      </c>
      <c r="M347" s="23"/>
      <c r="Q347" s="21" t="str">
        <f aca="false">IF(OR(K347="",N347=""),"",K347-N347)</f>
        <v/>
      </c>
      <c r="R347" s="21" t="str">
        <f aca="false">IF(OR(J347="",K347=""),"",J347*K347)</f>
        <v/>
      </c>
      <c r="S347" s="21" t="str">
        <f aca="false">IF(AND(ISNUMBER(J347),ISNUMBER(K347),F347&lt;&gt;"Calentamiento",F347&lt;&gt;"Bilbo"),IF(AND(K347&gt;0,K347&lt;=12),ROUND(J347*(1+(K347+IF(ISNUMBER(L347),L347,0))/30),1),""),"")</f>
        <v/>
      </c>
      <c r="T347" s="21" t="str">
        <f aca="false">IF(AND(F347="Bilbo",ISNUMBER(J347),ISNUMBER(K347)),ROUND(J347*(1+K347/30),1),"")</f>
        <v/>
      </c>
      <c r="W347" s="22"/>
      <c r="X347" s="21" t="str">
        <f aca="false">IF(AND(F347="Bilbo",E347&lt;&gt;"",G347&lt;&gt;"",H347&lt;&gt;""),E347&amp;"|"&amp;G347&amp;"|"&amp;H347,"")</f>
        <v/>
      </c>
      <c r="Y347" s="21" t="str">
        <f aca="false">IF(B347="","",IF(B347&lt;&gt;B346,1,0))</f>
        <v/>
      </c>
    </row>
    <row r="348" customFormat="false" ht="15" hidden="false" customHeight="true" outlineLevel="0" collapsed="false">
      <c r="A348" s="21" t="str">
        <f aca="false">IF(B348="","",ROW()-4)</f>
        <v/>
      </c>
      <c r="B348" s="22"/>
      <c r="C348" s="21" t="str">
        <f aca="false">IF(B348="","",CHOOSE(WEEKDAY(B348,2),"LUNES","MARTES","MIÉRCOLES","JUEVES","VIERNES","SÁBADO","DOMINGO"))</f>
        <v/>
      </c>
      <c r="M348" s="23"/>
      <c r="Q348" s="21" t="str">
        <f aca="false">IF(OR(K348="",N348=""),"",K348-N348)</f>
        <v/>
      </c>
      <c r="R348" s="21" t="str">
        <f aca="false">IF(OR(J348="",K348=""),"",J348*K348)</f>
        <v/>
      </c>
      <c r="S348" s="21" t="str">
        <f aca="false">IF(AND(ISNUMBER(J348),ISNUMBER(K348),F348&lt;&gt;"Calentamiento",F348&lt;&gt;"Bilbo"),IF(AND(K348&gt;0,K348&lt;=12),ROUND(J348*(1+(K348+IF(ISNUMBER(L348),L348,0))/30),1),""),"")</f>
        <v/>
      </c>
      <c r="T348" s="21" t="str">
        <f aca="false">IF(AND(F348="Bilbo",ISNUMBER(J348),ISNUMBER(K348)),ROUND(J348*(1+K348/30),1),"")</f>
        <v/>
      </c>
      <c r="W348" s="22"/>
      <c r="X348" s="21" t="str">
        <f aca="false">IF(AND(F348="Bilbo",E348&lt;&gt;"",G348&lt;&gt;"",H348&lt;&gt;""),E348&amp;"|"&amp;G348&amp;"|"&amp;H348,"")</f>
        <v/>
      </c>
      <c r="Y348" s="21" t="str">
        <f aca="false">IF(B348="","",IF(B348&lt;&gt;B347,1,0))</f>
        <v/>
      </c>
    </row>
    <row r="349" customFormat="false" ht="15" hidden="false" customHeight="true" outlineLevel="0" collapsed="false">
      <c r="A349" s="21" t="str">
        <f aca="false">IF(B349="","",ROW()-4)</f>
        <v/>
      </c>
      <c r="B349" s="22"/>
      <c r="C349" s="21" t="str">
        <f aca="false">IF(B349="","",CHOOSE(WEEKDAY(B349,2),"LUNES","MARTES","MIÉRCOLES","JUEVES","VIERNES","SÁBADO","DOMINGO"))</f>
        <v/>
      </c>
      <c r="M349" s="23"/>
      <c r="Q349" s="21" t="str">
        <f aca="false">IF(OR(K349="",N349=""),"",K349-N349)</f>
        <v/>
      </c>
      <c r="R349" s="21" t="str">
        <f aca="false">IF(OR(J349="",K349=""),"",J349*K349)</f>
        <v/>
      </c>
      <c r="S349" s="21" t="str">
        <f aca="false">IF(AND(ISNUMBER(J349),ISNUMBER(K349),F349&lt;&gt;"Calentamiento",F349&lt;&gt;"Bilbo"),IF(AND(K349&gt;0,K349&lt;=12),ROUND(J349*(1+(K349+IF(ISNUMBER(L349),L349,0))/30),1),""),"")</f>
        <v/>
      </c>
      <c r="T349" s="21" t="str">
        <f aca="false">IF(AND(F349="Bilbo",ISNUMBER(J349),ISNUMBER(K349)),ROUND(J349*(1+K349/30),1),"")</f>
        <v/>
      </c>
      <c r="W349" s="22"/>
      <c r="X349" s="21" t="str">
        <f aca="false">IF(AND(F349="Bilbo",E349&lt;&gt;"",G349&lt;&gt;"",H349&lt;&gt;""),E349&amp;"|"&amp;G349&amp;"|"&amp;H349,"")</f>
        <v/>
      </c>
      <c r="Y349" s="21" t="str">
        <f aca="false">IF(B349="","",IF(B349&lt;&gt;B348,1,0))</f>
        <v/>
      </c>
    </row>
    <row r="350" customFormat="false" ht="15" hidden="false" customHeight="true" outlineLevel="0" collapsed="false">
      <c r="A350" s="21" t="str">
        <f aca="false">IF(B350="","",ROW()-4)</f>
        <v/>
      </c>
      <c r="B350" s="22"/>
      <c r="C350" s="21" t="str">
        <f aca="false">IF(B350="","",CHOOSE(WEEKDAY(B350,2),"LUNES","MARTES","MIÉRCOLES","JUEVES","VIERNES","SÁBADO","DOMINGO"))</f>
        <v/>
      </c>
      <c r="M350" s="23"/>
      <c r="Q350" s="21" t="str">
        <f aca="false">IF(OR(K350="",N350=""),"",K350-N350)</f>
        <v/>
      </c>
      <c r="R350" s="21" t="str">
        <f aca="false">IF(OR(J350="",K350=""),"",J350*K350)</f>
        <v/>
      </c>
      <c r="S350" s="21" t="str">
        <f aca="false">IF(AND(ISNUMBER(J350),ISNUMBER(K350),F350&lt;&gt;"Calentamiento",F350&lt;&gt;"Bilbo"),IF(AND(K350&gt;0,K350&lt;=12),ROUND(J350*(1+(K350+IF(ISNUMBER(L350),L350,0))/30),1),""),"")</f>
        <v/>
      </c>
      <c r="T350" s="21" t="str">
        <f aca="false">IF(AND(F350="Bilbo",ISNUMBER(J350),ISNUMBER(K350)),ROUND(J350*(1+K350/30),1),"")</f>
        <v/>
      </c>
      <c r="W350" s="22"/>
      <c r="X350" s="21" t="str">
        <f aca="false">IF(AND(F350="Bilbo",E350&lt;&gt;"",G350&lt;&gt;"",H350&lt;&gt;""),E350&amp;"|"&amp;G350&amp;"|"&amp;H350,"")</f>
        <v/>
      </c>
      <c r="Y350" s="21" t="str">
        <f aca="false">IF(B350="","",IF(B350&lt;&gt;B349,1,0))</f>
        <v/>
      </c>
    </row>
    <row r="351" customFormat="false" ht="15" hidden="false" customHeight="true" outlineLevel="0" collapsed="false">
      <c r="A351" s="21" t="str">
        <f aca="false">IF(B351="","",ROW()-4)</f>
        <v/>
      </c>
      <c r="B351" s="22"/>
      <c r="C351" s="21" t="str">
        <f aca="false">IF(B351="","",CHOOSE(WEEKDAY(B351,2),"LUNES","MARTES","MIÉRCOLES","JUEVES","VIERNES","SÁBADO","DOMINGO"))</f>
        <v/>
      </c>
      <c r="M351" s="23"/>
      <c r="Q351" s="21" t="str">
        <f aca="false">IF(OR(K351="",N351=""),"",K351-N351)</f>
        <v/>
      </c>
      <c r="R351" s="21" t="str">
        <f aca="false">IF(OR(J351="",K351=""),"",J351*K351)</f>
        <v/>
      </c>
      <c r="S351" s="21" t="str">
        <f aca="false">IF(AND(ISNUMBER(J351),ISNUMBER(K351),F351&lt;&gt;"Calentamiento",F351&lt;&gt;"Bilbo"),IF(AND(K351&gt;0,K351&lt;=12),ROUND(J351*(1+(K351+IF(ISNUMBER(L351),L351,0))/30),1),""),"")</f>
        <v/>
      </c>
      <c r="T351" s="21" t="str">
        <f aca="false">IF(AND(F351="Bilbo",ISNUMBER(J351),ISNUMBER(K351)),ROUND(J351*(1+K351/30),1),"")</f>
        <v/>
      </c>
      <c r="W351" s="22"/>
      <c r="X351" s="21" t="str">
        <f aca="false">IF(AND(F351="Bilbo",E351&lt;&gt;"",G351&lt;&gt;"",H351&lt;&gt;""),E351&amp;"|"&amp;G351&amp;"|"&amp;H351,"")</f>
        <v/>
      </c>
      <c r="Y351" s="21" t="str">
        <f aca="false">IF(B351="","",IF(B351&lt;&gt;B350,1,0))</f>
        <v/>
      </c>
    </row>
    <row r="352" customFormat="false" ht="15" hidden="false" customHeight="true" outlineLevel="0" collapsed="false">
      <c r="A352" s="21" t="str">
        <f aca="false">IF(B352="","",ROW()-4)</f>
        <v/>
      </c>
      <c r="B352" s="22"/>
      <c r="C352" s="21" t="str">
        <f aca="false">IF(B352="","",CHOOSE(WEEKDAY(B352,2),"LUNES","MARTES","MIÉRCOLES","JUEVES","VIERNES","SÁBADO","DOMINGO"))</f>
        <v/>
      </c>
      <c r="M352" s="23"/>
      <c r="Q352" s="21" t="str">
        <f aca="false">IF(OR(K352="",N352=""),"",K352-N352)</f>
        <v/>
      </c>
      <c r="R352" s="21" t="str">
        <f aca="false">IF(OR(J352="",K352=""),"",J352*K352)</f>
        <v/>
      </c>
      <c r="S352" s="21" t="str">
        <f aca="false">IF(AND(ISNUMBER(J352),ISNUMBER(K352),F352&lt;&gt;"Calentamiento",F352&lt;&gt;"Bilbo"),IF(AND(K352&gt;0,K352&lt;=12),ROUND(J352*(1+(K352+IF(ISNUMBER(L352),L352,0))/30),1),""),"")</f>
        <v/>
      </c>
      <c r="T352" s="21" t="str">
        <f aca="false">IF(AND(F352="Bilbo",ISNUMBER(J352),ISNUMBER(K352)),ROUND(J352*(1+K352/30),1),"")</f>
        <v/>
      </c>
      <c r="W352" s="22"/>
      <c r="X352" s="21" t="str">
        <f aca="false">IF(AND(F352="Bilbo",E352&lt;&gt;"",G352&lt;&gt;"",H352&lt;&gt;""),E352&amp;"|"&amp;G352&amp;"|"&amp;H352,"")</f>
        <v/>
      </c>
      <c r="Y352" s="21" t="str">
        <f aca="false">IF(B352="","",IF(B352&lt;&gt;B351,1,0))</f>
        <v/>
      </c>
    </row>
    <row r="353" customFormat="false" ht="15" hidden="false" customHeight="true" outlineLevel="0" collapsed="false">
      <c r="A353" s="21" t="str">
        <f aca="false">IF(B353="","",ROW()-4)</f>
        <v/>
      </c>
      <c r="B353" s="22"/>
      <c r="C353" s="21" t="str">
        <f aca="false">IF(B353="","",CHOOSE(WEEKDAY(B353,2),"LUNES","MARTES","MIÉRCOLES","JUEVES","VIERNES","SÁBADO","DOMINGO"))</f>
        <v/>
      </c>
      <c r="M353" s="23"/>
      <c r="Q353" s="21" t="str">
        <f aca="false">IF(OR(K353="",N353=""),"",K353-N353)</f>
        <v/>
      </c>
      <c r="R353" s="21" t="str">
        <f aca="false">IF(OR(J353="",K353=""),"",J353*K353)</f>
        <v/>
      </c>
      <c r="S353" s="21" t="str">
        <f aca="false">IF(AND(ISNUMBER(J353),ISNUMBER(K353),F353&lt;&gt;"Calentamiento",F353&lt;&gt;"Bilbo"),IF(AND(K353&gt;0,K353&lt;=12),ROUND(J353*(1+(K353+IF(ISNUMBER(L353),L353,0))/30),1),""),"")</f>
        <v/>
      </c>
      <c r="T353" s="21" t="str">
        <f aca="false">IF(AND(F353="Bilbo",ISNUMBER(J353),ISNUMBER(K353)),ROUND(J353*(1+K353/30),1),"")</f>
        <v/>
      </c>
      <c r="W353" s="22"/>
      <c r="X353" s="21" t="str">
        <f aca="false">IF(AND(F353="Bilbo",E353&lt;&gt;"",G353&lt;&gt;"",H353&lt;&gt;""),E353&amp;"|"&amp;G353&amp;"|"&amp;H353,"")</f>
        <v/>
      </c>
      <c r="Y353" s="21" t="str">
        <f aca="false">IF(B353="","",IF(B353&lt;&gt;B352,1,0))</f>
        <v/>
      </c>
    </row>
    <row r="354" customFormat="false" ht="15" hidden="false" customHeight="true" outlineLevel="0" collapsed="false">
      <c r="A354" s="21" t="str">
        <f aca="false">IF(B354="","",ROW()-4)</f>
        <v/>
      </c>
      <c r="B354" s="22"/>
      <c r="C354" s="21" t="str">
        <f aca="false">IF(B354="","",CHOOSE(WEEKDAY(B354,2),"LUNES","MARTES","MIÉRCOLES","JUEVES","VIERNES","SÁBADO","DOMINGO"))</f>
        <v/>
      </c>
      <c r="M354" s="23"/>
      <c r="Q354" s="21" t="str">
        <f aca="false">IF(OR(K354="",N354=""),"",K354-N354)</f>
        <v/>
      </c>
      <c r="R354" s="21" t="str">
        <f aca="false">IF(OR(J354="",K354=""),"",J354*K354)</f>
        <v/>
      </c>
      <c r="S354" s="21" t="str">
        <f aca="false">IF(AND(ISNUMBER(J354),ISNUMBER(K354),F354&lt;&gt;"Calentamiento",F354&lt;&gt;"Bilbo"),IF(AND(K354&gt;0,K354&lt;=12),ROUND(J354*(1+(K354+IF(ISNUMBER(L354),L354,0))/30),1),""),"")</f>
        <v/>
      </c>
      <c r="T354" s="21" t="str">
        <f aca="false">IF(AND(F354="Bilbo",ISNUMBER(J354),ISNUMBER(K354)),ROUND(J354*(1+K354/30),1),"")</f>
        <v/>
      </c>
      <c r="W354" s="22"/>
      <c r="X354" s="21" t="str">
        <f aca="false">IF(AND(F354="Bilbo",E354&lt;&gt;"",G354&lt;&gt;"",H354&lt;&gt;""),E354&amp;"|"&amp;G354&amp;"|"&amp;H354,"")</f>
        <v/>
      </c>
      <c r="Y354" s="21" t="str">
        <f aca="false">IF(B354="","",IF(B354&lt;&gt;B353,1,0))</f>
        <v/>
      </c>
    </row>
    <row r="355" customFormat="false" ht="15" hidden="false" customHeight="true" outlineLevel="0" collapsed="false">
      <c r="A355" s="21" t="str">
        <f aca="false">IF(B355="","",ROW()-4)</f>
        <v/>
      </c>
      <c r="B355" s="22"/>
      <c r="C355" s="21" t="str">
        <f aca="false">IF(B355="","",CHOOSE(WEEKDAY(B355,2),"LUNES","MARTES","MIÉRCOLES","JUEVES","VIERNES","SÁBADO","DOMINGO"))</f>
        <v/>
      </c>
      <c r="M355" s="23"/>
      <c r="Q355" s="21" t="str">
        <f aca="false">IF(OR(K355="",N355=""),"",K355-N355)</f>
        <v/>
      </c>
      <c r="R355" s="21" t="str">
        <f aca="false">IF(OR(J355="",K355=""),"",J355*K355)</f>
        <v/>
      </c>
      <c r="S355" s="21" t="str">
        <f aca="false">IF(AND(ISNUMBER(J355),ISNUMBER(K355),F355&lt;&gt;"Calentamiento",F355&lt;&gt;"Bilbo"),IF(AND(K355&gt;0,K355&lt;=12),ROUND(J355*(1+(K355+IF(ISNUMBER(L355),L355,0))/30),1),""),"")</f>
        <v/>
      </c>
      <c r="T355" s="21" t="str">
        <f aca="false">IF(AND(F355="Bilbo",ISNUMBER(J355),ISNUMBER(K355)),ROUND(J355*(1+K355/30),1),"")</f>
        <v/>
      </c>
      <c r="W355" s="22"/>
      <c r="X355" s="21" t="str">
        <f aca="false">IF(AND(F355="Bilbo",E355&lt;&gt;"",G355&lt;&gt;"",H355&lt;&gt;""),E355&amp;"|"&amp;G355&amp;"|"&amp;H355,"")</f>
        <v/>
      </c>
      <c r="Y355" s="21" t="str">
        <f aca="false">IF(B355="","",IF(B355&lt;&gt;B354,1,0))</f>
        <v/>
      </c>
    </row>
    <row r="356" customFormat="false" ht="15" hidden="false" customHeight="true" outlineLevel="0" collapsed="false">
      <c r="A356" s="21" t="str">
        <f aca="false">IF(B356="","",ROW()-4)</f>
        <v/>
      </c>
      <c r="B356" s="22"/>
      <c r="C356" s="21" t="str">
        <f aca="false">IF(B356="","",CHOOSE(WEEKDAY(B356,2),"LUNES","MARTES","MIÉRCOLES","JUEVES","VIERNES","SÁBADO","DOMINGO"))</f>
        <v/>
      </c>
      <c r="M356" s="23"/>
      <c r="Q356" s="21" t="str">
        <f aca="false">IF(OR(K356="",N356=""),"",K356-N356)</f>
        <v/>
      </c>
      <c r="R356" s="21" t="str">
        <f aca="false">IF(OR(J356="",K356=""),"",J356*K356)</f>
        <v/>
      </c>
      <c r="S356" s="21" t="str">
        <f aca="false">IF(AND(ISNUMBER(J356),ISNUMBER(K356),F356&lt;&gt;"Calentamiento",F356&lt;&gt;"Bilbo"),IF(AND(K356&gt;0,K356&lt;=12),ROUND(J356*(1+(K356+IF(ISNUMBER(L356),L356,0))/30),1),""),"")</f>
        <v/>
      </c>
      <c r="T356" s="21" t="str">
        <f aca="false">IF(AND(F356="Bilbo",ISNUMBER(J356),ISNUMBER(K356)),ROUND(J356*(1+K356/30),1),"")</f>
        <v/>
      </c>
      <c r="W356" s="22"/>
      <c r="X356" s="21" t="str">
        <f aca="false">IF(AND(F356="Bilbo",E356&lt;&gt;"",G356&lt;&gt;"",H356&lt;&gt;""),E356&amp;"|"&amp;G356&amp;"|"&amp;H356,"")</f>
        <v/>
      </c>
      <c r="Y356" s="21" t="str">
        <f aca="false">IF(B356="","",IF(B356&lt;&gt;B355,1,0))</f>
        <v/>
      </c>
    </row>
    <row r="357" customFormat="false" ht="15" hidden="false" customHeight="true" outlineLevel="0" collapsed="false">
      <c r="A357" s="21" t="str">
        <f aca="false">IF(B357="","",ROW()-4)</f>
        <v/>
      </c>
      <c r="B357" s="22"/>
      <c r="C357" s="21" t="str">
        <f aca="false">IF(B357="","",CHOOSE(WEEKDAY(B357,2),"LUNES","MARTES","MIÉRCOLES","JUEVES","VIERNES","SÁBADO","DOMINGO"))</f>
        <v/>
      </c>
      <c r="M357" s="23"/>
      <c r="Q357" s="21" t="str">
        <f aca="false">IF(OR(K357="",N357=""),"",K357-N357)</f>
        <v/>
      </c>
      <c r="R357" s="21" t="str">
        <f aca="false">IF(OR(J357="",K357=""),"",J357*K357)</f>
        <v/>
      </c>
      <c r="S357" s="21" t="str">
        <f aca="false">IF(AND(ISNUMBER(J357),ISNUMBER(K357),F357&lt;&gt;"Calentamiento",F357&lt;&gt;"Bilbo"),IF(AND(K357&gt;0,K357&lt;=12),ROUND(J357*(1+(K357+IF(ISNUMBER(L357),L357,0))/30),1),""),"")</f>
        <v/>
      </c>
      <c r="T357" s="21" t="str">
        <f aca="false">IF(AND(F357="Bilbo",ISNUMBER(J357),ISNUMBER(K357)),ROUND(J357*(1+K357/30),1),"")</f>
        <v/>
      </c>
      <c r="W357" s="22"/>
      <c r="X357" s="21" t="str">
        <f aca="false">IF(AND(F357="Bilbo",E357&lt;&gt;"",G357&lt;&gt;"",H357&lt;&gt;""),E357&amp;"|"&amp;G357&amp;"|"&amp;H357,"")</f>
        <v/>
      </c>
      <c r="Y357" s="21" t="str">
        <f aca="false">IF(B357="","",IF(B357&lt;&gt;B356,1,0))</f>
        <v/>
      </c>
    </row>
    <row r="358" customFormat="false" ht="15" hidden="false" customHeight="true" outlineLevel="0" collapsed="false">
      <c r="A358" s="21" t="str">
        <f aca="false">IF(B358="","",ROW()-4)</f>
        <v/>
      </c>
      <c r="B358" s="22"/>
      <c r="C358" s="21" t="str">
        <f aca="false">IF(B358="","",CHOOSE(WEEKDAY(B358,2),"LUNES","MARTES","MIÉRCOLES","JUEVES","VIERNES","SÁBADO","DOMINGO"))</f>
        <v/>
      </c>
      <c r="M358" s="23"/>
      <c r="Q358" s="21" t="str">
        <f aca="false">IF(OR(K358="",N358=""),"",K358-N358)</f>
        <v/>
      </c>
      <c r="R358" s="21" t="str">
        <f aca="false">IF(OR(J358="",K358=""),"",J358*K358)</f>
        <v/>
      </c>
      <c r="S358" s="21" t="str">
        <f aca="false">IF(AND(ISNUMBER(J358),ISNUMBER(K358),F358&lt;&gt;"Calentamiento",F358&lt;&gt;"Bilbo"),IF(AND(K358&gt;0,K358&lt;=12),ROUND(J358*(1+(K358+IF(ISNUMBER(L358),L358,0))/30),1),""),"")</f>
        <v/>
      </c>
      <c r="T358" s="21" t="str">
        <f aca="false">IF(AND(F358="Bilbo",ISNUMBER(J358),ISNUMBER(K358)),ROUND(J358*(1+K358/30),1),"")</f>
        <v/>
      </c>
      <c r="W358" s="22"/>
      <c r="X358" s="21" t="str">
        <f aca="false">IF(AND(F358="Bilbo",E358&lt;&gt;"",G358&lt;&gt;"",H358&lt;&gt;""),E358&amp;"|"&amp;G358&amp;"|"&amp;H358,"")</f>
        <v/>
      </c>
      <c r="Y358" s="21" t="str">
        <f aca="false">IF(B358="","",IF(B358&lt;&gt;B357,1,0))</f>
        <v/>
      </c>
    </row>
    <row r="359" customFormat="false" ht="15" hidden="false" customHeight="true" outlineLevel="0" collapsed="false">
      <c r="A359" s="21" t="str">
        <f aca="false">IF(B359="","",ROW()-4)</f>
        <v/>
      </c>
      <c r="B359" s="22"/>
      <c r="C359" s="21" t="str">
        <f aca="false">IF(B359="","",CHOOSE(WEEKDAY(B359,2),"LUNES","MARTES","MIÉRCOLES","JUEVES","VIERNES","SÁBADO","DOMINGO"))</f>
        <v/>
      </c>
      <c r="M359" s="23"/>
      <c r="Q359" s="21" t="str">
        <f aca="false">IF(OR(K359="",N359=""),"",K359-N359)</f>
        <v/>
      </c>
      <c r="R359" s="21" t="str">
        <f aca="false">IF(OR(J359="",K359=""),"",J359*K359)</f>
        <v/>
      </c>
      <c r="S359" s="21" t="str">
        <f aca="false">IF(AND(ISNUMBER(J359),ISNUMBER(K359),F359&lt;&gt;"Calentamiento",F359&lt;&gt;"Bilbo"),IF(AND(K359&gt;0,K359&lt;=12),ROUND(J359*(1+(K359+IF(ISNUMBER(L359),L359,0))/30),1),""),"")</f>
        <v/>
      </c>
      <c r="T359" s="21" t="str">
        <f aca="false">IF(AND(F359="Bilbo",ISNUMBER(J359),ISNUMBER(K359)),ROUND(J359*(1+K359/30),1),"")</f>
        <v/>
      </c>
      <c r="W359" s="22"/>
      <c r="X359" s="21" t="str">
        <f aca="false">IF(AND(F359="Bilbo",E359&lt;&gt;"",G359&lt;&gt;"",H359&lt;&gt;""),E359&amp;"|"&amp;G359&amp;"|"&amp;H359,"")</f>
        <v/>
      </c>
      <c r="Y359" s="21" t="str">
        <f aca="false">IF(B359="","",IF(B359&lt;&gt;B358,1,0))</f>
        <v/>
      </c>
    </row>
    <row r="360" customFormat="false" ht="15" hidden="false" customHeight="true" outlineLevel="0" collapsed="false">
      <c r="A360" s="21" t="str">
        <f aca="false">IF(B360="","",ROW()-4)</f>
        <v/>
      </c>
      <c r="B360" s="22"/>
      <c r="C360" s="21" t="str">
        <f aca="false">IF(B360="","",CHOOSE(WEEKDAY(B360,2),"LUNES","MARTES","MIÉRCOLES","JUEVES","VIERNES","SÁBADO","DOMINGO"))</f>
        <v/>
      </c>
      <c r="M360" s="23"/>
      <c r="Q360" s="21" t="str">
        <f aca="false">IF(OR(K360="",N360=""),"",K360-N360)</f>
        <v/>
      </c>
      <c r="R360" s="21" t="str">
        <f aca="false">IF(OR(J360="",K360=""),"",J360*K360)</f>
        <v/>
      </c>
      <c r="S360" s="21" t="str">
        <f aca="false">IF(AND(ISNUMBER(J360),ISNUMBER(K360),F360&lt;&gt;"Calentamiento",F360&lt;&gt;"Bilbo"),IF(AND(K360&gt;0,K360&lt;=12),ROUND(J360*(1+(K360+IF(ISNUMBER(L360),L360,0))/30),1),""),"")</f>
        <v/>
      </c>
      <c r="T360" s="21" t="str">
        <f aca="false">IF(AND(F360="Bilbo",ISNUMBER(J360),ISNUMBER(K360)),ROUND(J360*(1+K360/30),1),"")</f>
        <v/>
      </c>
      <c r="W360" s="22"/>
      <c r="X360" s="21" t="str">
        <f aca="false">IF(AND(F360="Bilbo",E360&lt;&gt;"",G360&lt;&gt;"",H360&lt;&gt;""),E360&amp;"|"&amp;G360&amp;"|"&amp;H360,"")</f>
        <v/>
      </c>
      <c r="Y360" s="21" t="str">
        <f aca="false">IF(B360="","",IF(B360&lt;&gt;B359,1,0))</f>
        <v/>
      </c>
    </row>
    <row r="361" customFormat="false" ht="15" hidden="false" customHeight="true" outlineLevel="0" collapsed="false">
      <c r="A361" s="21" t="str">
        <f aca="false">IF(B361="","",ROW()-4)</f>
        <v/>
      </c>
      <c r="B361" s="22"/>
      <c r="C361" s="21" t="str">
        <f aca="false">IF(B361="","",CHOOSE(WEEKDAY(B361,2),"LUNES","MARTES","MIÉRCOLES","JUEVES","VIERNES","SÁBADO","DOMINGO"))</f>
        <v/>
      </c>
      <c r="M361" s="23"/>
      <c r="Q361" s="21" t="str">
        <f aca="false">IF(OR(K361="",N361=""),"",K361-N361)</f>
        <v/>
      </c>
      <c r="R361" s="21" t="str">
        <f aca="false">IF(OR(J361="",K361=""),"",J361*K361)</f>
        <v/>
      </c>
      <c r="S361" s="21" t="str">
        <f aca="false">IF(AND(ISNUMBER(J361),ISNUMBER(K361),F361&lt;&gt;"Calentamiento",F361&lt;&gt;"Bilbo"),IF(AND(K361&gt;0,K361&lt;=12),ROUND(J361*(1+(K361+IF(ISNUMBER(L361),L361,0))/30),1),""),"")</f>
        <v/>
      </c>
      <c r="T361" s="21" t="str">
        <f aca="false">IF(AND(F361="Bilbo",ISNUMBER(J361),ISNUMBER(K361)),ROUND(J361*(1+K361/30),1),"")</f>
        <v/>
      </c>
      <c r="W361" s="22"/>
      <c r="X361" s="21" t="str">
        <f aca="false">IF(AND(F361="Bilbo",E361&lt;&gt;"",G361&lt;&gt;"",H361&lt;&gt;""),E361&amp;"|"&amp;G361&amp;"|"&amp;H361,"")</f>
        <v/>
      </c>
      <c r="Y361" s="21" t="str">
        <f aca="false">IF(B361="","",IF(B361&lt;&gt;B360,1,0))</f>
        <v/>
      </c>
    </row>
    <row r="362" customFormat="false" ht="15" hidden="false" customHeight="true" outlineLevel="0" collapsed="false">
      <c r="A362" s="21" t="str">
        <f aca="false">IF(B362="","",ROW()-4)</f>
        <v/>
      </c>
      <c r="B362" s="22"/>
      <c r="C362" s="21" t="str">
        <f aca="false">IF(B362="","",CHOOSE(WEEKDAY(B362,2),"LUNES","MARTES","MIÉRCOLES","JUEVES","VIERNES","SÁBADO","DOMINGO"))</f>
        <v/>
      </c>
      <c r="M362" s="23"/>
      <c r="Q362" s="21" t="str">
        <f aca="false">IF(OR(K362="",N362=""),"",K362-N362)</f>
        <v/>
      </c>
      <c r="R362" s="21" t="str">
        <f aca="false">IF(OR(J362="",K362=""),"",J362*K362)</f>
        <v/>
      </c>
      <c r="S362" s="21" t="str">
        <f aca="false">IF(AND(ISNUMBER(J362),ISNUMBER(K362),F362&lt;&gt;"Calentamiento",F362&lt;&gt;"Bilbo"),IF(AND(K362&gt;0,K362&lt;=12),ROUND(J362*(1+(K362+IF(ISNUMBER(L362),L362,0))/30),1),""),"")</f>
        <v/>
      </c>
      <c r="T362" s="21" t="str">
        <f aca="false">IF(AND(F362="Bilbo",ISNUMBER(J362),ISNUMBER(K362)),ROUND(J362*(1+K362/30),1),"")</f>
        <v/>
      </c>
      <c r="W362" s="22"/>
      <c r="X362" s="21" t="str">
        <f aca="false">IF(AND(F362="Bilbo",E362&lt;&gt;"",G362&lt;&gt;"",H362&lt;&gt;""),E362&amp;"|"&amp;G362&amp;"|"&amp;H362,"")</f>
        <v/>
      </c>
      <c r="Y362" s="21" t="str">
        <f aca="false">IF(B362="","",IF(B362&lt;&gt;B361,1,0))</f>
        <v/>
      </c>
    </row>
    <row r="363" customFormat="false" ht="15" hidden="false" customHeight="true" outlineLevel="0" collapsed="false">
      <c r="A363" s="21" t="str">
        <f aca="false">IF(B363="","",ROW()-4)</f>
        <v/>
      </c>
      <c r="B363" s="22"/>
      <c r="C363" s="21" t="str">
        <f aca="false">IF(B363="","",CHOOSE(WEEKDAY(B363,2),"LUNES","MARTES","MIÉRCOLES","JUEVES","VIERNES","SÁBADO","DOMINGO"))</f>
        <v/>
      </c>
      <c r="M363" s="23"/>
      <c r="Q363" s="21" t="str">
        <f aca="false">IF(OR(K363="",N363=""),"",K363-N363)</f>
        <v/>
      </c>
      <c r="R363" s="21" t="str">
        <f aca="false">IF(OR(J363="",K363=""),"",J363*K363)</f>
        <v/>
      </c>
      <c r="S363" s="21" t="str">
        <f aca="false">IF(AND(ISNUMBER(J363),ISNUMBER(K363),F363&lt;&gt;"Calentamiento",F363&lt;&gt;"Bilbo"),IF(AND(K363&gt;0,K363&lt;=12),ROUND(J363*(1+(K363+IF(ISNUMBER(L363),L363,0))/30),1),""),"")</f>
        <v/>
      </c>
      <c r="T363" s="21" t="str">
        <f aca="false">IF(AND(F363="Bilbo",ISNUMBER(J363),ISNUMBER(K363)),ROUND(J363*(1+K363/30),1),"")</f>
        <v/>
      </c>
      <c r="W363" s="22"/>
      <c r="X363" s="21" t="str">
        <f aca="false">IF(AND(F363="Bilbo",E363&lt;&gt;"",G363&lt;&gt;"",H363&lt;&gt;""),E363&amp;"|"&amp;G363&amp;"|"&amp;H363,"")</f>
        <v/>
      </c>
      <c r="Y363" s="21" t="str">
        <f aca="false">IF(B363="","",IF(B363&lt;&gt;B362,1,0))</f>
        <v/>
      </c>
    </row>
    <row r="364" customFormat="false" ht="15" hidden="false" customHeight="true" outlineLevel="0" collapsed="false">
      <c r="A364" s="21" t="str">
        <f aca="false">IF(B364="","",ROW()-4)</f>
        <v/>
      </c>
      <c r="B364" s="22"/>
      <c r="C364" s="21" t="str">
        <f aca="false">IF(B364="","",CHOOSE(WEEKDAY(B364,2),"LUNES","MARTES","MIÉRCOLES","JUEVES","VIERNES","SÁBADO","DOMINGO"))</f>
        <v/>
      </c>
      <c r="M364" s="23"/>
      <c r="Q364" s="21" t="str">
        <f aca="false">IF(OR(K364="",N364=""),"",K364-N364)</f>
        <v/>
      </c>
      <c r="R364" s="21" t="str">
        <f aca="false">IF(OR(J364="",K364=""),"",J364*K364)</f>
        <v/>
      </c>
      <c r="S364" s="21" t="str">
        <f aca="false">IF(AND(ISNUMBER(J364),ISNUMBER(K364),F364&lt;&gt;"Calentamiento",F364&lt;&gt;"Bilbo"),IF(AND(K364&gt;0,K364&lt;=12),ROUND(J364*(1+(K364+IF(ISNUMBER(L364),L364,0))/30),1),""),"")</f>
        <v/>
      </c>
      <c r="T364" s="21" t="str">
        <f aca="false">IF(AND(F364="Bilbo",ISNUMBER(J364),ISNUMBER(K364)),ROUND(J364*(1+K364/30),1),"")</f>
        <v/>
      </c>
      <c r="W364" s="22"/>
      <c r="X364" s="21" t="str">
        <f aca="false">IF(AND(F364="Bilbo",E364&lt;&gt;"",G364&lt;&gt;"",H364&lt;&gt;""),E364&amp;"|"&amp;G364&amp;"|"&amp;H364,"")</f>
        <v/>
      </c>
      <c r="Y364" s="21" t="str">
        <f aca="false">IF(B364="","",IF(B364&lt;&gt;B363,1,0))</f>
        <v/>
      </c>
    </row>
    <row r="365" customFormat="false" ht="15" hidden="false" customHeight="true" outlineLevel="0" collapsed="false">
      <c r="A365" s="21" t="str">
        <f aca="false">IF(B365="","",ROW()-4)</f>
        <v/>
      </c>
      <c r="B365" s="22"/>
      <c r="C365" s="21" t="str">
        <f aca="false">IF(B365="","",CHOOSE(WEEKDAY(B365,2),"LUNES","MARTES","MIÉRCOLES","JUEVES","VIERNES","SÁBADO","DOMINGO"))</f>
        <v/>
      </c>
      <c r="M365" s="23"/>
      <c r="Q365" s="21" t="str">
        <f aca="false">IF(OR(K365="",N365=""),"",K365-N365)</f>
        <v/>
      </c>
      <c r="R365" s="21" t="str">
        <f aca="false">IF(OR(J365="",K365=""),"",J365*K365)</f>
        <v/>
      </c>
      <c r="S365" s="21" t="str">
        <f aca="false">IF(AND(ISNUMBER(J365),ISNUMBER(K365),F365&lt;&gt;"Calentamiento",F365&lt;&gt;"Bilbo"),IF(AND(K365&gt;0,K365&lt;=12),ROUND(J365*(1+(K365+IF(ISNUMBER(L365),L365,0))/30),1),""),"")</f>
        <v/>
      </c>
      <c r="T365" s="21" t="str">
        <f aca="false">IF(AND(F365="Bilbo",ISNUMBER(J365),ISNUMBER(K365)),ROUND(J365*(1+K365/30),1),"")</f>
        <v/>
      </c>
      <c r="W365" s="22"/>
      <c r="X365" s="21" t="str">
        <f aca="false">IF(AND(F365="Bilbo",E365&lt;&gt;"",G365&lt;&gt;"",H365&lt;&gt;""),E365&amp;"|"&amp;G365&amp;"|"&amp;H365,"")</f>
        <v/>
      </c>
      <c r="Y365" s="21" t="str">
        <f aca="false">IF(B365="","",IF(B365&lt;&gt;B364,1,0))</f>
        <v/>
      </c>
    </row>
    <row r="366" customFormat="false" ht="15" hidden="false" customHeight="true" outlineLevel="0" collapsed="false">
      <c r="A366" s="21" t="str">
        <f aca="false">IF(B366="","",ROW()-4)</f>
        <v/>
      </c>
      <c r="B366" s="22"/>
      <c r="C366" s="21" t="str">
        <f aca="false">IF(B366="","",CHOOSE(WEEKDAY(B366,2),"LUNES","MARTES","MIÉRCOLES","JUEVES","VIERNES","SÁBADO","DOMINGO"))</f>
        <v/>
      </c>
      <c r="M366" s="23"/>
      <c r="Q366" s="21" t="str">
        <f aca="false">IF(OR(K366="",N366=""),"",K366-N366)</f>
        <v/>
      </c>
      <c r="R366" s="21" t="str">
        <f aca="false">IF(OR(J366="",K366=""),"",J366*K366)</f>
        <v/>
      </c>
      <c r="S366" s="21" t="str">
        <f aca="false">IF(AND(ISNUMBER(J366),ISNUMBER(K366),F366&lt;&gt;"Calentamiento",F366&lt;&gt;"Bilbo"),IF(AND(K366&gt;0,K366&lt;=12),ROUND(J366*(1+(K366+IF(ISNUMBER(L366),L366,0))/30),1),""),"")</f>
        <v/>
      </c>
      <c r="T366" s="21" t="str">
        <f aca="false">IF(AND(F366="Bilbo",ISNUMBER(J366),ISNUMBER(K366)),ROUND(J366*(1+K366/30),1),"")</f>
        <v/>
      </c>
      <c r="W366" s="22"/>
      <c r="X366" s="21" t="str">
        <f aca="false">IF(AND(F366="Bilbo",E366&lt;&gt;"",G366&lt;&gt;"",H366&lt;&gt;""),E366&amp;"|"&amp;G366&amp;"|"&amp;H366,"")</f>
        <v/>
      </c>
      <c r="Y366" s="21" t="str">
        <f aca="false">IF(B366="","",IF(B366&lt;&gt;B365,1,0))</f>
        <v/>
      </c>
    </row>
    <row r="367" customFormat="false" ht="15" hidden="false" customHeight="true" outlineLevel="0" collapsed="false">
      <c r="A367" s="21" t="str">
        <f aca="false">IF(B367="","",ROW()-4)</f>
        <v/>
      </c>
      <c r="B367" s="22"/>
      <c r="C367" s="21" t="str">
        <f aca="false">IF(B367="","",CHOOSE(WEEKDAY(B367,2),"LUNES","MARTES","MIÉRCOLES","JUEVES","VIERNES","SÁBADO","DOMINGO"))</f>
        <v/>
      </c>
      <c r="M367" s="23"/>
      <c r="Q367" s="21" t="str">
        <f aca="false">IF(OR(K367="",N367=""),"",K367-N367)</f>
        <v/>
      </c>
      <c r="R367" s="21" t="str">
        <f aca="false">IF(OR(J367="",K367=""),"",J367*K367)</f>
        <v/>
      </c>
      <c r="S367" s="21" t="str">
        <f aca="false">IF(AND(ISNUMBER(J367),ISNUMBER(K367),F367&lt;&gt;"Calentamiento",F367&lt;&gt;"Bilbo"),IF(AND(K367&gt;0,K367&lt;=12),ROUND(J367*(1+(K367+IF(ISNUMBER(L367),L367,0))/30),1),""),"")</f>
        <v/>
      </c>
      <c r="T367" s="21" t="str">
        <f aca="false">IF(AND(F367="Bilbo",ISNUMBER(J367),ISNUMBER(K367)),ROUND(J367*(1+K367/30),1),"")</f>
        <v/>
      </c>
      <c r="W367" s="22"/>
      <c r="X367" s="21" t="str">
        <f aca="false">IF(AND(F367="Bilbo",E367&lt;&gt;"",G367&lt;&gt;"",H367&lt;&gt;""),E367&amp;"|"&amp;G367&amp;"|"&amp;H367,"")</f>
        <v/>
      </c>
      <c r="Y367" s="21" t="str">
        <f aca="false">IF(B367="","",IF(B367&lt;&gt;B366,1,0))</f>
        <v/>
      </c>
    </row>
    <row r="368" customFormat="false" ht="15" hidden="false" customHeight="true" outlineLevel="0" collapsed="false">
      <c r="A368" s="21" t="str">
        <f aca="false">IF(B368="","",ROW()-4)</f>
        <v/>
      </c>
      <c r="B368" s="22"/>
      <c r="C368" s="21" t="str">
        <f aca="false">IF(B368="","",CHOOSE(WEEKDAY(B368,2),"LUNES","MARTES","MIÉRCOLES","JUEVES","VIERNES","SÁBADO","DOMINGO"))</f>
        <v/>
      </c>
      <c r="M368" s="23"/>
      <c r="Q368" s="21" t="str">
        <f aca="false">IF(OR(K368="",N368=""),"",K368-N368)</f>
        <v/>
      </c>
      <c r="R368" s="21" t="str">
        <f aca="false">IF(OR(J368="",K368=""),"",J368*K368)</f>
        <v/>
      </c>
      <c r="S368" s="21" t="str">
        <f aca="false">IF(AND(ISNUMBER(J368),ISNUMBER(K368),F368&lt;&gt;"Calentamiento",F368&lt;&gt;"Bilbo"),IF(AND(K368&gt;0,K368&lt;=12),ROUND(J368*(1+(K368+IF(ISNUMBER(L368),L368,0))/30),1),""),"")</f>
        <v/>
      </c>
      <c r="T368" s="21" t="str">
        <f aca="false">IF(AND(F368="Bilbo",ISNUMBER(J368),ISNUMBER(K368)),ROUND(J368*(1+K368/30),1),"")</f>
        <v/>
      </c>
      <c r="W368" s="22"/>
      <c r="X368" s="21" t="str">
        <f aca="false">IF(AND(F368="Bilbo",E368&lt;&gt;"",G368&lt;&gt;"",H368&lt;&gt;""),E368&amp;"|"&amp;G368&amp;"|"&amp;H368,"")</f>
        <v/>
      </c>
      <c r="Y368" s="21" t="str">
        <f aca="false">IF(B368="","",IF(B368&lt;&gt;B367,1,0))</f>
        <v/>
      </c>
    </row>
    <row r="369" customFormat="false" ht="15" hidden="false" customHeight="true" outlineLevel="0" collapsed="false">
      <c r="A369" s="21" t="str">
        <f aca="false">IF(B369="","",ROW()-4)</f>
        <v/>
      </c>
      <c r="B369" s="22"/>
      <c r="C369" s="21" t="str">
        <f aca="false">IF(B369="","",CHOOSE(WEEKDAY(B369,2),"LUNES","MARTES","MIÉRCOLES","JUEVES","VIERNES","SÁBADO","DOMINGO"))</f>
        <v/>
      </c>
      <c r="M369" s="23"/>
      <c r="Q369" s="21" t="str">
        <f aca="false">IF(OR(K369="",N369=""),"",K369-N369)</f>
        <v/>
      </c>
      <c r="R369" s="21" t="str">
        <f aca="false">IF(OR(J369="",K369=""),"",J369*K369)</f>
        <v/>
      </c>
      <c r="S369" s="21" t="str">
        <f aca="false">IF(AND(ISNUMBER(J369),ISNUMBER(K369),F369&lt;&gt;"Calentamiento",F369&lt;&gt;"Bilbo"),IF(AND(K369&gt;0,K369&lt;=12),ROUND(J369*(1+(K369+IF(ISNUMBER(L369),L369,0))/30),1),""),"")</f>
        <v/>
      </c>
      <c r="T369" s="21" t="str">
        <f aca="false">IF(AND(F369="Bilbo",ISNUMBER(J369),ISNUMBER(K369)),ROUND(J369*(1+K369/30),1),"")</f>
        <v/>
      </c>
      <c r="W369" s="22"/>
      <c r="X369" s="21" t="str">
        <f aca="false">IF(AND(F369="Bilbo",E369&lt;&gt;"",G369&lt;&gt;"",H369&lt;&gt;""),E369&amp;"|"&amp;G369&amp;"|"&amp;H369,"")</f>
        <v/>
      </c>
      <c r="Y369" s="21" t="str">
        <f aca="false">IF(B369="","",IF(B369&lt;&gt;B368,1,0))</f>
        <v/>
      </c>
    </row>
    <row r="370" customFormat="false" ht="15" hidden="false" customHeight="true" outlineLevel="0" collapsed="false">
      <c r="A370" s="21" t="str">
        <f aca="false">IF(B370="","",ROW()-4)</f>
        <v/>
      </c>
      <c r="B370" s="22"/>
      <c r="C370" s="21" t="str">
        <f aca="false">IF(B370="","",CHOOSE(WEEKDAY(B370,2),"LUNES","MARTES","MIÉRCOLES","JUEVES","VIERNES","SÁBADO","DOMINGO"))</f>
        <v/>
      </c>
      <c r="M370" s="23"/>
      <c r="Q370" s="21" t="str">
        <f aca="false">IF(OR(K370="",N370=""),"",K370-N370)</f>
        <v/>
      </c>
      <c r="R370" s="21" t="str">
        <f aca="false">IF(OR(J370="",K370=""),"",J370*K370)</f>
        <v/>
      </c>
      <c r="S370" s="21" t="str">
        <f aca="false">IF(AND(ISNUMBER(J370),ISNUMBER(K370),F370&lt;&gt;"Calentamiento",F370&lt;&gt;"Bilbo"),IF(AND(K370&gt;0,K370&lt;=12),ROUND(J370*(1+(K370+IF(ISNUMBER(L370),L370,0))/30),1),""),"")</f>
        <v/>
      </c>
      <c r="T370" s="21" t="str">
        <f aca="false">IF(AND(F370="Bilbo",ISNUMBER(J370),ISNUMBER(K370)),ROUND(J370*(1+K370/30),1),"")</f>
        <v/>
      </c>
      <c r="W370" s="22"/>
      <c r="X370" s="21" t="str">
        <f aca="false">IF(AND(F370="Bilbo",E370&lt;&gt;"",G370&lt;&gt;"",H370&lt;&gt;""),E370&amp;"|"&amp;G370&amp;"|"&amp;H370,"")</f>
        <v/>
      </c>
      <c r="Y370" s="21" t="str">
        <f aca="false">IF(B370="","",IF(B370&lt;&gt;B369,1,0))</f>
        <v/>
      </c>
    </row>
    <row r="371" customFormat="false" ht="15" hidden="false" customHeight="true" outlineLevel="0" collapsed="false">
      <c r="A371" s="21" t="str">
        <f aca="false">IF(B371="","",ROW()-4)</f>
        <v/>
      </c>
      <c r="B371" s="22"/>
      <c r="C371" s="21" t="str">
        <f aca="false">IF(B371="","",CHOOSE(WEEKDAY(B371,2),"LUNES","MARTES","MIÉRCOLES","JUEVES","VIERNES","SÁBADO","DOMINGO"))</f>
        <v/>
      </c>
      <c r="M371" s="23"/>
      <c r="Q371" s="21" t="str">
        <f aca="false">IF(OR(K371="",N371=""),"",K371-N371)</f>
        <v/>
      </c>
      <c r="R371" s="21" t="str">
        <f aca="false">IF(OR(J371="",K371=""),"",J371*K371)</f>
        <v/>
      </c>
      <c r="S371" s="21" t="str">
        <f aca="false">IF(AND(ISNUMBER(J371),ISNUMBER(K371),F371&lt;&gt;"Calentamiento",F371&lt;&gt;"Bilbo"),IF(AND(K371&gt;0,K371&lt;=12),ROUND(J371*(1+(K371+IF(ISNUMBER(L371),L371,0))/30),1),""),"")</f>
        <v/>
      </c>
      <c r="T371" s="21" t="str">
        <f aca="false">IF(AND(F371="Bilbo",ISNUMBER(J371),ISNUMBER(K371)),ROUND(J371*(1+K371/30),1),"")</f>
        <v/>
      </c>
      <c r="W371" s="22"/>
      <c r="X371" s="21" t="str">
        <f aca="false">IF(AND(F371="Bilbo",E371&lt;&gt;"",G371&lt;&gt;"",H371&lt;&gt;""),E371&amp;"|"&amp;G371&amp;"|"&amp;H371,"")</f>
        <v/>
      </c>
      <c r="Y371" s="21" t="str">
        <f aca="false">IF(B371="","",IF(B371&lt;&gt;B370,1,0))</f>
        <v/>
      </c>
    </row>
    <row r="372" customFormat="false" ht="15" hidden="false" customHeight="true" outlineLevel="0" collapsed="false">
      <c r="A372" s="21" t="str">
        <f aca="false">IF(B372="","",ROW()-4)</f>
        <v/>
      </c>
      <c r="B372" s="22"/>
      <c r="C372" s="21" t="str">
        <f aca="false">IF(B372="","",CHOOSE(WEEKDAY(B372,2),"LUNES","MARTES","MIÉRCOLES","JUEVES","VIERNES","SÁBADO","DOMINGO"))</f>
        <v/>
      </c>
      <c r="M372" s="23"/>
      <c r="Q372" s="21" t="str">
        <f aca="false">IF(OR(K372="",N372=""),"",K372-N372)</f>
        <v/>
      </c>
      <c r="R372" s="21" t="str">
        <f aca="false">IF(OR(J372="",K372=""),"",J372*K372)</f>
        <v/>
      </c>
      <c r="S372" s="21" t="str">
        <f aca="false">IF(AND(ISNUMBER(J372),ISNUMBER(K372),F372&lt;&gt;"Calentamiento",F372&lt;&gt;"Bilbo"),IF(AND(K372&gt;0,K372&lt;=12),ROUND(J372*(1+(K372+IF(ISNUMBER(L372),L372,0))/30),1),""),"")</f>
        <v/>
      </c>
      <c r="T372" s="21" t="str">
        <f aca="false">IF(AND(F372="Bilbo",ISNUMBER(J372),ISNUMBER(K372)),ROUND(J372*(1+K372/30),1),"")</f>
        <v/>
      </c>
      <c r="W372" s="22"/>
      <c r="X372" s="21" t="str">
        <f aca="false">IF(AND(F372="Bilbo",E372&lt;&gt;"",G372&lt;&gt;"",H372&lt;&gt;""),E372&amp;"|"&amp;G372&amp;"|"&amp;H372,"")</f>
        <v/>
      </c>
      <c r="Y372" s="21" t="str">
        <f aca="false">IF(B372="","",IF(B372&lt;&gt;B371,1,0))</f>
        <v/>
      </c>
    </row>
    <row r="373" customFormat="false" ht="15" hidden="false" customHeight="true" outlineLevel="0" collapsed="false">
      <c r="A373" s="21" t="str">
        <f aca="false">IF(B373="","",ROW()-4)</f>
        <v/>
      </c>
      <c r="B373" s="22"/>
      <c r="C373" s="21" t="str">
        <f aca="false">IF(B373="","",CHOOSE(WEEKDAY(B373,2),"LUNES","MARTES","MIÉRCOLES","JUEVES","VIERNES","SÁBADO","DOMINGO"))</f>
        <v/>
      </c>
      <c r="M373" s="23"/>
      <c r="Q373" s="21" t="str">
        <f aca="false">IF(OR(K373="",N373=""),"",K373-N373)</f>
        <v/>
      </c>
      <c r="R373" s="21" t="str">
        <f aca="false">IF(OR(J373="",K373=""),"",J373*K373)</f>
        <v/>
      </c>
      <c r="S373" s="21" t="str">
        <f aca="false">IF(AND(ISNUMBER(J373),ISNUMBER(K373),F373&lt;&gt;"Calentamiento",F373&lt;&gt;"Bilbo"),IF(AND(K373&gt;0,K373&lt;=12),ROUND(J373*(1+(K373+IF(ISNUMBER(L373),L373,0))/30),1),""),"")</f>
        <v/>
      </c>
      <c r="T373" s="21" t="str">
        <f aca="false">IF(AND(F373="Bilbo",ISNUMBER(J373),ISNUMBER(K373)),ROUND(J373*(1+K373/30),1),"")</f>
        <v/>
      </c>
      <c r="W373" s="22"/>
      <c r="X373" s="21" t="str">
        <f aca="false">IF(AND(F373="Bilbo",E373&lt;&gt;"",G373&lt;&gt;"",H373&lt;&gt;""),E373&amp;"|"&amp;G373&amp;"|"&amp;H373,"")</f>
        <v/>
      </c>
      <c r="Y373" s="21" t="str">
        <f aca="false">IF(B373="","",IF(B373&lt;&gt;B372,1,0))</f>
        <v/>
      </c>
    </row>
    <row r="374" customFormat="false" ht="15" hidden="false" customHeight="true" outlineLevel="0" collapsed="false">
      <c r="A374" s="21" t="str">
        <f aca="false">IF(B374="","",ROW()-4)</f>
        <v/>
      </c>
      <c r="B374" s="22"/>
      <c r="C374" s="21" t="str">
        <f aca="false">IF(B374="","",CHOOSE(WEEKDAY(B374,2),"LUNES","MARTES","MIÉRCOLES","JUEVES","VIERNES","SÁBADO","DOMINGO"))</f>
        <v/>
      </c>
      <c r="M374" s="23"/>
      <c r="Q374" s="21" t="str">
        <f aca="false">IF(OR(K374="",N374=""),"",K374-N374)</f>
        <v/>
      </c>
      <c r="R374" s="21" t="str">
        <f aca="false">IF(OR(J374="",K374=""),"",J374*K374)</f>
        <v/>
      </c>
      <c r="S374" s="21" t="str">
        <f aca="false">IF(AND(ISNUMBER(J374),ISNUMBER(K374),F374&lt;&gt;"Calentamiento",F374&lt;&gt;"Bilbo"),IF(AND(K374&gt;0,K374&lt;=12),ROUND(J374*(1+(K374+IF(ISNUMBER(L374),L374,0))/30),1),""),"")</f>
        <v/>
      </c>
      <c r="T374" s="21" t="str">
        <f aca="false">IF(AND(F374="Bilbo",ISNUMBER(J374),ISNUMBER(K374)),ROUND(J374*(1+K374/30),1),"")</f>
        <v/>
      </c>
      <c r="W374" s="22"/>
      <c r="X374" s="21" t="str">
        <f aca="false">IF(AND(F374="Bilbo",E374&lt;&gt;"",G374&lt;&gt;"",H374&lt;&gt;""),E374&amp;"|"&amp;G374&amp;"|"&amp;H374,"")</f>
        <v/>
      </c>
      <c r="Y374" s="21" t="str">
        <f aca="false">IF(B374="","",IF(B374&lt;&gt;B373,1,0))</f>
        <v/>
      </c>
    </row>
    <row r="375" customFormat="false" ht="15" hidden="false" customHeight="true" outlineLevel="0" collapsed="false">
      <c r="A375" s="21" t="str">
        <f aca="false">IF(B375="","",ROW()-4)</f>
        <v/>
      </c>
      <c r="B375" s="22"/>
      <c r="C375" s="21" t="str">
        <f aca="false">IF(B375="","",CHOOSE(WEEKDAY(B375,2),"LUNES","MARTES","MIÉRCOLES","JUEVES","VIERNES","SÁBADO","DOMINGO"))</f>
        <v/>
      </c>
      <c r="M375" s="23"/>
      <c r="Q375" s="21" t="str">
        <f aca="false">IF(OR(K375="",N375=""),"",K375-N375)</f>
        <v/>
      </c>
      <c r="R375" s="21" t="str">
        <f aca="false">IF(OR(J375="",K375=""),"",J375*K375)</f>
        <v/>
      </c>
      <c r="S375" s="21" t="str">
        <f aca="false">IF(AND(ISNUMBER(J375),ISNUMBER(K375),F375&lt;&gt;"Calentamiento",F375&lt;&gt;"Bilbo"),IF(AND(K375&gt;0,K375&lt;=12),ROUND(J375*(1+(K375+IF(ISNUMBER(L375),L375,0))/30),1),""),"")</f>
        <v/>
      </c>
      <c r="T375" s="21" t="str">
        <f aca="false">IF(AND(F375="Bilbo",ISNUMBER(J375),ISNUMBER(K375)),ROUND(J375*(1+K375/30),1),"")</f>
        <v/>
      </c>
      <c r="W375" s="22"/>
      <c r="X375" s="21" t="str">
        <f aca="false">IF(AND(F375="Bilbo",E375&lt;&gt;"",G375&lt;&gt;"",H375&lt;&gt;""),E375&amp;"|"&amp;G375&amp;"|"&amp;H375,"")</f>
        <v/>
      </c>
      <c r="Y375" s="21" t="str">
        <f aca="false">IF(B375="","",IF(B375&lt;&gt;B374,1,0))</f>
        <v/>
      </c>
    </row>
    <row r="376" customFormat="false" ht="15" hidden="false" customHeight="true" outlineLevel="0" collapsed="false">
      <c r="A376" s="21" t="str">
        <f aca="false">IF(B376="","",ROW()-4)</f>
        <v/>
      </c>
      <c r="B376" s="22"/>
      <c r="C376" s="21" t="str">
        <f aca="false">IF(B376="","",CHOOSE(WEEKDAY(B376,2),"LUNES","MARTES","MIÉRCOLES","JUEVES","VIERNES","SÁBADO","DOMINGO"))</f>
        <v/>
      </c>
      <c r="M376" s="23"/>
      <c r="Q376" s="21" t="str">
        <f aca="false">IF(OR(K376="",N376=""),"",K376-N376)</f>
        <v/>
      </c>
      <c r="R376" s="21" t="str">
        <f aca="false">IF(OR(J376="",K376=""),"",J376*K376)</f>
        <v/>
      </c>
      <c r="S376" s="21" t="str">
        <f aca="false">IF(AND(ISNUMBER(J376),ISNUMBER(K376),F376&lt;&gt;"Calentamiento",F376&lt;&gt;"Bilbo"),IF(AND(K376&gt;0,K376&lt;=12),ROUND(J376*(1+(K376+IF(ISNUMBER(L376),L376,0))/30),1),""),"")</f>
        <v/>
      </c>
      <c r="T376" s="21" t="str">
        <f aca="false">IF(AND(F376="Bilbo",ISNUMBER(J376),ISNUMBER(K376)),ROUND(J376*(1+K376/30),1),"")</f>
        <v/>
      </c>
      <c r="W376" s="22"/>
      <c r="X376" s="21" t="str">
        <f aca="false">IF(AND(F376="Bilbo",E376&lt;&gt;"",G376&lt;&gt;"",H376&lt;&gt;""),E376&amp;"|"&amp;G376&amp;"|"&amp;H376,"")</f>
        <v/>
      </c>
      <c r="Y376" s="21" t="str">
        <f aca="false">IF(B376="","",IF(B376&lt;&gt;B375,1,0))</f>
        <v/>
      </c>
    </row>
    <row r="377" customFormat="false" ht="15" hidden="false" customHeight="true" outlineLevel="0" collapsed="false">
      <c r="A377" s="21" t="str">
        <f aca="false">IF(B377="","",ROW()-4)</f>
        <v/>
      </c>
      <c r="B377" s="22"/>
      <c r="C377" s="21" t="str">
        <f aca="false">IF(B377="","",CHOOSE(WEEKDAY(B377,2),"LUNES","MARTES","MIÉRCOLES","JUEVES","VIERNES","SÁBADO","DOMINGO"))</f>
        <v/>
      </c>
      <c r="M377" s="23"/>
      <c r="Q377" s="21" t="str">
        <f aca="false">IF(OR(K377="",N377=""),"",K377-N377)</f>
        <v/>
      </c>
      <c r="R377" s="21" t="str">
        <f aca="false">IF(OR(J377="",K377=""),"",J377*K377)</f>
        <v/>
      </c>
      <c r="S377" s="21" t="str">
        <f aca="false">IF(AND(ISNUMBER(J377),ISNUMBER(K377),F377&lt;&gt;"Calentamiento",F377&lt;&gt;"Bilbo"),IF(AND(K377&gt;0,K377&lt;=12),ROUND(J377*(1+(K377+IF(ISNUMBER(L377),L377,0))/30),1),""),"")</f>
        <v/>
      </c>
      <c r="T377" s="21" t="str">
        <f aca="false">IF(AND(F377="Bilbo",ISNUMBER(J377),ISNUMBER(K377)),ROUND(J377*(1+K377/30),1),"")</f>
        <v/>
      </c>
      <c r="W377" s="22"/>
      <c r="X377" s="21" t="str">
        <f aca="false">IF(AND(F377="Bilbo",E377&lt;&gt;"",G377&lt;&gt;"",H377&lt;&gt;""),E377&amp;"|"&amp;G377&amp;"|"&amp;H377,"")</f>
        <v/>
      </c>
      <c r="Y377" s="21" t="str">
        <f aca="false">IF(B377="","",IF(B377&lt;&gt;B376,1,0))</f>
        <v/>
      </c>
    </row>
    <row r="378" customFormat="false" ht="15" hidden="false" customHeight="true" outlineLevel="0" collapsed="false">
      <c r="A378" s="21" t="str">
        <f aca="false">IF(B378="","",ROW()-4)</f>
        <v/>
      </c>
      <c r="B378" s="22"/>
      <c r="C378" s="21" t="str">
        <f aca="false">IF(B378="","",CHOOSE(WEEKDAY(B378,2),"LUNES","MARTES","MIÉRCOLES","JUEVES","VIERNES","SÁBADO","DOMINGO"))</f>
        <v/>
      </c>
      <c r="M378" s="23"/>
      <c r="Q378" s="21" t="str">
        <f aca="false">IF(OR(K378="",N378=""),"",K378-N378)</f>
        <v/>
      </c>
      <c r="R378" s="21" t="str">
        <f aca="false">IF(OR(J378="",K378=""),"",J378*K378)</f>
        <v/>
      </c>
      <c r="S378" s="21" t="str">
        <f aca="false">IF(AND(ISNUMBER(J378),ISNUMBER(K378),F378&lt;&gt;"Calentamiento",F378&lt;&gt;"Bilbo"),IF(AND(K378&gt;0,K378&lt;=12),ROUND(J378*(1+(K378+IF(ISNUMBER(L378),L378,0))/30),1),""),"")</f>
        <v/>
      </c>
      <c r="T378" s="21" t="str">
        <f aca="false">IF(AND(F378="Bilbo",ISNUMBER(J378),ISNUMBER(K378)),ROUND(J378*(1+K378/30),1),"")</f>
        <v/>
      </c>
      <c r="W378" s="22"/>
      <c r="X378" s="21" t="str">
        <f aca="false">IF(AND(F378="Bilbo",E378&lt;&gt;"",G378&lt;&gt;"",H378&lt;&gt;""),E378&amp;"|"&amp;G378&amp;"|"&amp;H378,"")</f>
        <v/>
      </c>
      <c r="Y378" s="21" t="str">
        <f aca="false">IF(B378="","",IF(B378&lt;&gt;B377,1,0))</f>
        <v/>
      </c>
    </row>
    <row r="379" customFormat="false" ht="15" hidden="false" customHeight="true" outlineLevel="0" collapsed="false">
      <c r="A379" s="21" t="str">
        <f aca="false">IF(B379="","",ROW()-4)</f>
        <v/>
      </c>
      <c r="B379" s="22"/>
      <c r="C379" s="21" t="str">
        <f aca="false">IF(B379="","",CHOOSE(WEEKDAY(B379,2),"LUNES","MARTES","MIÉRCOLES","JUEVES","VIERNES","SÁBADO","DOMINGO"))</f>
        <v/>
      </c>
      <c r="M379" s="23"/>
      <c r="Q379" s="21" t="str">
        <f aca="false">IF(OR(K379="",N379=""),"",K379-N379)</f>
        <v/>
      </c>
      <c r="R379" s="21" t="str">
        <f aca="false">IF(OR(J379="",K379=""),"",J379*K379)</f>
        <v/>
      </c>
      <c r="S379" s="21" t="str">
        <f aca="false">IF(AND(ISNUMBER(J379),ISNUMBER(K379),F379&lt;&gt;"Calentamiento",F379&lt;&gt;"Bilbo"),IF(AND(K379&gt;0,K379&lt;=12),ROUND(J379*(1+(K379+IF(ISNUMBER(L379),L379,0))/30),1),""),"")</f>
        <v/>
      </c>
      <c r="T379" s="21" t="str">
        <f aca="false">IF(AND(F379="Bilbo",ISNUMBER(J379),ISNUMBER(K379)),ROUND(J379*(1+K379/30),1),"")</f>
        <v/>
      </c>
      <c r="W379" s="22"/>
      <c r="X379" s="21" t="str">
        <f aca="false">IF(AND(F379="Bilbo",E379&lt;&gt;"",G379&lt;&gt;"",H379&lt;&gt;""),E379&amp;"|"&amp;G379&amp;"|"&amp;H379,"")</f>
        <v/>
      </c>
      <c r="Y379" s="21" t="str">
        <f aca="false">IF(B379="","",IF(B379&lt;&gt;B378,1,0))</f>
        <v/>
      </c>
    </row>
    <row r="380" customFormat="false" ht="15" hidden="false" customHeight="true" outlineLevel="0" collapsed="false">
      <c r="A380" s="21" t="str">
        <f aca="false">IF(B380="","",ROW()-4)</f>
        <v/>
      </c>
      <c r="B380" s="22"/>
      <c r="C380" s="21" t="str">
        <f aca="false">IF(B380="","",CHOOSE(WEEKDAY(B380,2),"LUNES","MARTES","MIÉRCOLES","JUEVES","VIERNES","SÁBADO","DOMINGO"))</f>
        <v/>
      </c>
      <c r="M380" s="23"/>
      <c r="Q380" s="21" t="str">
        <f aca="false">IF(OR(K380="",N380=""),"",K380-N380)</f>
        <v/>
      </c>
      <c r="R380" s="21" t="str">
        <f aca="false">IF(OR(J380="",K380=""),"",J380*K380)</f>
        <v/>
      </c>
      <c r="S380" s="21" t="str">
        <f aca="false">IF(AND(ISNUMBER(J380),ISNUMBER(K380),F380&lt;&gt;"Calentamiento",F380&lt;&gt;"Bilbo"),IF(AND(K380&gt;0,K380&lt;=12),ROUND(J380*(1+(K380+IF(ISNUMBER(L380),L380,0))/30),1),""),"")</f>
        <v/>
      </c>
      <c r="T380" s="21" t="str">
        <f aca="false">IF(AND(F380="Bilbo",ISNUMBER(J380),ISNUMBER(K380)),ROUND(J380*(1+K380/30),1),"")</f>
        <v/>
      </c>
      <c r="W380" s="22"/>
      <c r="X380" s="21" t="str">
        <f aca="false">IF(AND(F380="Bilbo",E380&lt;&gt;"",G380&lt;&gt;"",H380&lt;&gt;""),E380&amp;"|"&amp;G380&amp;"|"&amp;H380,"")</f>
        <v/>
      </c>
      <c r="Y380" s="21" t="str">
        <f aca="false">IF(B380="","",IF(B380&lt;&gt;B379,1,0))</f>
        <v/>
      </c>
    </row>
    <row r="381" customFormat="false" ht="15" hidden="false" customHeight="true" outlineLevel="0" collapsed="false">
      <c r="A381" s="21" t="str">
        <f aca="false">IF(B381="","",ROW()-4)</f>
        <v/>
      </c>
      <c r="B381" s="22"/>
      <c r="C381" s="21" t="str">
        <f aca="false">IF(B381="","",CHOOSE(WEEKDAY(B381,2),"LUNES","MARTES","MIÉRCOLES","JUEVES","VIERNES","SÁBADO","DOMINGO"))</f>
        <v/>
      </c>
      <c r="M381" s="23"/>
      <c r="Q381" s="21" t="str">
        <f aca="false">IF(OR(K381="",N381=""),"",K381-N381)</f>
        <v/>
      </c>
      <c r="R381" s="21" t="str">
        <f aca="false">IF(OR(J381="",K381=""),"",J381*K381)</f>
        <v/>
      </c>
      <c r="S381" s="21" t="str">
        <f aca="false">IF(AND(ISNUMBER(J381),ISNUMBER(K381),F381&lt;&gt;"Calentamiento",F381&lt;&gt;"Bilbo"),IF(AND(K381&gt;0,K381&lt;=12),ROUND(J381*(1+(K381+IF(ISNUMBER(L381),L381,0))/30),1),""),"")</f>
        <v/>
      </c>
      <c r="T381" s="21" t="str">
        <f aca="false">IF(AND(F381="Bilbo",ISNUMBER(J381),ISNUMBER(K381)),ROUND(J381*(1+K381/30),1),"")</f>
        <v/>
      </c>
      <c r="W381" s="22"/>
      <c r="X381" s="21" t="str">
        <f aca="false">IF(AND(F381="Bilbo",E381&lt;&gt;"",G381&lt;&gt;"",H381&lt;&gt;""),E381&amp;"|"&amp;G381&amp;"|"&amp;H381,"")</f>
        <v/>
      </c>
      <c r="Y381" s="21" t="str">
        <f aca="false">IF(B381="","",IF(B381&lt;&gt;B380,1,0))</f>
        <v/>
      </c>
    </row>
    <row r="382" customFormat="false" ht="15" hidden="false" customHeight="true" outlineLevel="0" collapsed="false">
      <c r="A382" s="21" t="str">
        <f aca="false">IF(B382="","",ROW()-4)</f>
        <v/>
      </c>
      <c r="B382" s="22"/>
      <c r="C382" s="21" t="str">
        <f aca="false">IF(B382="","",CHOOSE(WEEKDAY(B382,2),"LUNES","MARTES","MIÉRCOLES","JUEVES","VIERNES","SÁBADO","DOMINGO"))</f>
        <v/>
      </c>
      <c r="M382" s="23"/>
      <c r="Q382" s="21" t="str">
        <f aca="false">IF(OR(K382="",N382=""),"",K382-N382)</f>
        <v/>
      </c>
      <c r="R382" s="21" t="str">
        <f aca="false">IF(OR(J382="",K382=""),"",J382*K382)</f>
        <v/>
      </c>
      <c r="S382" s="21" t="str">
        <f aca="false">IF(AND(ISNUMBER(J382),ISNUMBER(K382),F382&lt;&gt;"Calentamiento",F382&lt;&gt;"Bilbo"),IF(AND(K382&gt;0,K382&lt;=12),ROUND(J382*(1+(K382+IF(ISNUMBER(L382),L382,0))/30),1),""),"")</f>
        <v/>
      </c>
      <c r="T382" s="21" t="str">
        <f aca="false">IF(AND(F382="Bilbo",ISNUMBER(J382),ISNUMBER(K382)),ROUND(J382*(1+K382/30),1),"")</f>
        <v/>
      </c>
      <c r="W382" s="22"/>
      <c r="X382" s="21" t="str">
        <f aca="false">IF(AND(F382="Bilbo",E382&lt;&gt;"",G382&lt;&gt;"",H382&lt;&gt;""),E382&amp;"|"&amp;G382&amp;"|"&amp;H382,"")</f>
        <v/>
      </c>
      <c r="Y382" s="21" t="str">
        <f aca="false">IF(B382="","",IF(B382&lt;&gt;B381,1,0))</f>
        <v/>
      </c>
    </row>
    <row r="383" customFormat="false" ht="15" hidden="false" customHeight="true" outlineLevel="0" collapsed="false">
      <c r="A383" s="21" t="str">
        <f aca="false">IF(B383="","",ROW()-4)</f>
        <v/>
      </c>
      <c r="B383" s="22"/>
      <c r="C383" s="21" t="str">
        <f aca="false">IF(B383="","",CHOOSE(WEEKDAY(B383,2),"LUNES","MARTES","MIÉRCOLES","JUEVES","VIERNES","SÁBADO","DOMINGO"))</f>
        <v/>
      </c>
      <c r="M383" s="23"/>
      <c r="Q383" s="21" t="str">
        <f aca="false">IF(OR(K383="",N383=""),"",K383-N383)</f>
        <v/>
      </c>
      <c r="R383" s="21" t="str">
        <f aca="false">IF(OR(J383="",K383=""),"",J383*K383)</f>
        <v/>
      </c>
      <c r="S383" s="21" t="str">
        <f aca="false">IF(AND(ISNUMBER(J383),ISNUMBER(K383),F383&lt;&gt;"Calentamiento",F383&lt;&gt;"Bilbo"),IF(AND(K383&gt;0,K383&lt;=12),ROUND(J383*(1+(K383+IF(ISNUMBER(L383),L383,0))/30),1),""),"")</f>
        <v/>
      </c>
      <c r="T383" s="21" t="str">
        <f aca="false">IF(AND(F383="Bilbo",ISNUMBER(J383),ISNUMBER(K383)),ROUND(J383*(1+K383/30),1),"")</f>
        <v/>
      </c>
      <c r="W383" s="22"/>
      <c r="X383" s="21" t="str">
        <f aca="false">IF(AND(F383="Bilbo",E383&lt;&gt;"",G383&lt;&gt;"",H383&lt;&gt;""),E383&amp;"|"&amp;G383&amp;"|"&amp;H383,"")</f>
        <v/>
      </c>
      <c r="Y383" s="21" t="str">
        <f aca="false">IF(B383="","",IF(B383&lt;&gt;B382,1,0))</f>
        <v/>
      </c>
    </row>
    <row r="384" customFormat="false" ht="15" hidden="false" customHeight="true" outlineLevel="0" collapsed="false">
      <c r="A384" s="21" t="str">
        <f aca="false">IF(B384="","",ROW()-4)</f>
        <v/>
      </c>
      <c r="B384" s="22"/>
      <c r="C384" s="21" t="str">
        <f aca="false">IF(B384="","",CHOOSE(WEEKDAY(B384,2),"LUNES","MARTES","MIÉRCOLES","JUEVES","VIERNES","SÁBADO","DOMINGO"))</f>
        <v/>
      </c>
      <c r="M384" s="23"/>
      <c r="Q384" s="21" t="str">
        <f aca="false">IF(OR(K384="",N384=""),"",K384-N384)</f>
        <v/>
      </c>
      <c r="R384" s="21" t="str">
        <f aca="false">IF(OR(J384="",K384=""),"",J384*K384)</f>
        <v/>
      </c>
      <c r="S384" s="21" t="str">
        <f aca="false">IF(AND(ISNUMBER(J384),ISNUMBER(K384),F384&lt;&gt;"Calentamiento",F384&lt;&gt;"Bilbo"),IF(AND(K384&gt;0,K384&lt;=12),ROUND(J384*(1+(K384+IF(ISNUMBER(L384),L384,0))/30),1),""),"")</f>
        <v/>
      </c>
      <c r="T384" s="21" t="str">
        <f aca="false">IF(AND(F384="Bilbo",ISNUMBER(J384),ISNUMBER(K384)),ROUND(J384*(1+K384/30),1),"")</f>
        <v/>
      </c>
      <c r="W384" s="22"/>
      <c r="X384" s="21" t="str">
        <f aca="false">IF(AND(F384="Bilbo",E384&lt;&gt;"",G384&lt;&gt;"",H384&lt;&gt;""),E384&amp;"|"&amp;G384&amp;"|"&amp;H384,"")</f>
        <v/>
      </c>
      <c r="Y384" s="21" t="str">
        <f aca="false">IF(B384="","",IF(B384&lt;&gt;B383,1,0))</f>
        <v/>
      </c>
    </row>
    <row r="385" customFormat="false" ht="15" hidden="false" customHeight="true" outlineLevel="0" collapsed="false">
      <c r="A385" s="21" t="str">
        <f aca="false">IF(B385="","",ROW()-4)</f>
        <v/>
      </c>
      <c r="B385" s="22"/>
      <c r="C385" s="21" t="str">
        <f aca="false">IF(B385="","",CHOOSE(WEEKDAY(B385,2),"LUNES","MARTES","MIÉRCOLES","JUEVES","VIERNES","SÁBADO","DOMINGO"))</f>
        <v/>
      </c>
      <c r="M385" s="23"/>
      <c r="Q385" s="21" t="str">
        <f aca="false">IF(OR(K385="",N385=""),"",K385-N385)</f>
        <v/>
      </c>
      <c r="R385" s="21" t="str">
        <f aca="false">IF(OR(J385="",K385=""),"",J385*K385)</f>
        <v/>
      </c>
      <c r="S385" s="21" t="str">
        <f aca="false">IF(AND(ISNUMBER(J385),ISNUMBER(K385),F385&lt;&gt;"Calentamiento",F385&lt;&gt;"Bilbo"),IF(AND(K385&gt;0,K385&lt;=12),ROUND(J385*(1+(K385+IF(ISNUMBER(L385),L385,0))/30),1),""),"")</f>
        <v/>
      </c>
      <c r="T385" s="21" t="str">
        <f aca="false">IF(AND(F385="Bilbo",ISNUMBER(J385),ISNUMBER(K385)),ROUND(J385*(1+K385/30),1),"")</f>
        <v/>
      </c>
      <c r="W385" s="22"/>
      <c r="X385" s="21" t="str">
        <f aca="false">IF(AND(F385="Bilbo",E385&lt;&gt;"",G385&lt;&gt;"",H385&lt;&gt;""),E385&amp;"|"&amp;G385&amp;"|"&amp;H385,"")</f>
        <v/>
      </c>
      <c r="Y385" s="21" t="str">
        <f aca="false">IF(B385="","",IF(B385&lt;&gt;B384,1,0))</f>
        <v/>
      </c>
    </row>
    <row r="386" customFormat="false" ht="15" hidden="false" customHeight="true" outlineLevel="0" collapsed="false">
      <c r="A386" s="21" t="str">
        <f aca="false">IF(B386="","",ROW()-4)</f>
        <v/>
      </c>
      <c r="B386" s="22"/>
      <c r="C386" s="21" t="str">
        <f aca="false">IF(B386="","",CHOOSE(WEEKDAY(B386,2),"LUNES","MARTES","MIÉRCOLES","JUEVES","VIERNES","SÁBADO","DOMINGO"))</f>
        <v/>
      </c>
      <c r="M386" s="23"/>
      <c r="Q386" s="21" t="str">
        <f aca="false">IF(OR(K386="",N386=""),"",K386-N386)</f>
        <v/>
      </c>
      <c r="R386" s="21" t="str">
        <f aca="false">IF(OR(J386="",K386=""),"",J386*K386)</f>
        <v/>
      </c>
      <c r="S386" s="21" t="str">
        <f aca="false">IF(AND(ISNUMBER(J386),ISNUMBER(K386),F386&lt;&gt;"Calentamiento",F386&lt;&gt;"Bilbo"),IF(AND(K386&gt;0,K386&lt;=12),ROUND(J386*(1+(K386+IF(ISNUMBER(L386),L386,0))/30),1),""),"")</f>
        <v/>
      </c>
      <c r="T386" s="21" t="str">
        <f aca="false">IF(AND(F386="Bilbo",ISNUMBER(J386),ISNUMBER(K386)),ROUND(J386*(1+K386/30),1),"")</f>
        <v/>
      </c>
      <c r="W386" s="22"/>
      <c r="X386" s="21" t="str">
        <f aca="false">IF(AND(F386="Bilbo",E386&lt;&gt;"",G386&lt;&gt;"",H386&lt;&gt;""),E386&amp;"|"&amp;G386&amp;"|"&amp;H386,"")</f>
        <v/>
      </c>
      <c r="Y386" s="21" t="str">
        <f aca="false">IF(B386="","",IF(B386&lt;&gt;B385,1,0))</f>
        <v/>
      </c>
    </row>
    <row r="387" customFormat="false" ht="15" hidden="false" customHeight="true" outlineLevel="0" collapsed="false">
      <c r="A387" s="21" t="str">
        <f aca="false">IF(B387="","",ROW()-4)</f>
        <v/>
      </c>
      <c r="B387" s="22"/>
      <c r="C387" s="21" t="str">
        <f aca="false">IF(B387="","",CHOOSE(WEEKDAY(B387,2),"LUNES","MARTES","MIÉRCOLES","JUEVES","VIERNES","SÁBADO","DOMINGO"))</f>
        <v/>
      </c>
      <c r="M387" s="23"/>
      <c r="Q387" s="21" t="str">
        <f aca="false">IF(OR(K387="",N387=""),"",K387-N387)</f>
        <v/>
      </c>
      <c r="R387" s="21" t="str">
        <f aca="false">IF(OR(J387="",K387=""),"",J387*K387)</f>
        <v/>
      </c>
      <c r="S387" s="21" t="str">
        <f aca="false">IF(AND(ISNUMBER(J387),ISNUMBER(K387),F387&lt;&gt;"Calentamiento",F387&lt;&gt;"Bilbo"),IF(AND(K387&gt;0,K387&lt;=12),ROUND(J387*(1+(K387+IF(ISNUMBER(L387),L387,0))/30),1),""),"")</f>
        <v/>
      </c>
      <c r="T387" s="21" t="str">
        <f aca="false">IF(AND(F387="Bilbo",ISNUMBER(J387),ISNUMBER(K387)),ROUND(J387*(1+K387/30),1),"")</f>
        <v/>
      </c>
      <c r="W387" s="22"/>
      <c r="X387" s="21" t="str">
        <f aca="false">IF(AND(F387="Bilbo",E387&lt;&gt;"",G387&lt;&gt;"",H387&lt;&gt;""),E387&amp;"|"&amp;G387&amp;"|"&amp;H387,"")</f>
        <v/>
      </c>
      <c r="Y387" s="21" t="str">
        <f aca="false">IF(B387="","",IF(B387&lt;&gt;B386,1,0))</f>
        <v/>
      </c>
    </row>
    <row r="388" customFormat="false" ht="15" hidden="false" customHeight="true" outlineLevel="0" collapsed="false">
      <c r="A388" s="21" t="str">
        <f aca="false">IF(B388="","",ROW()-4)</f>
        <v/>
      </c>
      <c r="B388" s="22"/>
      <c r="C388" s="21" t="str">
        <f aca="false">IF(B388="","",CHOOSE(WEEKDAY(B388,2),"LUNES","MARTES","MIÉRCOLES","JUEVES","VIERNES","SÁBADO","DOMINGO"))</f>
        <v/>
      </c>
      <c r="M388" s="23"/>
      <c r="Q388" s="21" t="str">
        <f aca="false">IF(OR(K388="",N388=""),"",K388-N388)</f>
        <v/>
      </c>
      <c r="R388" s="21" t="str">
        <f aca="false">IF(OR(J388="",K388=""),"",J388*K388)</f>
        <v/>
      </c>
      <c r="S388" s="21" t="str">
        <f aca="false">IF(AND(ISNUMBER(J388),ISNUMBER(K388),F388&lt;&gt;"Calentamiento",F388&lt;&gt;"Bilbo"),IF(AND(K388&gt;0,K388&lt;=12),ROUND(J388*(1+(K388+IF(ISNUMBER(L388),L388,0))/30),1),""),"")</f>
        <v/>
      </c>
      <c r="T388" s="21" t="str">
        <f aca="false">IF(AND(F388="Bilbo",ISNUMBER(J388),ISNUMBER(K388)),ROUND(J388*(1+K388/30),1),"")</f>
        <v/>
      </c>
      <c r="W388" s="22"/>
      <c r="X388" s="21" t="str">
        <f aca="false">IF(AND(F388="Bilbo",E388&lt;&gt;"",G388&lt;&gt;"",H388&lt;&gt;""),E388&amp;"|"&amp;G388&amp;"|"&amp;H388,"")</f>
        <v/>
      </c>
      <c r="Y388" s="21" t="str">
        <f aca="false">IF(B388="","",IF(B388&lt;&gt;B387,1,0))</f>
        <v/>
      </c>
    </row>
    <row r="389" customFormat="false" ht="15" hidden="false" customHeight="true" outlineLevel="0" collapsed="false">
      <c r="A389" s="21" t="str">
        <f aca="false">IF(B389="","",ROW()-4)</f>
        <v/>
      </c>
      <c r="B389" s="22"/>
      <c r="C389" s="21" t="str">
        <f aca="false">IF(B389="","",CHOOSE(WEEKDAY(B389,2),"LUNES","MARTES","MIÉRCOLES","JUEVES","VIERNES","SÁBADO","DOMINGO"))</f>
        <v/>
      </c>
      <c r="M389" s="23"/>
      <c r="Q389" s="21" t="str">
        <f aca="false">IF(OR(K389="",N389=""),"",K389-N389)</f>
        <v/>
      </c>
      <c r="R389" s="21" t="str">
        <f aca="false">IF(OR(J389="",K389=""),"",J389*K389)</f>
        <v/>
      </c>
      <c r="S389" s="21" t="str">
        <f aca="false">IF(AND(ISNUMBER(J389),ISNUMBER(K389),F389&lt;&gt;"Calentamiento",F389&lt;&gt;"Bilbo"),IF(AND(K389&gt;0,K389&lt;=12),ROUND(J389*(1+(K389+IF(ISNUMBER(L389),L389,0))/30),1),""),"")</f>
        <v/>
      </c>
      <c r="T389" s="21" t="str">
        <f aca="false">IF(AND(F389="Bilbo",ISNUMBER(J389),ISNUMBER(K389)),ROUND(J389*(1+K389/30),1),"")</f>
        <v/>
      </c>
      <c r="W389" s="22"/>
      <c r="X389" s="21" t="str">
        <f aca="false">IF(AND(F389="Bilbo",E389&lt;&gt;"",G389&lt;&gt;"",H389&lt;&gt;""),E389&amp;"|"&amp;G389&amp;"|"&amp;H389,"")</f>
        <v/>
      </c>
      <c r="Y389" s="21" t="str">
        <f aca="false">IF(B389="","",IF(B389&lt;&gt;B388,1,0))</f>
        <v/>
      </c>
    </row>
    <row r="390" customFormat="false" ht="15" hidden="false" customHeight="true" outlineLevel="0" collapsed="false">
      <c r="A390" s="21" t="str">
        <f aca="false">IF(B390="","",ROW()-4)</f>
        <v/>
      </c>
      <c r="B390" s="22"/>
      <c r="C390" s="21" t="str">
        <f aca="false">IF(B390="","",CHOOSE(WEEKDAY(B390,2),"LUNES","MARTES","MIÉRCOLES","JUEVES","VIERNES","SÁBADO","DOMINGO"))</f>
        <v/>
      </c>
      <c r="M390" s="23"/>
      <c r="Q390" s="21" t="str">
        <f aca="false">IF(OR(K390="",N390=""),"",K390-N390)</f>
        <v/>
      </c>
      <c r="R390" s="21" t="str">
        <f aca="false">IF(OR(J390="",K390=""),"",J390*K390)</f>
        <v/>
      </c>
      <c r="S390" s="21" t="str">
        <f aca="false">IF(AND(ISNUMBER(J390),ISNUMBER(K390),F390&lt;&gt;"Calentamiento",F390&lt;&gt;"Bilbo"),IF(AND(K390&gt;0,K390&lt;=12),ROUND(J390*(1+(K390+IF(ISNUMBER(L390),L390,0))/30),1),""),"")</f>
        <v/>
      </c>
      <c r="T390" s="21" t="str">
        <f aca="false">IF(AND(F390="Bilbo",ISNUMBER(J390),ISNUMBER(K390)),ROUND(J390*(1+K390/30),1),"")</f>
        <v/>
      </c>
      <c r="W390" s="22"/>
      <c r="X390" s="21" t="str">
        <f aca="false">IF(AND(F390="Bilbo",E390&lt;&gt;"",G390&lt;&gt;"",H390&lt;&gt;""),E390&amp;"|"&amp;G390&amp;"|"&amp;H390,"")</f>
        <v/>
      </c>
      <c r="Y390" s="21" t="str">
        <f aca="false">IF(B390="","",IF(B390&lt;&gt;B389,1,0))</f>
        <v/>
      </c>
    </row>
    <row r="391" customFormat="false" ht="15" hidden="false" customHeight="true" outlineLevel="0" collapsed="false">
      <c r="A391" s="21" t="str">
        <f aca="false">IF(B391="","",ROW()-4)</f>
        <v/>
      </c>
      <c r="B391" s="22"/>
      <c r="C391" s="21" t="str">
        <f aca="false">IF(B391="","",CHOOSE(WEEKDAY(B391,2),"LUNES","MARTES","MIÉRCOLES","JUEVES","VIERNES","SÁBADO","DOMINGO"))</f>
        <v/>
      </c>
      <c r="M391" s="23"/>
      <c r="Q391" s="21" t="str">
        <f aca="false">IF(OR(K391="",N391=""),"",K391-N391)</f>
        <v/>
      </c>
      <c r="R391" s="21" t="str">
        <f aca="false">IF(OR(J391="",K391=""),"",J391*K391)</f>
        <v/>
      </c>
      <c r="S391" s="21" t="str">
        <f aca="false">IF(AND(ISNUMBER(J391),ISNUMBER(K391),F391&lt;&gt;"Calentamiento",F391&lt;&gt;"Bilbo"),IF(AND(K391&gt;0,K391&lt;=12),ROUND(J391*(1+(K391+IF(ISNUMBER(L391),L391,0))/30),1),""),"")</f>
        <v/>
      </c>
      <c r="T391" s="21" t="str">
        <f aca="false">IF(AND(F391="Bilbo",ISNUMBER(J391),ISNUMBER(K391)),ROUND(J391*(1+K391/30),1),"")</f>
        <v/>
      </c>
      <c r="W391" s="22"/>
      <c r="X391" s="21" t="str">
        <f aca="false">IF(AND(F391="Bilbo",E391&lt;&gt;"",G391&lt;&gt;"",H391&lt;&gt;""),E391&amp;"|"&amp;G391&amp;"|"&amp;H391,"")</f>
        <v/>
      </c>
      <c r="Y391" s="21" t="str">
        <f aca="false">IF(B391="","",IF(B391&lt;&gt;B390,1,0))</f>
        <v/>
      </c>
    </row>
    <row r="392" customFormat="false" ht="15" hidden="false" customHeight="true" outlineLevel="0" collapsed="false">
      <c r="A392" s="21" t="str">
        <f aca="false">IF(B392="","",ROW()-4)</f>
        <v/>
      </c>
      <c r="B392" s="22"/>
      <c r="C392" s="21" t="str">
        <f aca="false">IF(B392="","",CHOOSE(WEEKDAY(B392,2),"LUNES","MARTES","MIÉRCOLES","JUEVES","VIERNES","SÁBADO","DOMINGO"))</f>
        <v/>
      </c>
      <c r="M392" s="23"/>
      <c r="Q392" s="21" t="str">
        <f aca="false">IF(OR(K392="",N392=""),"",K392-N392)</f>
        <v/>
      </c>
      <c r="R392" s="21" t="str">
        <f aca="false">IF(OR(J392="",K392=""),"",J392*K392)</f>
        <v/>
      </c>
      <c r="S392" s="21" t="str">
        <f aca="false">IF(AND(ISNUMBER(J392),ISNUMBER(K392),F392&lt;&gt;"Calentamiento",F392&lt;&gt;"Bilbo"),IF(AND(K392&gt;0,K392&lt;=12),ROUND(J392*(1+(K392+IF(ISNUMBER(L392),L392,0))/30),1),""),"")</f>
        <v/>
      </c>
      <c r="T392" s="21" t="str">
        <f aca="false">IF(AND(F392="Bilbo",ISNUMBER(J392),ISNUMBER(K392)),ROUND(J392*(1+K392/30),1),"")</f>
        <v/>
      </c>
      <c r="W392" s="22"/>
      <c r="X392" s="21" t="str">
        <f aca="false">IF(AND(F392="Bilbo",E392&lt;&gt;"",G392&lt;&gt;"",H392&lt;&gt;""),E392&amp;"|"&amp;G392&amp;"|"&amp;H392,"")</f>
        <v/>
      </c>
      <c r="Y392" s="21" t="str">
        <f aca="false">IF(B392="","",IF(B392&lt;&gt;B391,1,0))</f>
        <v/>
      </c>
    </row>
    <row r="393" customFormat="false" ht="15" hidden="false" customHeight="true" outlineLevel="0" collapsed="false">
      <c r="A393" s="21" t="str">
        <f aca="false">IF(B393="","",ROW()-4)</f>
        <v/>
      </c>
      <c r="B393" s="22"/>
      <c r="C393" s="21" t="str">
        <f aca="false">IF(B393="","",CHOOSE(WEEKDAY(B393,2),"LUNES","MARTES","MIÉRCOLES","JUEVES","VIERNES","SÁBADO","DOMINGO"))</f>
        <v/>
      </c>
      <c r="M393" s="23"/>
      <c r="Q393" s="21" t="str">
        <f aca="false">IF(OR(K393="",N393=""),"",K393-N393)</f>
        <v/>
      </c>
      <c r="R393" s="21" t="str">
        <f aca="false">IF(OR(J393="",K393=""),"",J393*K393)</f>
        <v/>
      </c>
      <c r="S393" s="21" t="str">
        <f aca="false">IF(AND(ISNUMBER(J393),ISNUMBER(K393),F393&lt;&gt;"Calentamiento",F393&lt;&gt;"Bilbo"),IF(AND(K393&gt;0,K393&lt;=12),ROUND(J393*(1+(K393+IF(ISNUMBER(L393),L393,0))/30),1),""),"")</f>
        <v/>
      </c>
      <c r="T393" s="21" t="str">
        <f aca="false">IF(AND(F393="Bilbo",ISNUMBER(J393),ISNUMBER(K393)),ROUND(J393*(1+K393/30),1),"")</f>
        <v/>
      </c>
      <c r="W393" s="22"/>
      <c r="X393" s="21" t="str">
        <f aca="false">IF(AND(F393="Bilbo",E393&lt;&gt;"",G393&lt;&gt;"",H393&lt;&gt;""),E393&amp;"|"&amp;G393&amp;"|"&amp;H393,"")</f>
        <v/>
      </c>
      <c r="Y393" s="21" t="str">
        <f aca="false">IF(B393="","",IF(B393&lt;&gt;B392,1,0))</f>
        <v/>
      </c>
    </row>
    <row r="394" customFormat="false" ht="15" hidden="false" customHeight="true" outlineLevel="0" collapsed="false">
      <c r="A394" s="21" t="str">
        <f aca="false">IF(B394="","",ROW()-4)</f>
        <v/>
      </c>
      <c r="B394" s="22"/>
      <c r="C394" s="21" t="str">
        <f aca="false">IF(B394="","",CHOOSE(WEEKDAY(B394,2),"LUNES","MARTES","MIÉRCOLES","JUEVES","VIERNES","SÁBADO","DOMINGO"))</f>
        <v/>
      </c>
      <c r="M394" s="23"/>
      <c r="Q394" s="21" t="str">
        <f aca="false">IF(OR(K394="",N394=""),"",K394-N394)</f>
        <v/>
      </c>
      <c r="R394" s="21" t="str">
        <f aca="false">IF(OR(J394="",K394=""),"",J394*K394)</f>
        <v/>
      </c>
      <c r="S394" s="21" t="str">
        <f aca="false">IF(AND(ISNUMBER(J394),ISNUMBER(K394),F394&lt;&gt;"Calentamiento",F394&lt;&gt;"Bilbo"),IF(AND(K394&gt;0,K394&lt;=12),ROUND(J394*(1+(K394+IF(ISNUMBER(L394),L394,0))/30),1),""),"")</f>
        <v/>
      </c>
      <c r="T394" s="21" t="str">
        <f aca="false">IF(AND(F394="Bilbo",ISNUMBER(J394),ISNUMBER(K394)),ROUND(J394*(1+K394/30),1),"")</f>
        <v/>
      </c>
      <c r="W394" s="22"/>
      <c r="X394" s="21" t="str">
        <f aca="false">IF(AND(F394="Bilbo",E394&lt;&gt;"",G394&lt;&gt;"",H394&lt;&gt;""),E394&amp;"|"&amp;G394&amp;"|"&amp;H394,"")</f>
        <v/>
      </c>
      <c r="Y394" s="21" t="str">
        <f aca="false">IF(B394="","",IF(B394&lt;&gt;B393,1,0))</f>
        <v/>
      </c>
    </row>
    <row r="395" customFormat="false" ht="15" hidden="false" customHeight="true" outlineLevel="0" collapsed="false">
      <c r="A395" s="21" t="str">
        <f aca="false">IF(B395="","",ROW()-4)</f>
        <v/>
      </c>
      <c r="B395" s="22"/>
      <c r="C395" s="21" t="str">
        <f aca="false">IF(B395="","",CHOOSE(WEEKDAY(B395,2),"LUNES","MARTES","MIÉRCOLES","JUEVES","VIERNES","SÁBADO","DOMINGO"))</f>
        <v/>
      </c>
      <c r="M395" s="23"/>
      <c r="Q395" s="21" t="str">
        <f aca="false">IF(OR(K395="",N395=""),"",K395-N395)</f>
        <v/>
      </c>
      <c r="R395" s="21" t="str">
        <f aca="false">IF(OR(J395="",K395=""),"",J395*K395)</f>
        <v/>
      </c>
      <c r="S395" s="21" t="str">
        <f aca="false">IF(AND(ISNUMBER(J395),ISNUMBER(K395),F395&lt;&gt;"Calentamiento",F395&lt;&gt;"Bilbo"),IF(AND(K395&gt;0,K395&lt;=12),ROUND(J395*(1+(K395+IF(ISNUMBER(L395),L395,0))/30),1),""),"")</f>
        <v/>
      </c>
      <c r="T395" s="21" t="str">
        <f aca="false">IF(AND(F395="Bilbo",ISNUMBER(J395),ISNUMBER(K395)),ROUND(J395*(1+K395/30),1),"")</f>
        <v/>
      </c>
      <c r="W395" s="22"/>
      <c r="X395" s="21" t="str">
        <f aca="false">IF(AND(F395="Bilbo",E395&lt;&gt;"",G395&lt;&gt;"",H395&lt;&gt;""),E395&amp;"|"&amp;G395&amp;"|"&amp;H395,"")</f>
        <v/>
      </c>
      <c r="Y395" s="21" t="str">
        <f aca="false">IF(B395="","",IF(B395&lt;&gt;B394,1,0))</f>
        <v/>
      </c>
    </row>
    <row r="396" customFormat="false" ht="15" hidden="false" customHeight="true" outlineLevel="0" collapsed="false">
      <c r="A396" s="21" t="str">
        <f aca="false">IF(B396="","",ROW()-4)</f>
        <v/>
      </c>
      <c r="B396" s="22"/>
      <c r="C396" s="21" t="str">
        <f aca="false">IF(B396="","",CHOOSE(WEEKDAY(B396,2),"LUNES","MARTES","MIÉRCOLES","JUEVES","VIERNES","SÁBADO","DOMINGO"))</f>
        <v/>
      </c>
      <c r="M396" s="23"/>
      <c r="Q396" s="21" t="str">
        <f aca="false">IF(OR(K396="",N396=""),"",K396-N396)</f>
        <v/>
      </c>
      <c r="R396" s="21" t="str">
        <f aca="false">IF(OR(J396="",K396=""),"",J396*K396)</f>
        <v/>
      </c>
      <c r="S396" s="21" t="str">
        <f aca="false">IF(AND(ISNUMBER(J396),ISNUMBER(K396),F396&lt;&gt;"Calentamiento",F396&lt;&gt;"Bilbo"),IF(AND(K396&gt;0,K396&lt;=12),ROUND(J396*(1+(K396+IF(ISNUMBER(L396),L396,0))/30),1),""),"")</f>
        <v/>
      </c>
      <c r="T396" s="21" t="str">
        <f aca="false">IF(AND(F396="Bilbo",ISNUMBER(J396),ISNUMBER(K396)),ROUND(J396*(1+K396/30),1),"")</f>
        <v/>
      </c>
      <c r="W396" s="22"/>
      <c r="X396" s="21" t="str">
        <f aca="false">IF(AND(F396="Bilbo",E396&lt;&gt;"",G396&lt;&gt;"",H396&lt;&gt;""),E396&amp;"|"&amp;G396&amp;"|"&amp;H396,"")</f>
        <v/>
      </c>
      <c r="Y396" s="21" t="str">
        <f aca="false">IF(B396="","",IF(B396&lt;&gt;B395,1,0))</f>
        <v/>
      </c>
    </row>
    <row r="397" customFormat="false" ht="15" hidden="false" customHeight="true" outlineLevel="0" collapsed="false">
      <c r="A397" s="21" t="str">
        <f aca="false">IF(B397="","",ROW()-4)</f>
        <v/>
      </c>
      <c r="B397" s="22"/>
      <c r="C397" s="21" t="str">
        <f aca="false">IF(B397="","",CHOOSE(WEEKDAY(B397,2),"LUNES","MARTES","MIÉRCOLES","JUEVES","VIERNES","SÁBADO","DOMINGO"))</f>
        <v/>
      </c>
      <c r="M397" s="23"/>
      <c r="Q397" s="21" t="str">
        <f aca="false">IF(OR(K397="",N397=""),"",K397-N397)</f>
        <v/>
      </c>
      <c r="R397" s="21" t="str">
        <f aca="false">IF(OR(J397="",K397=""),"",J397*K397)</f>
        <v/>
      </c>
      <c r="S397" s="21" t="str">
        <f aca="false">IF(AND(ISNUMBER(J397),ISNUMBER(K397),F397&lt;&gt;"Calentamiento",F397&lt;&gt;"Bilbo"),IF(AND(K397&gt;0,K397&lt;=12),ROUND(J397*(1+(K397+IF(ISNUMBER(L397),L397,0))/30),1),""),"")</f>
        <v/>
      </c>
      <c r="T397" s="21" t="str">
        <f aca="false">IF(AND(F397="Bilbo",ISNUMBER(J397),ISNUMBER(K397)),ROUND(J397*(1+K397/30),1),"")</f>
        <v/>
      </c>
      <c r="W397" s="22"/>
      <c r="X397" s="21" t="str">
        <f aca="false">IF(AND(F397="Bilbo",E397&lt;&gt;"",G397&lt;&gt;"",H397&lt;&gt;""),E397&amp;"|"&amp;G397&amp;"|"&amp;H397,"")</f>
        <v/>
      </c>
      <c r="Y397" s="21" t="str">
        <f aca="false">IF(B397="","",IF(B397&lt;&gt;B396,1,0))</f>
        <v/>
      </c>
    </row>
    <row r="398" customFormat="false" ht="15" hidden="false" customHeight="true" outlineLevel="0" collapsed="false">
      <c r="A398" s="21" t="str">
        <f aca="false">IF(B398="","",ROW()-4)</f>
        <v/>
      </c>
      <c r="B398" s="22"/>
      <c r="C398" s="21" t="str">
        <f aca="false">IF(B398="","",CHOOSE(WEEKDAY(B398,2),"LUNES","MARTES","MIÉRCOLES","JUEVES","VIERNES","SÁBADO","DOMINGO"))</f>
        <v/>
      </c>
      <c r="M398" s="23"/>
      <c r="Q398" s="21" t="str">
        <f aca="false">IF(OR(K398="",N398=""),"",K398-N398)</f>
        <v/>
      </c>
      <c r="R398" s="21" t="str">
        <f aca="false">IF(OR(J398="",K398=""),"",J398*K398)</f>
        <v/>
      </c>
      <c r="S398" s="21" t="str">
        <f aca="false">IF(AND(ISNUMBER(J398),ISNUMBER(K398),F398&lt;&gt;"Calentamiento",F398&lt;&gt;"Bilbo"),IF(AND(K398&gt;0,K398&lt;=12),ROUND(J398*(1+(K398+IF(ISNUMBER(L398),L398,0))/30),1),""),"")</f>
        <v/>
      </c>
      <c r="T398" s="21" t="str">
        <f aca="false">IF(AND(F398="Bilbo",ISNUMBER(J398),ISNUMBER(K398)),ROUND(J398*(1+K398/30),1),"")</f>
        <v/>
      </c>
      <c r="W398" s="22"/>
      <c r="X398" s="21" t="str">
        <f aca="false">IF(AND(F398="Bilbo",E398&lt;&gt;"",G398&lt;&gt;"",H398&lt;&gt;""),E398&amp;"|"&amp;G398&amp;"|"&amp;H398,"")</f>
        <v/>
      </c>
      <c r="Y398" s="21" t="str">
        <f aca="false">IF(B398="","",IF(B398&lt;&gt;B397,1,0))</f>
        <v/>
      </c>
    </row>
    <row r="399" customFormat="false" ht="15" hidden="false" customHeight="true" outlineLevel="0" collapsed="false">
      <c r="A399" s="21" t="str">
        <f aca="false">IF(B399="","",ROW()-4)</f>
        <v/>
      </c>
      <c r="B399" s="22"/>
      <c r="C399" s="21" t="str">
        <f aca="false">IF(B399="","",CHOOSE(WEEKDAY(B399,2),"LUNES","MARTES","MIÉRCOLES","JUEVES","VIERNES","SÁBADO","DOMINGO"))</f>
        <v/>
      </c>
      <c r="M399" s="23"/>
      <c r="Q399" s="21" t="str">
        <f aca="false">IF(OR(K399="",N399=""),"",K399-N399)</f>
        <v/>
      </c>
      <c r="R399" s="21" t="str">
        <f aca="false">IF(OR(J399="",K399=""),"",J399*K399)</f>
        <v/>
      </c>
      <c r="S399" s="21" t="str">
        <f aca="false">IF(AND(ISNUMBER(J399),ISNUMBER(K399),F399&lt;&gt;"Calentamiento",F399&lt;&gt;"Bilbo"),IF(AND(K399&gt;0,K399&lt;=12),ROUND(J399*(1+(K399+IF(ISNUMBER(L399),L399,0))/30),1),""),"")</f>
        <v/>
      </c>
      <c r="T399" s="21" t="str">
        <f aca="false">IF(AND(F399="Bilbo",ISNUMBER(J399),ISNUMBER(K399)),ROUND(J399*(1+K399/30),1),"")</f>
        <v/>
      </c>
      <c r="W399" s="22"/>
      <c r="X399" s="21" t="str">
        <f aca="false">IF(AND(F399="Bilbo",E399&lt;&gt;"",G399&lt;&gt;"",H399&lt;&gt;""),E399&amp;"|"&amp;G399&amp;"|"&amp;H399,"")</f>
        <v/>
      </c>
      <c r="Y399" s="21" t="str">
        <f aca="false">IF(B399="","",IF(B399&lt;&gt;B398,1,0))</f>
        <v/>
      </c>
    </row>
    <row r="400" customFormat="false" ht="15" hidden="false" customHeight="true" outlineLevel="0" collapsed="false">
      <c r="A400" s="21" t="str">
        <f aca="false">IF(B400="","",ROW()-4)</f>
        <v/>
      </c>
      <c r="B400" s="22"/>
      <c r="C400" s="21" t="str">
        <f aca="false">IF(B400="","",CHOOSE(WEEKDAY(B400,2),"LUNES","MARTES","MIÉRCOLES","JUEVES","VIERNES","SÁBADO","DOMINGO"))</f>
        <v/>
      </c>
      <c r="M400" s="23"/>
      <c r="Q400" s="21" t="str">
        <f aca="false">IF(OR(K400="",N400=""),"",K400-N400)</f>
        <v/>
      </c>
      <c r="R400" s="21" t="str">
        <f aca="false">IF(OR(J400="",K400=""),"",J400*K400)</f>
        <v/>
      </c>
      <c r="S400" s="21" t="str">
        <f aca="false">IF(AND(ISNUMBER(J400),ISNUMBER(K400),F400&lt;&gt;"Calentamiento",F400&lt;&gt;"Bilbo"),IF(AND(K400&gt;0,K400&lt;=12),ROUND(J400*(1+(K400+IF(ISNUMBER(L400),L400,0))/30),1),""),"")</f>
        <v/>
      </c>
      <c r="T400" s="21" t="str">
        <f aca="false">IF(AND(F400="Bilbo",ISNUMBER(J400),ISNUMBER(K400)),ROUND(J400*(1+K400/30),1),"")</f>
        <v/>
      </c>
      <c r="W400" s="22"/>
      <c r="X400" s="21" t="str">
        <f aca="false">IF(AND(F400="Bilbo",E400&lt;&gt;"",G400&lt;&gt;"",H400&lt;&gt;""),E400&amp;"|"&amp;G400&amp;"|"&amp;H400,"")</f>
        <v/>
      </c>
      <c r="Y400" s="21" t="str">
        <f aca="false">IF(B400="","",IF(B400&lt;&gt;B399,1,0))</f>
        <v/>
      </c>
    </row>
    <row r="401" customFormat="false" ht="15" hidden="false" customHeight="true" outlineLevel="0" collapsed="false">
      <c r="A401" s="21" t="str">
        <f aca="false">IF(B401="","",ROW()-4)</f>
        <v/>
      </c>
      <c r="B401" s="22"/>
      <c r="C401" s="21" t="str">
        <f aca="false">IF(B401="","",CHOOSE(WEEKDAY(B401,2),"LUNES","MARTES","MIÉRCOLES","JUEVES","VIERNES","SÁBADO","DOMINGO"))</f>
        <v/>
      </c>
      <c r="M401" s="23"/>
      <c r="Q401" s="21" t="str">
        <f aca="false">IF(OR(K401="",N401=""),"",K401-N401)</f>
        <v/>
      </c>
      <c r="R401" s="21" t="str">
        <f aca="false">IF(OR(J401="",K401=""),"",J401*K401)</f>
        <v/>
      </c>
      <c r="S401" s="21" t="str">
        <f aca="false">IF(AND(ISNUMBER(J401),ISNUMBER(K401),F401&lt;&gt;"Calentamiento",F401&lt;&gt;"Bilbo"),IF(AND(K401&gt;0,K401&lt;=12),ROUND(J401*(1+(K401+IF(ISNUMBER(L401),L401,0))/30),1),""),"")</f>
        <v/>
      </c>
      <c r="T401" s="21" t="str">
        <f aca="false">IF(AND(F401="Bilbo",ISNUMBER(J401),ISNUMBER(K401)),ROUND(J401*(1+K401/30),1),"")</f>
        <v/>
      </c>
      <c r="W401" s="22"/>
      <c r="X401" s="21" t="str">
        <f aca="false">IF(AND(F401="Bilbo",E401&lt;&gt;"",G401&lt;&gt;"",H401&lt;&gt;""),E401&amp;"|"&amp;G401&amp;"|"&amp;H401,"")</f>
        <v/>
      </c>
      <c r="Y401" s="21" t="str">
        <f aca="false">IF(B401="","",IF(B401&lt;&gt;B400,1,0))</f>
        <v/>
      </c>
    </row>
    <row r="402" customFormat="false" ht="15" hidden="false" customHeight="true" outlineLevel="0" collapsed="false">
      <c r="A402" s="21" t="str">
        <f aca="false">IF(B402="","",ROW()-4)</f>
        <v/>
      </c>
      <c r="B402" s="22"/>
      <c r="C402" s="21" t="str">
        <f aca="false">IF(B402="","",CHOOSE(WEEKDAY(B402,2),"LUNES","MARTES","MIÉRCOLES","JUEVES","VIERNES","SÁBADO","DOMINGO"))</f>
        <v/>
      </c>
      <c r="M402" s="23"/>
      <c r="Q402" s="21" t="str">
        <f aca="false">IF(OR(K402="",N402=""),"",K402-N402)</f>
        <v/>
      </c>
      <c r="R402" s="21" t="str">
        <f aca="false">IF(OR(J402="",K402=""),"",J402*K402)</f>
        <v/>
      </c>
      <c r="S402" s="21" t="str">
        <f aca="false">IF(AND(ISNUMBER(J402),ISNUMBER(K402),F402&lt;&gt;"Calentamiento",F402&lt;&gt;"Bilbo"),IF(AND(K402&gt;0,K402&lt;=12),ROUND(J402*(1+(K402+IF(ISNUMBER(L402),L402,0))/30),1),""),"")</f>
        <v/>
      </c>
      <c r="T402" s="21" t="str">
        <f aca="false">IF(AND(F402="Bilbo",ISNUMBER(J402),ISNUMBER(K402)),ROUND(J402*(1+K402/30),1),"")</f>
        <v/>
      </c>
      <c r="W402" s="22"/>
      <c r="X402" s="21" t="str">
        <f aca="false">IF(AND(F402="Bilbo",E402&lt;&gt;"",G402&lt;&gt;"",H402&lt;&gt;""),E402&amp;"|"&amp;G402&amp;"|"&amp;H402,"")</f>
        <v/>
      </c>
      <c r="Y402" s="21" t="str">
        <f aca="false">IF(B402="","",IF(B402&lt;&gt;B401,1,0))</f>
        <v/>
      </c>
    </row>
    <row r="403" customFormat="false" ht="15" hidden="false" customHeight="true" outlineLevel="0" collapsed="false">
      <c r="A403" s="21" t="str">
        <f aca="false">IF(B403="","",ROW()-4)</f>
        <v/>
      </c>
      <c r="B403" s="22"/>
      <c r="C403" s="21" t="str">
        <f aca="false">IF(B403="","",CHOOSE(WEEKDAY(B403,2),"LUNES","MARTES","MIÉRCOLES","JUEVES","VIERNES","SÁBADO","DOMINGO"))</f>
        <v/>
      </c>
      <c r="M403" s="23"/>
      <c r="Q403" s="21" t="str">
        <f aca="false">IF(OR(K403="",N403=""),"",K403-N403)</f>
        <v/>
      </c>
      <c r="R403" s="21" t="str">
        <f aca="false">IF(OR(J403="",K403=""),"",J403*K403)</f>
        <v/>
      </c>
      <c r="S403" s="21" t="str">
        <f aca="false">IF(AND(ISNUMBER(J403),ISNUMBER(K403),F403&lt;&gt;"Calentamiento",F403&lt;&gt;"Bilbo"),IF(AND(K403&gt;0,K403&lt;=12),ROUND(J403*(1+(K403+IF(ISNUMBER(L403),L403,0))/30),1),""),"")</f>
        <v/>
      </c>
      <c r="T403" s="21" t="str">
        <f aca="false">IF(AND(F403="Bilbo",ISNUMBER(J403),ISNUMBER(K403)),ROUND(J403*(1+K403/30),1),"")</f>
        <v/>
      </c>
      <c r="W403" s="22"/>
      <c r="X403" s="21" t="str">
        <f aca="false">IF(AND(F403="Bilbo",E403&lt;&gt;"",G403&lt;&gt;"",H403&lt;&gt;""),E403&amp;"|"&amp;G403&amp;"|"&amp;H403,"")</f>
        <v/>
      </c>
      <c r="Y403" s="21" t="str">
        <f aca="false">IF(B403="","",IF(B403&lt;&gt;B402,1,0))</f>
        <v/>
      </c>
    </row>
    <row r="404" customFormat="false" ht="15" hidden="false" customHeight="true" outlineLevel="0" collapsed="false">
      <c r="A404" s="21" t="str">
        <f aca="false">IF(B404="","",ROW()-4)</f>
        <v/>
      </c>
      <c r="B404" s="22"/>
      <c r="C404" s="21" t="str">
        <f aca="false">IF(B404="","",CHOOSE(WEEKDAY(B404,2),"LUNES","MARTES","MIÉRCOLES","JUEVES","VIERNES","SÁBADO","DOMINGO"))</f>
        <v/>
      </c>
      <c r="M404" s="23"/>
      <c r="Q404" s="21" t="str">
        <f aca="false">IF(OR(K404="",N404=""),"",K404-N404)</f>
        <v/>
      </c>
      <c r="R404" s="21" t="str">
        <f aca="false">IF(OR(J404="",K404=""),"",J404*K404)</f>
        <v/>
      </c>
      <c r="S404" s="21" t="str">
        <f aca="false">IF(AND(ISNUMBER(J404),ISNUMBER(K404),F404&lt;&gt;"Calentamiento",F404&lt;&gt;"Bilbo"),IF(AND(K404&gt;0,K404&lt;=12),ROUND(J404*(1+(K404+IF(ISNUMBER(L404),L404,0))/30),1),""),"")</f>
        <v/>
      </c>
      <c r="T404" s="21" t="str">
        <f aca="false">IF(AND(F404="Bilbo",ISNUMBER(J404),ISNUMBER(K404)),ROUND(J404*(1+K404/30),1),"")</f>
        <v/>
      </c>
      <c r="W404" s="22"/>
      <c r="X404" s="21" t="str">
        <f aca="false">IF(AND(F404="Bilbo",E404&lt;&gt;"",G404&lt;&gt;"",H404&lt;&gt;""),E404&amp;"|"&amp;G404&amp;"|"&amp;H404,"")</f>
        <v/>
      </c>
      <c r="Y404" s="21" t="str">
        <f aca="false">IF(B404="","",IF(B404&lt;&gt;B403,1,0))</f>
        <v/>
      </c>
    </row>
    <row r="405" customFormat="false" ht="15" hidden="false" customHeight="true" outlineLevel="0" collapsed="false">
      <c r="A405" s="21" t="str">
        <f aca="false">IF(B405="","",ROW()-4)</f>
        <v/>
      </c>
      <c r="B405" s="22"/>
      <c r="C405" s="21" t="str">
        <f aca="false">IF(B405="","",CHOOSE(WEEKDAY(B405,2),"LUNES","MARTES","MIÉRCOLES","JUEVES","VIERNES","SÁBADO","DOMINGO"))</f>
        <v/>
      </c>
      <c r="M405" s="23"/>
      <c r="Q405" s="21" t="str">
        <f aca="false">IF(OR(K405="",N405=""),"",K405-N405)</f>
        <v/>
      </c>
      <c r="R405" s="21" t="str">
        <f aca="false">IF(OR(J405="",K405=""),"",J405*K405)</f>
        <v/>
      </c>
      <c r="S405" s="21" t="str">
        <f aca="false">IF(AND(ISNUMBER(J405),ISNUMBER(K405),F405&lt;&gt;"Calentamiento",F405&lt;&gt;"Bilbo"),IF(AND(K405&gt;0,K405&lt;=12),ROUND(J405*(1+(K405+IF(ISNUMBER(L405),L405,0))/30),1),""),"")</f>
        <v/>
      </c>
      <c r="T405" s="21" t="str">
        <f aca="false">IF(AND(F405="Bilbo",ISNUMBER(J405),ISNUMBER(K405)),ROUND(J405*(1+K405/30),1),"")</f>
        <v/>
      </c>
      <c r="W405" s="22"/>
      <c r="X405" s="21" t="str">
        <f aca="false">IF(AND(F405="Bilbo",E405&lt;&gt;"",G405&lt;&gt;"",H405&lt;&gt;""),E405&amp;"|"&amp;G405&amp;"|"&amp;H405,"")</f>
        <v/>
      </c>
      <c r="Y405" s="21" t="str">
        <f aca="false">IF(B405="","",IF(B405&lt;&gt;B404,1,0))</f>
        <v/>
      </c>
    </row>
    <row r="406" customFormat="false" ht="15" hidden="false" customHeight="true" outlineLevel="0" collapsed="false">
      <c r="A406" s="21" t="str">
        <f aca="false">IF(B406="","",ROW()-4)</f>
        <v/>
      </c>
      <c r="B406" s="22"/>
      <c r="C406" s="21" t="str">
        <f aca="false">IF(B406="","",CHOOSE(WEEKDAY(B406,2),"LUNES","MARTES","MIÉRCOLES","JUEVES","VIERNES","SÁBADO","DOMINGO"))</f>
        <v/>
      </c>
      <c r="M406" s="23"/>
      <c r="Q406" s="21" t="str">
        <f aca="false">IF(OR(K406="",N406=""),"",K406-N406)</f>
        <v/>
      </c>
      <c r="R406" s="21" t="str">
        <f aca="false">IF(OR(J406="",K406=""),"",J406*K406)</f>
        <v/>
      </c>
      <c r="S406" s="21" t="str">
        <f aca="false">IF(AND(ISNUMBER(J406),ISNUMBER(K406),F406&lt;&gt;"Calentamiento",F406&lt;&gt;"Bilbo"),IF(AND(K406&gt;0,K406&lt;=12),ROUND(J406*(1+(K406+IF(ISNUMBER(L406),L406,0))/30),1),""),"")</f>
        <v/>
      </c>
      <c r="T406" s="21" t="str">
        <f aca="false">IF(AND(F406="Bilbo",ISNUMBER(J406),ISNUMBER(K406)),ROUND(J406*(1+K406/30),1),"")</f>
        <v/>
      </c>
      <c r="W406" s="22"/>
      <c r="X406" s="21" t="str">
        <f aca="false">IF(AND(F406="Bilbo",E406&lt;&gt;"",G406&lt;&gt;"",H406&lt;&gt;""),E406&amp;"|"&amp;G406&amp;"|"&amp;H406,"")</f>
        <v/>
      </c>
      <c r="Y406" s="21" t="str">
        <f aca="false">IF(B406="","",IF(B406&lt;&gt;B405,1,0))</f>
        <v/>
      </c>
    </row>
    <row r="407" customFormat="false" ht="15" hidden="false" customHeight="true" outlineLevel="0" collapsed="false">
      <c r="A407" s="21" t="str">
        <f aca="false">IF(B407="","",ROW()-4)</f>
        <v/>
      </c>
      <c r="B407" s="22"/>
      <c r="C407" s="21" t="str">
        <f aca="false">IF(B407="","",CHOOSE(WEEKDAY(B407,2),"LUNES","MARTES","MIÉRCOLES","JUEVES","VIERNES","SÁBADO","DOMINGO"))</f>
        <v/>
      </c>
      <c r="M407" s="23"/>
      <c r="Q407" s="21" t="str">
        <f aca="false">IF(OR(K407="",N407=""),"",K407-N407)</f>
        <v/>
      </c>
      <c r="R407" s="21" t="str">
        <f aca="false">IF(OR(J407="",K407=""),"",J407*K407)</f>
        <v/>
      </c>
      <c r="S407" s="21" t="str">
        <f aca="false">IF(AND(ISNUMBER(J407),ISNUMBER(K407),F407&lt;&gt;"Calentamiento",F407&lt;&gt;"Bilbo"),IF(AND(K407&gt;0,K407&lt;=12),ROUND(J407*(1+(K407+IF(ISNUMBER(L407),L407,0))/30),1),""),"")</f>
        <v/>
      </c>
      <c r="T407" s="21" t="str">
        <f aca="false">IF(AND(F407="Bilbo",ISNUMBER(J407),ISNUMBER(K407)),ROUND(J407*(1+K407/30),1),"")</f>
        <v/>
      </c>
      <c r="W407" s="22"/>
      <c r="X407" s="21" t="str">
        <f aca="false">IF(AND(F407="Bilbo",E407&lt;&gt;"",G407&lt;&gt;"",H407&lt;&gt;""),E407&amp;"|"&amp;G407&amp;"|"&amp;H407,"")</f>
        <v/>
      </c>
      <c r="Y407" s="21" t="str">
        <f aca="false">IF(B407="","",IF(B407&lt;&gt;B406,1,0))</f>
        <v/>
      </c>
    </row>
    <row r="408" customFormat="false" ht="15" hidden="false" customHeight="true" outlineLevel="0" collapsed="false">
      <c r="A408" s="21" t="str">
        <f aca="false">IF(B408="","",ROW()-4)</f>
        <v/>
      </c>
      <c r="B408" s="22"/>
      <c r="C408" s="21" t="str">
        <f aca="false">IF(B408="","",CHOOSE(WEEKDAY(B408,2),"LUNES","MARTES","MIÉRCOLES","JUEVES","VIERNES","SÁBADO","DOMINGO"))</f>
        <v/>
      </c>
      <c r="M408" s="23"/>
      <c r="Q408" s="21" t="str">
        <f aca="false">IF(OR(K408="",N408=""),"",K408-N408)</f>
        <v/>
      </c>
      <c r="R408" s="21" t="str">
        <f aca="false">IF(OR(J408="",K408=""),"",J408*K408)</f>
        <v/>
      </c>
      <c r="S408" s="21" t="str">
        <f aca="false">IF(AND(ISNUMBER(J408),ISNUMBER(K408),F408&lt;&gt;"Calentamiento",F408&lt;&gt;"Bilbo"),IF(AND(K408&gt;0,K408&lt;=12),ROUND(J408*(1+(K408+IF(ISNUMBER(L408),L408,0))/30),1),""),"")</f>
        <v/>
      </c>
      <c r="T408" s="21" t="str">
        <f aca="false">IF(AND(F408="Bilbo",ISNUMBER(J408),ISNUMBER(K408)),ROUND(J408*(1+K408/30),1),"")</f>
        <v/>
      </c>
      <c r="W408" s="22"/>
      <c r="X408" s="21" t="str">
        <f aca="false">IF(AND(F408="Bilbo",E408&lt;&gt;"",G408&lt;&gt;"",H408&lt;&gt;""),E408&amp;"|"&amp;G408&amp;"|"&amp;H408,"")</f>
        <v/>
      </c>
      <c r="Y408" s="21" t="str">
        <f aca="false">IF(B408="","",IF(B408&lt;&gt;B407,1,0))</f>
        <v/>
      </c>
    </row>
    <row r="409" customFormat="false" ht="15" hidden="false" customHeight="true" outlineLevel="0" collapsed="false">
      <c r="A409" s="21" t="str">
        <f aca="false">IF(B409="","",ROW()-4)</f>
        <v/>
      </c>
      <c r="B409" s="22"/>
      <c r="C409" s="21" t="str">
        <f aca="false">IF(B409="","",CHOOSE(WEEKDAY(B409,2),"LUNES","MARTES","MIÉRCOLES","JUEVES","VIERNES","SÁBADO","DOMINGO"))</f>
        <v/>
      </c>
      <c r="M409" s="23"/>
      <c r="Q409" s="21" t="str">
        <f aca="false">IF(OR(K409="",N409=""),"",K409-N409)</f>
        <v/>
      </c>
      <c r="R409" s="21" t="str">
        <f aca="false">IF(OR(J409="",K409=""),"",J409*K409)</f>
        <v/>
      </c>
      <c r="S409" s="21" t="str">
        <f aca="false">IF(AND(ISNUMBER(J409),ISNUMBER(K409),F409&lt;&gt;"Calentamiento",F409&lt;&gt;"Bilbo"),IF(AND(K409&gt;0,K409&lt;=12),ROUND(J409*(1+(K409+IF(ISNUMBER(L409),L409,0))/30),1),""),"")</f>
        <v/>
      </c>
      <c r="T409" s="21" t="str">
        <f aca="false">IF(AND(F409="Bilbo",ISNUMBER(J409),ISNUMBER(K409)),ROUND(J409*(1+K409/30),1),"")</f>
        <v/>
      </c>
      <c r="W409" s="22"/>
      <c r="X409" s="21" t="str">
        <f aca="false">IF(AND(F409="Bilbo",E409&lt;&gt;"",G409&lt;&gt;"",H409&lt;&gt;""),E409&amp;"|"&amp;G409&amp;"|"&amp;H409,"")</f>
        <v/>
      </c>
      <c r="Y409" s="21" t="str">
        <f aca="false">IF(B409="","",IF(B409&lt;&gt;B408,1,0))</f>
        <v/>
      </c>
    </row>
    <row r="410" customFormat="false" ht="15" hidden="false" customHeight="true" outlineLevel="0" collapsed="false">
      <c r="A410" s="21" t="str">
        <f aca="false">IF(B410="","",ROW()-4)</f>
        <v/>
      </c>
      <c r="B410" s="22"/>
      <c r="C410" s="21" t="str">
        <f aca="false">IF(B410="","",CHOOSE(WEEKDAY(B410,2),"LUNES","MARTES","MIÉRCOLES","JUEVES","VIERNES","SÁBADO","DOMINGO"))</f>
        <v/>
      </c>
      <c r="M410" s="23"/>
      <c r="Q410" s="21" t="str">
        <f aca="false">IF(OR(K410="",N410=""),"",K410-N410)</f>
        <v/>
      </c>
      <c r="R410" s="21" t="str">
        <f aca="false">IF(OR(J410="",K410=""),"",J410*K410)</f>
        <v/>
      </c>
      <c r="S410" s="21" t="str">
        <f aca="false">IF(AND(ISNUMBER(J410),ISNUMBER(K410),F410&lt;&gt;"Calentamiento",F410&lt;&gt;"Bilbo"),IF(AND(K410&gt;0,K410&lt;=12),ROUND(J410*(1+(K410+IF(ISNUMBER(L410),L410,0))/30),1),""),"")</f>
        <v/>
      </c>
      <c r="T410" s="21" t="str">
        <f aca="false">IF(AND(F410="Bilbo",ISNUMBER(J410),ISNUMBER(K410)),ROUND(J410*(1+K410/30),1),"")</f>
        <v/>
      </c>
      <c r="W410" s="22"/>
      <c r="X410" s="21" t="str">
        <f aca="false">IF(AND(F410="Bilbo",E410&lt;&gt;"",G410&lt;&gt;"",H410&lt;&gt;""),E410&amp;"|"&amp;G410&amp;"|"&amp;H410,"")</f>
        <v/>
      </c>
      <c r="Y410" s="21" t="str">
        <f aca="false">IF(B410="","",IF(B410&lt;&gt;B409,1,0))</f>
        <v/>
      </c>
    </row>
    <row r="411" customFormat="false" ht="15" hidden="false" customHeight="true" outlineLevel="0" collapsed="false">
      <c r="A411" s="21" t="str">
        <f aca="false">IF(B411="","",ROW()-4)</f>
        <v/>
      </c>
      <c r="B411" s="22"/>
      <c r="C411" s="21" t="str">
        <f aca="false">IF(B411="","",CHOOSE(WEEKDAY(B411,2),"LUNES","MARTES","MIÉRCOLES","JUEVES","VIERNES","SÁBADO","DOMINGO"))</f>
        <v/>
      </c>
      <c r="M411" s="23"/>
      <c r="Q411" s="21" t="str">
        <f aca="false">IF(OR(K411="",N411=""),"",K411-N411)</f>
        <v/>
      </c>
      <c r="R411" s="21" t="str">
        <f aca="false">IF(OR(J411="",K411=""),"",J411*K411)</f>
        <v/>
      </c>
      <c r="S411" s="21" t="str">
        <f aca="false">IF(AND(ISNUMBER(J411),ISNUMBER(K411),F411&lt;&gt;"Calentamiento",F411&lt;&gt;"Bilbo"),IF(AND(K411&gt;0,K411&lt;=12),ROUND(J411*(1+(K411+IF(ISNUMBER(L411),L411,0))/30),1),""),"")</f>
        <v/>
      </c>
      <c r="T411" s="21" t="str">
        <f aca="false">IF(AND(F411="Bilbo",ISNUMBER(J411),ISNUMBER(K411)),ROUND(J411*(1+K411/30),1),"")</f>
        <v/>
      </c>
      <c r="W411" s="22"/>
      <c r="X411" s="21" t="str">
        <f aca="false">IF(AND(F411="Bilbo",E411&lt;&gt;"",G411&lt;&gt;"",H411&lt;&gt;""),E411&amp;"|"&amp;G411&amp;"|"&amp;H411,"")</f>
        <v/>
      </c>
      <c r="Y411" s="21" t="str">
        <f aca="false">IF(B411="","",IF(B411&lt;&gt;B410,1,0))</f>
        <v/>
      </c>
    </row>
    <row r="412" customFormat="false" ht="15" hidden="false" customHeight="true" outlineLevel="0" collapsed="false">
      <c r="A412" s="21" t="str">
        <f aca="false">IF(B412="","",ROW()-4)</f>
        <v/>
      </c>
      <c r="B412" s="22"/>
      <c r="C412" s="21" t="str">
        <f aca="false">IF(B412="","",CHOOSE(WEEKDAY(B412,2),"LUNES","MARTES","MIÉRCOLES","JUEVES","VIERNES","SÁBADO","DOMINGO"))</f>
        <v/>
      </c>
      <c r="M412" s="23"/>
      <c r="Q412" s="21" t="str">
        <f aca="false">IF(OR(K412="",N412=""),"",K412-N412)</f>
        <v/>
      </c>
      <c r="R412" s="21" t="str">
        <f aca="false">IF(OR(J412="",K412=""),"",J412*K412)</f>
        <v/>
      </c>
      <c r="S412" s="21" t="str">
        <f aca="false">IF(AND(ISNUMBER(J412),ISNUMBER(K412),F412&lt;&gt;"Calentamiento",F412&lt;&gt;"Bilbo"),IF(AND(K412&gt;0,K412&lt;=12),ROUND(J412*(1+(K412+IF(ISNUMBER(L412),L412,0))/30),1),""),"")</f>
        <v/>
      </c>
      <c r="T412" s="21" t="str">
        <f aca="false">IF(AND(F412="Bilbo",ISNUMBER(J412),ISNUMBER(K412)),ROUND(J412*(1+K412/30),1),"")</f>
        <v/>
      </c>
      <c r="W412" s="22"/>
      <c r="X412" s="21" t="str">
        <f aca="false">IF(AND(F412="Bilbo",E412&lt;&gt;"",G412&lt;&gt;"",H412&lt;&gt;""),E412&amp;"|"&amp;G412&amp;"|"&amp;H412,"")</f>
        <v/>
      </c>
      <c r="Y412" s="21" t="str">
        <f aca="false">IF(B412="","",IF(B412&lt;&gt;B411,1,0))</f>
        <v/>
      </c>
    </row>
    <row r="413" customFormat="false" ht="15" hidden="false" customHeight="true" outlineLevel="0" collapsed="false">
      <c r="A413" s="21" t="str">
        <f aca="false">IF(B413="","",ROW()-4)</f>
        <v/>
      </c>
      <c r="B413" s="22"/>
      <c r="C413" s="21" t="str">
        <f aca="false">IF(B413="","",CHOOSE(WEEKDAY(B413,2),"LUNES","MARTES","MIÉRCOLES","JUEVES","VIERNES","SÁBADO","DOMINGO"))</f>
        <v/>
      </c>
      <c r="M413" s="23"/>
      <c r="Q413" s="21" t="str">
        <f aca="false">IF(OR(K413="",N413=""),"",K413-N413)</f>
        <v/>
      </c>
      <c r="R413" s="21" t="str">
        <f aca="false">IF(OR(J413="",K413=""),"",J413*K413)</f>
        <v/>
      </c>
      <c r="S413" s="21" t="str">
        <f aca="false">IF(AND(ISNUMBER(J413),ISNUMBER(K413),F413&lt;&gt;"Calentamiento",F413&lt;&gt;"Bilbo"),IF(AND(K413&gt;0,K413&lt;=12),ROUND(J413*(1+(K413+IF(ISNUMBER(L413),L413,0))/30),1),""),"")</f>
        <v/>
      </c>
      <c r="T413" s="21" t="str">
        <f aca="false">IF(AND(F413="Bilbo",ISNUMBER(J413),ISNUMBER(K413)),ROUND(J413*(1+K413/30),1),"")</f>
        <v/>
      </c>
      <c r="W413" s="22"/>
      <c r="X413" s="21" t="str">
        <f aca="false">IF(AND(F413="Bilbo",E413&lt;&gt;"",G413&lt;&gt;"",H413&lt;&gt;""),E413&amp;"|"&amp;G413&amp;"|"&amp;H413,"")</f>
        <v/>
      </c>
      <c r="Y413" s="21" t="str">
        <f aca="false">IF(B413="","",IF(B413&lt;&gt;B412,1,0))</f>
        <v/>
      </c>
    </row>
    <row r="414" customFormat="false" ht="15" hidden="false" customHeight="true" outlineLevel="0" collapsed="false">
      <c r="A414" s="21" t="str">
        <f aca="false">IF(B414="","",ROW()-4)</f>
        <v/>
      </c>
      <c r="B414" s="22"/>
      <c r="C414" s="21" t="str">
        <f aca="false">IF(B414="","",CHOOSE(WEEKDAY(B414,2),"LUNES","MARTES","MIÉRCOLES","JUEVES","VIERNES","SÁBADO","DOMINGO"))</f>
        <v/>
      </c>
      <c r="M414" s="23"/>
      <c r="Q414" s="21" t="str">
        <f aca="false">IF(OR(K414="",N414=""),"",K414-N414)</f>
        <v/>
      </c>
      <c r="R414" s="21" t="str">
        <f aca="false">IF(OR(J414="",K414=""),"",J414*K414)</f>
        <v/>
      </c>
      <c r="S414" s="21" t="str">
        <f aca="false">IF(AND(ISNUMBER(J414),ISNUMBER(K414),F414&lt;&gt;"Calentamiento",F414&lt;&gt;"Bilbo"),IF(AND(K414&gt;0,K414&lt;=12),ROUND(J414*(1+(K414+IF(ISNUMBER(L414),L414,0))/30),1),""),"")</f>
        <v/>
      </c>
      <c r="T414" s="21" t="str">
        <f aca="false">IF(AND(F414="Bilbo",ISNUMBER(J414),ISNUMBER(K414)),ROUND(J414*(1+K414/30),1),"")</f>
        <v/>
      </c>
      <c r="W414" s="22"/>
      <c r="X414" s="21" t="str">
        <f aca="false">IF(AND(F414="Bilbo",E414&lt;&gt;"",G414&lt;&gt;"",H414&lt;&gt;""),E414&amp;"|"&amp;G414&amp;"|"&amp;H414,"")</f>
        <v/>
      </c>
      <c r="Y414" s="21" t="str">
        <f aca="false">IF(B414="","",IF(B414&lt;&gt;B413,1,0))</f>
        <v/>
      </c>
    </row>
    <row r="415" customFormat="false" ht="15" hidden="false" customHeight="true" outlineLevel="0" collapsed="false">
      <c r="A415" s="21" t="str">
        <f aca="false">IF(B415="","",ROW()-4)</f>
        <v/>
      </c>
      <c r="B415" s="22"/>
      <c r="C415" s="21" t="str">
        <f aca="false">IF(B415="","",CHOOSE(WEEKDAY(B415,2),"LUNES","MARTES","MIÉRCOLES","JUEVES","VIERNES","SÁBADO","DOMINGO"))</f>
        <v/>
      </c>
      <c r="M415" s="23"/>
      <c r="Q415" s="21" t="str">
        <f aca="false">IF(OR(K415="",N415=""),"",K415-N415)</f>
        <v/>
      </c>
      <c r="R415" s="21" t="str">
        <f aca="false">IF(OR(J415="",K415=""),"",J415*K415)</f>
        <v/>
      </c>
      <c r="S415" s="21" t="str">
        <f aca="false">IF(AND(ISNUMBER(J415),ISNUMBER(K415),F415&lt;&gt;"Calentamiento",F415&lt;&gt;"Bilbo"),IF(AND(K415&gt;0,K415&lt;=12),ROUND(J415*(1+(K415+IF(ISNUMBER(L415),L415,0))/30),1),""),"")</f>
        <v/>
      </c>
      <c r="T415" s="21" t="str">
        <f aca="false">IF(AND(F415="Bilbo",ISNUMBER(J415),ISNUMBER(K415)),ROUND(J415*(1+K415/30),1),"")</f>
        <v/>
      </c>
      <c r="W415" s="22"/>
      <c r="X415" s="21" t="str">
        <f aca="false">IF(AND(F415="Bilbo",E415&lt;&gt;"",G415&lt;&gt;"",H415&lt;&gt;""),E415&amp;"|"&amp;G415&amp;"|"&amp;H415,"")</f>
        <v/>
      </c>
      <c r="Y415" s="21" t="str">
        <f aca="false">IF(B415="","",IF(B415&lt;&gt;B414,1,0))</f>
        <v/>
      </c>
    </row>
    <row r="416" customFormat="false" ht="15" hidden="false" customHeight="true" outlineLevel="0" collapsed="false">
      <c r="A416" s="21" t="str">
        <f aca="false">IF(B416="","",ROW()-4)</f>
        <v/>
      </c>
      <c r="B416" s="22"/>
      <c r="C416" s="21" t="str">
        <f aca="false">IF(B416="","",CHOOSE(WEEKDAY(B416,2),"LUNES","MARTES","MIÉRCOLES","JUEVES","VIERNES","SÁBADO","DOMINGO"))</f>
        <v/>
      </c>
      <c r="M416" s="23"/>
      <c r="Q416" s="21" t="str">
        <f aca="false">IF(OR(K416="",N416=""),"",K416-N416)</f>
        <v/>
      </c>
      <c r="R416" s="21" t="str">
        <f aca="false">IF(OR(J416="",K416=""),"",J416*K416)</f>
        <v/>
      </c>
      <c r="S416" s="21" t="str">
        <f aca="false">IF(AND(ISNUMBER(J416),ISNUMBER(K416),F416&lt;&gt;"Calentamiento",F416&lt;&gt;"Bilbo"),IF(AND(K416&gt;0,K416&lt;=12),ROUND(J416*(1+(K416+IF(ISNUMBER(L416),L416,0))/30),1),""),"")</f>
        <v/>
      </c>
      <c r="T416" s="21" t="str">
        <f aca="false">IF(AND(F416="Bilbo",ISNUMBER(J416),ISNUMBER(K416)),ROUND(J416*(1+K416/30),1),"")</f>
        <v/>
      </c>
      <c r="W416" s="22"/>
      <c r="X416" s="21" t="str">
        <f aca="false">IF(AND(F416="Bilbo",E416&lt;&gt;"",G416&lt;&gt;"",H416&lt;&gt;""),E416&amp;"|"&amp;G416&amp;"|"&amp;H416,"")</f>
        <v/>
      </c>
      <c r="Y416" s="21" t="str">
        <f aca="false">IF(B416="","",IF(B416&lt;&gt;B415,1,0))</f>
        <v/>
      </c>
    </row>
    <row r="417" customFormat="false" ht="15" hidden="false" customHeight="true" outlineLevel="0" collapsed="false">
      <c r="A417" s="21" t="str">
        <f aca="false">IF(B417="","",ROW()-4)</f>
        <v/>
      </c>
      <c r="B417" s="22"/>
      <c r="C417" s="21" t="str">
        <f aca="false">IF(B417="","",CHOOSE(WEEKDAY(B417,2),"LUNES","MARTES","MIÉRCOLES","JUEVES","VIERNES","SÁBADO","DOMINGO"))</f>
        <v/>
      </c>
      <c r="M417" s="23"/>
      <c r="Q417" s="21" t="str">
        <f aca="false">IF(OR(K417="",N417=""),"",K417-N417)</f>
        <v/>
      </c>
      <c r="R417" s="21" t="str">
        <f aca="false">IF(OR(J417="",K417=""),"",J417*K417)</f>
        <v/>
      </c>
      <c r="S417" s="21" t="str">
        <f aca="false">IF(AND(ISNUMBER(J417),ISNUMBER(K417),F417&lt;&gt;"Calentamiento",F417&lt;&gt;"Bilbo"),IF(AND(K417&gt;0,K417&lt;=12),ROUND(J417*(1+(K417+IF(ISNUMBER(L417),L417,0))/30),1),""),"")</f>
        <v/>
      </c>
      <c r="T417" s="21" t="str">
        <f aca="false">IF(AND(F417="Bilbo",ISNUMBER(J417),ISNUMBER(K417)),ROUND(J417*(1+K417/30),1),"")</f>
        <v/>
      </c>
      <c r="W417" s="22"/>
      <c r="X417" s="21" t="str">
        <f aca="false">IF(AND(F417="Bilbo",E417&lt;&gt;"",G417&lt;&gt;"",H417&lt;&gt;""),E417&amp;"|"&amp;G417&amp;"|"&amp;H417,"")</f>
        <v/>
      </c>
      <c r="Y417" s="21" t="str">
        <f aca="false">IF(B417="","",IF(B417&lt;&gt;B416,1,0))</f>
        <v/>
      </c>
    </row>
    <row r="418" customFormat="false" ht="15" hidden="false" customHeight="true" outlineLevel="0" collapsed="false">
      <c r="A418" s="21" t="str">
        <f aca="false">IF(B418="","",ROW()-4)</f>
        <v/>
      </c>
      <c r="B418" s="22"/>
      <c r="C418" s="21" t="str">
        <f aca="false">IF(B418="","",CHOOSE(WEEKDAY(B418,2),"LUNES","MARTES","MIÉRCOLES","JUEVES","VIERNES","SÁBADO","DOMINGO"))</f>
        <v/>
      </c>
      <c r="M418" s="23"/>
      <c r="Q418" s="21" t="str">
        <f aca="false">IF(OR(K418="",N418=""),"",K418-N418)</f>
        <v/>
      </c>
      <c r="R418" s="21" t="str">
        <f aca="false">IF(OR(J418="",K418=""),"",J418*K418)</f>
        <v/>
      </c>
      <c r="S418" s="21" t="str">
        <f aca="false">IF(AND(ISNUMBER(J418),ISNUMBER(K418),F418&lt;&gt;"Calentamiento",F418&lt;&gt;"Bilbo"),IF(AND(K418&gt;0,K418&lt;=12),ROUND(J418*(1+(K418+IF(ISNUMBER(L418),L418,0))/30),1),""),"")</f>
        <v/>
      </c>
      <c r="T418" s="21" t="str">
        <f aca="false">IF(AND(F418="Bilbo",ISNUMBER(J418),ISNUMBER(K418)),ROUND(J418*(1+K418/30),1),"")</f>
        <v/>
      </c>
      <c r="W418" s="22"/>
      <c r="X418" s="21" t="str">
        <f aca="false">IF(AND(F418="Bilbo",E418&lt;&gt;"",G418&lt;&gt;"",H418&lt;&gt;""),E418&amp;"|"&amp;G418&amp;"|"&amp;H418,"")</f>
        <v/>
      </c>
      <c r="Y418" s="21" t="str">
        <f aca="false">IF(B418="","",IF(B418&lt;&gt;B417,1,0))</f>
        <v/>
      </c>
    </row>
    <row r="419" customFormat="false" ht="15" hidden="false" customHeight="true" outlineLevel="0" collapsed="false">
      <c r="A419" s="21" t="str">
        <f aca="false">IF(B419="","",ROW()-4)</f>
        <v/>
      </c>
      <c r="B419" s="22"/>
      <c r="C419" s="21" t="str">
        <f aca="false">IF(B419="","",CHOOSE(WEEKDAY(B419,2),"LUNES","MARTES","MIÉRCOLES","JUEVES","VIERNES","SÁBADO","DOMINGO"))</f>
        <v/>
      </c>
      <c r="M419" s="23"/>
      <c r="Q419" s="21" t="str">
        <f aca="false">IF(OR(K419="",N419=""),"",K419-N419)</f>
        <v/>
      </c>
      <c r="R419" s="21" t="str">
        <f aca="false">IF(OR(J419="",K419=""),"",J419*K419)</f>
        <v/>
      </c>
      <c r="S419" s="21" t="str">
        <f aca="false">IF(AND(ISNUMBER(J419),ISNUMBER(K419),F419&lt;&gt;"Calentamiento",F419&lt;&gt;"Bilbo"),IF(AND(K419&gt;0,K419&lt;=12),ROUND(J419*(1+(K419+IF(ISNUMBER(L419),L419,0))/30),1),""),"")</f>
        <v/>
      </c>
      <c r="T419" s="21" t="str">
        <f aca="false">IF(AND(F419="Bilbo",ISNUMBER(J419),ISNUMBER(K419)),ROUND(J419*(1+K419/30),1),"")</f>
        <v/>
      </c>
      <c r="W419" s="22"/>
      <c r="X419" s="21" t="str">
        <f aca="false">IF(AND(F419="Bilbo",E419&lt;&gt;"",G419&lt;&gt;"",H419&lt;&gt;""),E419&amp;"|"&amp;G419&amp;"|"&amp;H419,"")</f>
        <v/>
      </c>
      <c r="Y419" s="21" t="str">
        <f aca="false">IF(B419="","",IF(B419&lt;&gt;B418,1,0))</f>
        <v/>
      </c>
    </row>
    <row r="420" customFormat="false" ht="15" hidden="false" customHeight="true" outlineLevel="0" collapsed="false">
      <c r="A420" s="21" t="str">
        <f aca="false">IF(B420="","",ROW()-4)</f>
        <v/>
      </c>
      <c r="B420" s="22"/>
      <c r="C420" s="21" t="str">
        <f aca="false">IF(B420="","",CHOOSE(WEEKDAY(B420,2),"LUNES","MARTES","MIÉRCOLES","JUEVES","VIERNES","SÁBADO","DOMINGO"))</f>
        <v/>
      </c>
      <c r="M420" s="23"/>
      <c r="Q420" s="21" t="str">
        <f aca="false">IF(OR(K420="",N420=""),"",K420-N420)</f>
        <v/>
      </c>
      <c r="R420" s="21" t="str">
        <f aca="false">IF(OR(J420="",K420=""),"",J420*K420)</f>
        <v/>
      </c>
      <c r="S420" s="21" t="str">
        <f aca="false">IF(AND(ISNUMBER(J420),ISNUMBER(K420),F420&lt;&gt;"Calentamiento",F420&lt;&gt;"Bilbo"),IF(AND(K420&gt;0,K420&lt;=12),ROUND(J420*(1+(K420+IF(ISNUMBER(L420),L420,0))/30),1),""),"")</f>
        <v/>
      </c>
      <c r="T420" s="21" t="str">
        <f aca="false">IF(AND(F420="Bilbo",ISNUMBER(J420),ISNUMBER(K420)),ROUND(J420*(1+K420/30),1),"")</f>
        <v/>
      </c>
      <c r="W420" s="22"/>
      <c r="X420" s="21" t="str">
        <f aca="false">IF(AND(F420="Bilbo",E420&lt;&gt;"",G420&lt;&gt;"",H420&lt;&gt;""),E420&amp;"|"&amp;G420&amp;"|"&amp;H420,"")</f>
        <v/>
      </c>
      <c r="Y420" s="21" t="str">
        <f aca="false">IF(B420="","",IF(B420&lt;&gt;B419,1,0))</f>
        <v/>
      </c>
    </row>
    <row r="421" customFormat="false" ht="15" hidden="false" customHeight="true" outlineLevel="0" collapsed="false">
      <c r="A421" s="21" t="str">
        <f aca="false">IF(B421="","",ROW()-4)</f>
        <v/>
      </c>
      <c r="B421" s="22"/>
      <c r="C421" s="21" t="str">
        <f aca="false">IF(B421="","",CHOOSE(WEEKDAY(B421,2),"LUNES","MARTES","MIÉRCOLES","JUEVES","VIERNES","SÁBADO","DOMINGO"))</f>
        <v/>
      </c>
      <c r="M421" s="23"/>
      <c r="Q421" s="21" t="str">
        <f aca="false">IF(OR(K421="",N421=""),"",K421-N421)</f>
        <v/>
      </c>
      <c r="R421" s="21" t="str">
        <f aca="false">IF(OR(J421="",K421=""),"",J421*K421)</f>
        <v/>
      </c>
      <c r="S421" s="21" t="str">
        <f aca="false">IF(AND(ISNUMBER(J421),ISNUMBER(K421),F421&lt;&gt;"Calentamiento",F421&lt;&gt;"Bilbo"),IF(AND(K421&gt;0,K421&lt;=12),ROUND(J421*(1+(K421+IF(ISNUMBER(L421),L421,0))/30),1),""),"")</f>
        <v/>
      </c>
      <c r="T421" s="21" t="str">
        <f aca="false">IF(AND(F421="Bilbo",ISNUMBER(J421),ISNUMBER(K421)),ROUND(J421*(1+K421/30),1),"")</f>
        <v/>
      </c>
      <c r="W421" s="22"/>
      <c r="X421" s="21" t="str">
        <f aca="false">IF(AND(F421="Bilbo",E421&lt;&gt;"",G421&lt;&gt;"",H421&lt;&gt;""),E421&amp;"|"&amp;G421&amp;"|"&amp;H421,"")</f>
        <v/>
      </c>
      <c r="Y421" s="21" t="str">
        <f aca="false">IF(B421="","",IF(B421&lt;&gt;B420,1,0))</f>
        <v/>
      </c>
    </row>
    <row r="422" customFormat="false" ht="15" hidden="false" customHeight="true" outlineLevel="0" collapsed="false">
      <c r="A422" s="21" t="str">
        <f aca="false">IF(B422="","",ROW()-4)</f>
        <v/>
      </c>
      <c r="B422" s="22"/>
      <c r="C422" s="21" t="str">
        <f aca="false">IF(B422="","",CHOOSE(WEEKDAY(B422,2),"LUNES","MARTES","MIÉRCOLES","JUEVES","VIERNES","SÁBADO","DOMINGO"))</f>
        <v/>
      </c>
      <c r="M422" s="23"/>
      <c r="Q422" s="21" t="str">
        <f aca="false">IF(OR(K422="",N422=""),"",K422-N422)</f>
        <v/>
      </c>
      <c r="R422" s="21" t="str">
        <f aca="false">IF(OR(J422="",K422=""),"",J422*K422)</f>
        <v/>
      </c>
      <c r="S422" s="21" t="str">
        <f aca="false">IF(AND(ISNUMBER(J422),ISNUMBER(K422),F422&lt;&gt;"Calentamiento",F422&lt;&gt;"Bilbo"),IF(AND(K422&gt;0,K422&lt;=12),ROUND(J422*(1+(K422+IF(ISNUMBER(L422),L422,0))/30),1),""),"")</f>
        <v/>
      </c>
      <c r="T422" s="21" t="str">
        <f aca="false">IF(AND(F422="Bilbo",ISNUMBER(J422),ISNUMBER(K422)),ROUND(J422*(1+K422/30),1),"")</f>
        <v/>
      </c>
      <c r="W422" s="22"/>
      <c r="X422" s="21" t="str">
        <f aca="false">IF(AND(F422="Bilbo",E422&lt;&gt;"",G422&lt;&gt;"",H422&lt;&gt;""),E422&amp;"|"&amp;G422&amp;"|"&amp;H422,"")</f>
        <v/>
      </c>
      <c r="Y422" s="21" t="str">
        <f aca="false">IF(B422="","",IF(B422&lt;&gt;B421,1,0))</f>
        <v/>
      </c>
    </row>
    <row r="423" customFormat="false" ht="15" hidden="false" customHeight="true" outlineLevel="0" collapsed="false">
      <c r="A423" s="21" t="str">
        <f aca="false">IF(B423="","",ROW()-4)</f>
        <v/>
      </c>
      <c r="B423" s="22"/>
      <c r="C423" s="21" t="str">
        <f aca="false">IF(B423="","",CHOOSE(WEEKDAY(B423,2),"LUNES","MARTES","MIÉRCOLES","JUEVES","VIERNES","SÁBADO","DOMINGO"))</f>
        <v/>
      </c>
      <c r="M423" s="23"/>
      <c r="Q423" s="21" t="str">
        <f aca="false">IF(OR(K423="",N423=""),"",K423-N423)</f>
        <v/>
      </c>
      <c r="R423" s="21" t="str">
        <f aca="false">IF(OR(J423="",K423=""),"",J423*K423)</f>
        <v/>
      </c>
      <c r="S423" s="21" t="str">
        <f aca="false">IF(AND(ISNUMBER(J423),ISNUMBER(K423),F423&lt;&gt;"Calentamiento",F423&lt;&gt;"Bilbo"),IF(AND(K423&gt;0,K423&lt;=12),ROUND(J423*(1+(K423+IF(ISNUMBER(L423),L423,0))/30),1),""),"")</f>
        <v/>
      </c>
      <c r="T423" s="21" t="str">
        <f aca="false">IF(AND(F423="Bilbo",ISNUMBER(J423),ISNUMBER(K423)),ROUND(J423*(1+K423/30),1),"")</f>
        <v/>
      </c>
      <c r="W423" s="22"/>
      <c r="X423" s="21" t="str">
        <f aca="false">IF(AND(F423="Bilbo",E423&lt;&gt;"",G423&lt;&gt;"",H423&lt;&gt;""),E423&amp;"|"&amp;G423&amp;"|"&amp;H423,"")</f>
        <v/>
      </c>
      <c r="Y423" s="21" t="str">
        <f aca="false">IF(B423="","",IF(B423&lt;&gt;B422,1,0))</f>
        <v/>
      </c>
    </row>
    <row r="424" customFormat="false" ht="15" hidden="false" customHeight="true" outlineLevel="0" collapsed="false">
      <c r="A424" s="21" t="str">
        <f aca="false">IF(B424="","",ROW()-4)</f>
        <v/>
      </c>
      <c r="B424" s="22"/>
      <c r="C424" s="21" t="str">
        <f aca="false">IF(B424="","",CHOOSE(WEEKDAY(B424,2),"LUNES","MARTES","MIÉRCOLES","JUEVES","VIERNES","SÁBADO","DOMINGO"))</f>
        <v/>
      </c>
      <c r="M424" s="23"/>
      <c r="Q424" s="21" t="str">
        <f aca="false">IF(OR(K424="",N424=""),"",K424-N424)</f>
        <v/>
      </c>
      <c r="R424" s="21" t="str">
        <f aca="false">IF(OR(J424="",K424=""),"",J424*K424)</f>
        <v/>
      </c>
      <c r="S424" s="21" t="str">
        <f aca="false">IF(AND(ISNUMBER(J424),ISNUMBER(K424),F424&lt;&gt;"Calentamiento",F424&lt;&gt;"Bilbo"),IF(AND(K424&gt;0,K424&lt;=12),ROUND(J424*(1+(K424+IF(ISNUMBER(L424),L424,0))/30),1),""),"")</f>
        <v/>
      </c>
      <c r="T424" s="21" t="str">
        <f aca="false">IF(AND(F424="Bilbo",ISNUMBER(J424),ISNUMBER(K424)),ROUND(J424*(1+K424/30),1),"")</f>
        <v/>
      </c>
      <c r="W424" s="22"/>
      <c r="X424" s="21" t="str">
        <f aca="false">IF(AND(F424="Bilbo",E424&lt;&gt;"",G424&lt;&gt;"",H424&lt;&gt;""),E424&amp;"|"&amp;G424&amp;"|"&amp;H424,"")</f>
        <v/>
      </c>
      <c r="Y424" s="21" t="str">
        <f aca="false">IF(B424="","",IF(B424&lt;&gt;B423,1,0))</f>
        <v/>
      </c>
    </row>
    <row r="425" customFormat="false" ht="15" hidden="false" customHeight="true" outlineLevel="0" collapsed="false">
      <c r="A425" s="21" t="str">
        <f aca="false">IF(B425="","",ROW()-4)</f>
        <v/>
      </c>
      <c r="B425" s="22"/>
      <c r="C425" s="21" t="str">
        <f aca="false">IF(B425="","",CHOOSE(WEEKDAY(B425,2),"LUNES","MARTES","MIÉRCOLES","JUEVES","VIERNES","SÁBADO","DOMINGO"))</f>
        <v/>
      </c>
      <c r="M425" s="23"/>
      <c r="Q425" s="21" t="str">
        <f aca="false">IF(OR(K425="",N425=""),"",K425-N425)</f>
        <v/>
      </c>
      <c r="R425" s="21" t="str">
        <f aca="false">IF(OR(J425="",K425=""),"",J425*K425)</f>
        <v/>
      </c>
      <c r="S425" s="21" t="str">
        <f aca="false">IF(AND(ISNUMBER(J425),ISNUMBER(K425),F425&lt;&gt;"Calentamiento",F425&lt;&gt;"Bilbo"),IF(AND(K425&gt;0,K425&lt;=12),ROUND(J425*(1+(K425+IF(ISNUMBER(L425),L425,0))/30),1),""),"")</f>
        <v/>
      </c>
      <c r="T425" s="21" t="str">
        <f aca="false">IF(AND(F425="Bilbo",ISNUMBER(J425),ISNUMBER(K425)),ROUND(J425*(1+K425/30),1),"")</f>
        <v/>
      </c>
      <c r="W425" s="22"/>
      <c r="X425" s="21" t="str">
        <f aca="false">IF(AND(F425="Bilbo",E425&lt;&gt;"",G425&lt;&gt;"",H425&lt;&gt;""),E425&amp;"|"&amp;G425&amp;"|"&amp;H425,"")</f>
        <v/>
      </c>
      <c r="Y425" s="21" t="str">
        <f aca="false">IF(B425="","",IF(B425&lt;&gt;B424,1,0))</f>
        <v/>
      </c>
    </row>
    <row r="426" customFormat="false" ht="15" hidden="false" customHeight="true" outlineLevel="0" collapsed="false">
      <c r="A426" s="21" t="str">
        <f aca="false">IF(B426="","",ROW()-4)</f>
        <v/>
      </c>
      <c r="B426" s="22"/>
      <c r="C426" s="21" t="str">
        <f aca="false">IF(B426="","",CHOOSE(WEEKDAY(B426,2),"LUNES","MARTES","MIÉRCOLES","JUEVES","VIERNES","SÁBADO","DOMINGO"))</f>
        <v/>
      </c>
      <c r="M426" s="23"/>
      <c r="Q426" s="21" t="str">
        <f aca="false">IF(OR(K426="",N426=""),"",K426-N426)</f>
        <v/>
      </c>
      <c r="R426" s="21" t="str">
        <f aca="false">IF(OR(J426="",K426=""),"",J426*K426)</f>
        <v/>
      </c>
      <c r="S426" s="21" t="str">
        <f aca="false">IF(AND(ISNUMBER(J426),ISNUMBER(K426),F426&lt;&gt;"Calentamiento",F426&lt;&gt;"Bilbo"),IF(AND(K426&gt;0,K426&lt;=12),ROUND(J426*(1+(K426+IF(ISNUMBER(L426),L426,0))/30),1),""),"")</f>
        <v/>
      </c>
      <c r="T426" s="21" t="str">
        <f aca="false">IF(AND(F426="Bilbo",ISNUMBER(J426),ISNUMBER(K426)),ROUND(J426*(1+K426/30),1),"")</f>
        <v/>
      </c>
      <c r="W426" s="22"/>
      <c r="X426" s="21" t="str">
        <f aca="false">IF(AND(F426="Bilbo",E426&lt;&gt;"",G426&lt;&gt;"",H426&lt;&gt;""),E426&amp;"|"&amp;G426&amp;"|"&amp;H426,"")</f>
        <v/>
      </c>
      <c r="Y426" s="21" t="str">
        <f aca="false">IF(B426="","",IF(B426&lt;&gt;B425,1,0))</f>
        <v/>
      </c>
    </row>
    <row r="427" customFormat="false" ht="15" hidden="false" customHeight="true" outlineLevel="0" collapsed="false">
      <c r="A427" s="21" t="str">
        <f aca="false">IF(B427="","",ROW()-4)</f>
        <v/>
      </c>
      <c r="B427" s="22"/>
      <c r="C427" s="21" t="str">
        <f aca="false">IF(B427="","",CHOOSE(WEEKDAY(B427,2),"LUNES","MARTES","MIÉRCOLES","JUEVES","VIERNES","SÁBADO","DOMINGO"))</f>
        <v/>
      </c>
      <c r="M427" s="23"/>
      <c r="Q427" s="21" t="str">
        <f aca="false">IF(OR(K427="",N427=""),"",K427-N427)</f>
        <v/>
      </c>
      <c r="R427" s="21" t="str">
        <f aca="false">IF(OR(J427="",K427=""),"",J427*K427)</f>
        <v/>
      </c>
      <c r="S427" s="21" t="str">
        <f aca="false">IF(AND(ISNUMBER(J427),ISNUMBER(K427),F427&lt;&gt;"Calentamiento",F427&lt;&gt;"Bilbo"),IF(AND(K427&gt;0,K427&lt;=12),ROUND(J427*(1+(K427+IF(ISNUMBER(L427),L427,0))/30),1),""),"")</f>
        <v/>
      </c>
      <c r="T427" s="21" t="str">
        <f aca="false">IF(AND(F427="Bilbo",ISNUMBER(J427),ISNUMBER(K427)),ROUND(J427*(1+K427/30),1),"")</f>
        <v/>
      </c>
      <c r="W427" s="22"/>
      <c r="X427" s="21" t="str">
        <f aca="false">IF(AND(F427="Bilbo",E427&lt;&gt;"",G427&lt;&gt;"",H427&lt;&gt;""),E427&amp;"|"&amp;G427&amp;"|"&amp;H427,"")</f>
        <v/>
      </c>
      <c r="Y427" s="21" t="str">
        <f aca="false">IF(B427="","",IF(B427&lt;&gt;B426,1,0))</f>
        <v/>
      </c>
    </row>
    <row r="428" customFormat="false" ht="15" hidden="false" customHeight="true" outlineLevel="0" collapsed="false">
      <c r="A428" s="21" t="str">
        <f aca="false">IF(B428="","",ROW()-4)</f>
        <v/>
      </c>
      <c r="B428" s="22"/>
      <c r="C428" s="21" t="str">
        <f aca="false">IF(B428="","",CHOOSE(WEEKDAY(B428,2),"LUNES","MARTES","MIÉRCOLES","JUEVES","VIERNES","SÁBADO","DOMINGO"))</f>
        <v/>
      </c>
      <c r="M428" s="23"/>
      <c r="Q428" s="21" t="str">
        <f aca="false">IF(OR(K428="",N428=""),"",K428-N428)</f>
        <v/>
      </c>
      <c r="R428" s="21" t="str">
        <f aca="false">IF(OR(J428="",K428=""),"",J428*K428)</f>
        <v/>
      </c>
      <c r="S428" s="21" t="str">
        <f aca="false">IF(AND(ISNUMBER(J428),ISNUMBER(K428),F428&lt;&gt;"Calentamiento",F428&lt;&gt;"Bilbo"),IF(AND(K428&gt;0,K428&lt;=12),ROUND(J428*(1+(K428+IF(ISNUMBER(L428),L428,0))/30),1),""),"")</f>
        <v/>
      </c>
      <c r="T428" s="21" t="str">
        <f aca="false">IF(AND(F428="Bilbo",ISNUMBER(J428),ISNUMBER(K428)),ROUND(J428*(1+K428/30),1),"")</f>
        <v/>
      </c>
      <c r="W428" s="22"/>
      <c r="X428" s="21" t="str">
        <f aca="false">IF(AND(F428="Bilbo",E428&lt;&gt;"",G428&lt;&gt;"",H428&lt;&gt;""),E428&amp;"|"&amp;G428&amp;"|"&amp;H428,"")</f>
        <v/>
      </c>
      <c r="Y428" s="21" t="str">
        <f aca="false">IF(B428="","",IF(B428&lt;&gt;B427,1,0))</f>
        <v/>
      </c>
    </row>
    <row r="429" customFormat="false" ht="15" hidden="false" customHeight="true" outlineLevel="0" collapsed="false">
      <c r="A429" s="21" t="str">
        <f aca="false">IF(B429="","",ROW()-4)</f>
        <v/>
      </c>
      <c r="B429" s="22"/>
      <c r="C429" s="21" t="str">
        <f aca="false">IF(B429="","",CHOOSE(WEEKDAY(B429,2),"LUNES","MARTES","MIÉRCOLES","JUEVES","VIERNES","SÁBADO","DOMINGO"))</f>
        <v/>
      </c>
      <c r="M429" s="23"/>
      <c r="Q429" s="21" t="str">
        <f aca="false">IF(OR(K429="",N429=""),"",K429-N429)</f>
        <v/>
      </c>
      <c r="R429" s="21" t="str">
        <f aca="false">IF(OR(J429="",K429=""),"",J429*K429)</f>
        <v/>
      </c>
      <c r="S429" s="21" t="str">
        <f aca="false">IF(AND(ISNUMBER(J429),ISNUMBER(K429),F429&lt;&gt;"Calentamiento",F429&lt;&gt;"Bilbo"),IF(AND(K429&gt;0,K429&lt;=12),ROUND(J429*(1+(K429+IF(ISNUMBER(L429),L429,0))/30),1),""),"")</f>
        <v/>
      </c>
      <c r="T429" s="21" t="str">
        <f aca="false">IF(AND(F429="Bilbo",ISNUMBER(J429),ISNUMBER(K429)),ROUND(J429*(1+K429/30),1),"")</f>
        <v/>
      </c>
      <c r="W429" s="22"/>
      <c r="X429" s="21" t="str">
        <f aca="false">IF(AND(F429="Bilbo",E429&lt;&gt;"",G429&lt;&gt;"",H429&lt;&gt;""),E429&amp;"|"&amp;G429&amp;"|"&amp;H429,"")</f>
        <v/>
      </c>
      <c r="Y429" s="21" t="str">
        <f aca="false">IF(B429="","",IF(B429&lt;&gt;B428,1,0))</f>
        <v/>
      </c>
    </row>
    <row r="430" customFormat="false" ht="15" hidden="false" customHeight="true" outlineLevel="0" collapsed="false">
      <c r="A430" s="21" t="str">
        <f aca="false">IF(B430="","",ROW()-4)</f>
        <v/>
      </c>
      <c r="B430" s="22"/>
      <c r="C430" s="21" t="str">
        <f aca="false">IF(B430="","",CHOOSE(WEEKDAY(B430,2),"LUNES","MARTES","MIÉRCOLES","JUEVES","VIERNES","SÁBADO","DOMINGO"))</f>
        <v/>
      </c>
      <c r="M430" s="23"/>
      <c r="Q430" s="21" t="str">
        <f aca="false">IF(OR(K430="",N430=""),"",K430-N430)</f>
        <v/>
      </c>
      <c r="R430" s="21" t="str">
        <f aca="false">IF(OR(J430="",K430=""),"",J430*K430)</f>
        <v/>
      </c>
      <c r="S430" s="21" t="str">
        <f aca="false">IF(AND(ISNUMBER(J430),ISNUMBER(K430),F430&lt;&gt;"Calentamiento",F430&lt;&gt;"Bilbo"),IF(AND(K430&gt;0,K430&lt;=12),ROUND(J430*(1+(K430+IF(ISNUMBER(L430),L430,0))/30),1),""),"")</f>
        <v/>
      </c>
      <c r="T430" s="21" t="str">
        <f aca="false">IF(AND(F430="Bilbo",ISNUMBER(J430),ISNUMBER(K430)),ROUND(J430*(1+K430/30),1),"")</f>
        <v/>
      </c>
      <c r="W430" s="22"/>
      <c r="X430" s="21" t="str">
        <f aca="false">IF(AND(F430="Bilbo",E430&lt;&gt;"",G430&lt;&gt;"",H430&lt;&gt;""),E430&amp;"|"&amp;G430&amp;"|"&amp;H430,"")</f>
        <v/>
      </c>
      <c r="Y430" s="21" t="str">
        <f aca="false">IF(B430="","",IF(B430&lt;&gt;B429,1,0))</f>
        <v/>
      </c>
    </row>
    <row r="431" customFormat="false" ht="15" hidden="false" customHeight="true" outlineLevel="0" collapsed="false">
      <c r="A431" s="21" t="str">
        <f aca="false">IF(B431="","",ROW()-4)</f>
        <v/>
      </c>
      <c r="B431" s="22"/>
      <c r="C431" s="21" t="str">
        <f aca="false">IF(B431="","",CHOOSE(WEEKDAY(B431,2),"LUNES","MARTES","MIÉRCOLES","JUEVES","VIERNES","SÁBADO","DOMINGO"))</f>
        <v/>
      </c>
      <c r="M431" s="23"/>
      <c r="Q431" s="21" t="str">
        <f aca="false">IF(OR(K431="",N431=""),"",K431-N431)</f>
        <v/>
      </c>
      <c r="R431" s="21" t="str">
        <f aca="false">IF(OR(J431="",K431=""),"",J431*K431)</f>
        <v/>
      </c>
      <c r="S431" s="21" t="str">
        <f aca="false">IF(AND(ISNUMBER(J431),ISNUMBER(K431),F431&lt;&gt;"Calentamiento",F431&lt;&gt;"Bilbo"),IF(AND(K431&gt;0,K431&lt;=12),ROUND(J431*(1+(K431+IF(ISNUMBER(L431),L431,0))/30),1),""),"")</f>
        <v/>
      </c>
      <c r="T431" s="21" t="str">
        <f aca="false">IF(AND(F431="Bilbo",ISNUMBER(J431),ISNUMBER(K431)),ROUND(J431*(1+K431/30),1),"")</f>
        <v/>
      </c>
      <c r="W431" s="22"/>
      <c r="X431" s="21" t="str">
        <f aca="false">IF(AND(F431="Bilbo",E431&lt;&gt;"",G431&lt;&gt;"",H431&lt;&gt;""),E431&amp;"|"&amp;G431&amp;"|"&amp;H431,"")</f>
        <v/>
      </c>
      <c r="Y431" s="21" t="str">
        <f aca="false">IF(B431="","",IF(B431&lt;&gt;B430,1,0))</f>
        <v/>
      </c>
    </row>
    <row r="432" customFormat="false" ht="15" hidden="false" customHeight="true" outlineLevel="0" collapsed="false">
      <c r="A432" s="21" t="str">
        <f aca="false">IF(B432="","",ROW()-4)</f>
        <v/>
      </c>
      <c r="B432" s="22"/>
      <c r="C432" s="21" t="str">
        <f aca="false">IF(B432="","",CHOOSE(WEEKDAY(B432,2),"LUNES","MARTES","MIÉRCOLES","JUEVES","VIERNES","SÁBADO","DOMINGO"))</f>
        <v/>
      </c>
      <c r="M432" s="23"/>
      <c r="Q432" s="21" t="str">
        <f aca="false">IF(OR(K432="",N432=""),"",K432-N432)</f>
        <v/>
      </c>
      <c r="R432" s="21" t="str">
        <f aca="false">IF(OR(J432="",K432=""),"",J432*K432)</f>
        <v/>
      </c>
      <c r="S432" s="21" t="str">
        <f aca="false">IF(AND(ISNUMBER(J432),ISNUMBER(K432),F432&lt;&gt;"Calentamiento",F432&lt;&gt;"Bilbo"),IF(AND(K432&gt;0,K432&lt;=12),ROUND(J432*(1+(K432+IF(ISNUMBER(L432),L432,0))/30),1),""),"")</f>
        <v/>
      </c>
      <c r="T432" s="21" t="str">
        <f aca="false">IF(AND(F432="Bilbo",ISNUMBER(J432),ISNUMBER(K432)),ROUND(J432*(1+K432/30),1),"")</f>
        <v/>
      </c>
      <c r="W432" s="22"/>
      <c r="X432" s="21" t="str">
        <f aca="false">IF(AND(F432="Bilbo",E432&lt;&gt;"",G432&lt;&gt;"",H432&lt;&gt;""),E432&amp;"|"&amp;G432&amp;"|"&amp;H432,"")</f>
        <v/>
      </c>
      <c r="Y432" s="21" t="str">
        <f aca="false">IF(B432="","",IF(B432&lt;&gt;B431,1,0))</f>
        <v/>
      </c>
    </row>
    <row r="433" customFormat="false" ht="15" hidden="false" customHeight="true" outlineLevel="0" collapsed="false">
      <c r="A433" s="21" t="str">
        <f aca="false">IF(B433="","",ROW()-4)</f>
        <v/>
      </c>
      <c r="B433" s="22"/>
      <c r="C433" s="21" t="str">
        <f aca="false">IF(B433="","",CHOOSE(WEEKDAY(B433,2),"LUNES","MARTES","MIÉRCOLES","JUEVES","VIERNES","SÁBADO","DOMINGO"))</f>
        <v/>
      </c>
      <c r="M433" s="23"/>
      <c r="Q433" s="21" t="str">
        <f aca="false">IF(OR(K433="",N433=""),"",K433-N433)</f>
        <v/>
      </c>
      <c r="R433" s="21" t="str">
        <f aca="false">IF(OR(J433="",K433=""),"",J433*K433)</f>
        <v/>
      </c>
      <c r="S433" s="21" t="str">
        <f aca="false">IF(AND(ISNUMBER(J433),ISNUMBER(K433),F433&lt;&gt;"Calentamiento",F433&lt;&gt;"Bilbo"),IF(AND(K433&gt;0,K433&lt;=12),ROUND(J433*(1+(K433+IF(ISNUMBER(L433),L433,0))/30),1),""),"")</f>
        <v/>
      </c>
      <c r="T433" s="21" t="str">
        <f aca="false">IF(AND(F433="Bilbo",ISNUMBER(J433),ISNUMBER(K433)),ROUND(J433*(1+K433/30),1),"")</f>
        <v/>
      </c>
      <c r="W433" s="22"/>
      <c r="X433" s="21" t="str">
        <f aca="false">IF(AND(F433="Bilbo",E433&lt;&gt;"",G433&lt;&gt;"",H433&lt;&gt;""),E433&amp;"|"&amp;G433&amp;"|"&amp;H433,"")</f>
        <v/>
      </c>
      <c r="Y433" s="21" t="str">
        <f aca="false">IF(B433="","",IF(B433&lt;&gt;B432,1,0))</f>
        <v/>
      </c>
    </row>
    <row r="434" customFormat="false" ht="15" hidden="false" customHeight="true" outlineLevel="0" collapsed="false">
      <c r="A434" s="21" t="str">
        <f aca="false">IF(B434="","",ROW()-4)</f>
        <v/>
      </c>
      <c r="B434" s="22"/>
      <c r="C434" s="21" t="str">
        <f aca="false">IF(B434="","",CHOOSE(WEEKDAY(B434,2),"LUNES","MARTES","MIÉRCOLES","JUEVES","VIERNES","SÁBADO","DOMINGO"))</f>
        <v/>
      </c>
      <c r="M434" s="23"/>
      <c r="Q434" s="21" t="str">
        <f aca="false">IF(OR(K434="",N434=""),"",K434-N434)</f>
        <v/>
      </c>
      <c r="R434" s="21" t="str">
        <f aca="false">IF(OR(J434="",K434=""),"",J434*K434)</f>
        <v/>
      </c>
      <c r="S434" s="21" t="str">
        <f aca="false">IF(AND(ISNUMBER(J434),ISNUMBER(K434),F434&lt;&gt;"Calentamiento",F434&lt;&gt;"Bilbo"),IF(AND(K434&gt;0,K434&lt;=12),ROUND(J434*(1+(K434+IF(ISNUMBER(L434),L434,0))/30),1),""),"")</f>
        <v/>
      </c>
      <c r="T434" s="21" t="str">
        <f aca="false">IF(AND(F434="Bilbo",ISNUMBER(J434),ISNUMBER(K434)),ROUND(J434*(1+K434/30),1),"")</f>
        <v/>
      </c>
      <c r="W434" s="22"/>
      <c r="X434" s="21" t="str">
        <f aca="false">IF(AND(F434="Bilbo",E434&lt;&gt;"",G434&lt;&gt;"",H434&lt;&gt;""),E434&amp;"|"&amp;G434&amp;"|"&amp;H434,"")</f>
        <v/>
      </c>
      <c r="Y434" s="21" t="str">
        <f aca="false">IF(B434="","",IF(B434&lt;&gt;B433,1,0))</f>
        <v/>
      </c>
    </row>
    <row r="435" customFormat="false" ht="15" hidden="false" customHeight="true" outlineLevel="0" collapsed="false">
      <c r="A435" s="21" t="str">
        <f aca="false">IF(B435="","",ROW()-4)</f>
        <v/>
      </c>
      <c r="B435" s="22"/>
      <c r="C435" s="21" t="str">
        <f aca="false">IF(B435="","",CHOOSE(WEEKDAY(B435,2),"LUNES","MARTES","MIÉRCOLES","JUEVES","VIERNES","SÁBADO","DOMINGO"))</f>
        <v/>
      </c>
      <c r="M435" s="23"/>
      <c r="Q435" s="21" t="str">
        <f aca="false">IF(OR(K435="",N435=""),"",K435-N435)</f>
        <v/>
      </c>
      <c r="R435" s="21" t="str">
        <f aca="false">IF(OR(J435="",K435=""),"",J435*K435)</f>
        <v/>
      </c>
      <c r="S435" s="21" t="str">
        <f aca="false">IF(AND(ISNUMBER(J435),ISNUMBER(K435),F435&lt;&gt;"Calentamiento",F435&lt;&gt;"Bilbo"),IF(AND(K435&gt;0,K435&lt;=12),ROUND(J435*(1+(K435+IF(ISNUMBER(L435),L435,0))/30),1),""),"")</f>
        <v/>
      </c>
      <c r="T435" s="21" t="str">
        <f aca="false">IF(AND(F435="Bilbo",ISNUMBER(J435),ISNUMBER(K435)),ROUND(J435*(1+K435/30),1),"")</f>
        <v/>
      </c>
      <c r="W435" s="22"/>
      <c r="X435" s="21" t="str">
        <f aca="false">IF(AND(F435="Bilbo",E435&lt;&gt;"",G435&lt;&gt;"",H435&lt;&gt;""),E435&amp;"|"&amp;G435&amp;"|"&amp;H435,"")</f>
        <v/>
      </c>
      <c r="Y435" s="21" t="str">
        <f aca="false">IF(B435="","",IF(B435&lt;&gt;B434,1,0))</f>
        <v/>
      </c>
    </row>
    <row r="436" customFormat="false" ht="15" hidden="false" customHeight="true" outlineLevel="0" collapsed="false">
      <c r="A436" s="21" t="str">
        <f aca="false">IF(B436="","",ROW()-4)</f>
        <v/>
      </c>
      <c r="B436" s="22"/>
      <c r="C436" s="21" t="str">
        <f aca="false">IF(B436="","",CHOOSE(WEEKDAY(B436,2),"LUNES","MARTES","MIÉRCOLES","JUEVES","VIERNES","SÁBADO","DOMINGO"))</f>
        <v/>
      </c>
      <c r="M436" s="23"/>
      <c r="Q436" s="21" t="str">
        <f aca="false">IF(OR(K436="",N436=""),"",K436-N436)</f>
        <v/>
      </c>
      <c r="R436" s="21" t="str">
        <f aca="false">IF(OR(J436="",K436=""),"",J436*K436)</f>
        <v/>
      </c>
      <c r="S436" s="21" t="str">
        <f aca="false">IF(AND(ISNUMBER(J436),ISNUMBER(K436),F436&lt;&gt;"Calentamiento",F436&lt;&gt;"Bilbo"),IF(AND(K436&gt;0,K436&lt;=12),ROUND(J436*(1+(K436+IF(ISNUMBER(L436),L436,0))/30),1),""),"")</f>
        <v/>
      </c>
      <c r="T436" s="21" t="str">
        <f aca="false">IF(AND(F436="Bilbo",ISNUMBER(J436),ISNUMBER(K436)),ROUND(J436*(1+K436/30),1),"")</f>
        <v/>
      </c>
      <c r="W436" s="22"/>
      <c r="X436" s="21" t="str">
        <f aca="false">IF(AND(F436="Bilbo",E436&lt;&gt;"",G436&lt;&gt;"",H436&lt;&gt;""),E436&amp;"|"&amp;G436&amp;"|"&amp;H436,"")</f>
        <v/>
      </c>
      <c r="Y436" s="21" t="str">
        <f aca="false">IF(B436="","",IF(B436&lt;&gt;B435,1,0))</f>
        <v/>
      </c>
    </row>
    <row r="437" customFormat="false" ht="15" hidden="false" customHeight="true" outlineLevel="0" collapsed="false">
      <c r="A437" s="21" t="str">
        <f aca="false">IF(B437="","",ROW()-4)</f>
        <v/>
      </c>
      <c r="B437" s="22"/>
      <c r="C437" s="21" t="str">
        <f aca="false">IF(B437="","",CHOOSE(WEEKDAY(B437,2),"LUNES","MARTES","MIÉRCOLES","JUEVES","VIERNES","SÁBADO","DOMINGO"))</f>
        <v/>
      </c>
      <c r="M437" s="23"/>
      <c r="Q437" s="21" t="str">
        <f aca="false">IF(OR(K437="",N437=""),"",K437-N437)</f>
        <v/>
      </c>
      <c r="R437" s="21" t="str">
        <f aca="false">IF(OR(J437="",K437=""),"",J437*K437)</f>
        <v/>
      </c>
      <c r="S437" s="21" t="str">
        <f aca="false">IF(AND(ISNUMBER(J437),ISNUMBER(K437),F437&lt;&gt;"Calentamiento",F437&lt;&gt;"Bilbo"),IF(AND(K437&gt;0,K437&lt;=12),ROUND(J437*(1+(K437+IF(ISNUMBER(L437),L437,0))/30),1),""),"")</f>
        <v/>
      </c>
      <c r="T437" s="21" t="str">
        <f aca="false">IF(AND(F437="Bilbo",ISNUMBER(J437),ISNUMBER(K437)),ROUND(J437*(1+K437/30),1),"")</f>
        <v/>
      </c>
      <c r="W437" s="22"/>
      <c r="X437" s="21" t="str">
        <f aca="false">IF(AND(F437="Bilbo",E437&lt;&gt;"",G437&lt;&gt;"",H437&lt;&gt;""),E437&amp;"|"&amp;G437&amp;"|"&amp;H437,"")</f>
        <v/>
      </c>
      <c r="Y437" s="21" t="str">
        <f aca="false">IF(B437="","",IF(B437&lt;&gt;B436,1,0))</f>
        <v/>
      </c>
    </row>
    <row r="438" customFormat="false" ht="15" hidden="false" customHeight="true" outlineLevel="0" collapsed="false">
      <c r="A438" s="21" t="str">
        <f aca="false">IF(B438="","",ROW()-4)</f>
        <v/>
      </c>
      <c r="B438" s="22"/>
      <c r="C438" s="21" t="str">
        <f aca="false">IF(B438="","",CHOOSE(WEEKDAY(B438,2),"LUNES","MARTES","MIÉRCOLES","JUEVES","VIERNES","SÁBADO","DOMINGO"))</f>
        <v/>
      </c>
      <c r="M438" s="23"/>
      <c r="Q438" s="21" t="str">
        <f aca="false">IF(OR(K438="",N438=""),"",K438-N438)</f>
        <v/>
      </c>
      <c r="R438" s="21" t="str">
        <f aca="false">IF(OR(J438="",K438=""),"",J438*K438)</f>
        <v/>
      </c>
      <c r="S438" s="21" t="str">
        <f aca="false">IF(AND(ISNUMBER(J438),ISNUMBER(K438),F438&lt;&gt;"Calentamiento",F438&lt;&gt;"Bilbo"),IF(AND(K438&gt;0,K438&lt;=12),ROUND(J438*(1+(K438+IF(ISNUMBER(L438),L438,0))/30),1),""),"")</f>
        <v/>
      </c>
      <c r="T438" s="21" t="str">
        <f aca="false">IF(AND(F438="Bilbo",ISNUMBER(J438),ISNUMBER(K438)),ROUND(J438*(1+K438/30),1),"")</f>
        <v/>
      </c>
      <c r="W438" s="22"/>
      <c r="X438" s="21" t="str">
        <f aca="false">IF(AND(F438="Bilbo",E438&lt;&gt;"",G438&lt;&gt;"",H438&lt;&gt;""),E438&amp;"|"&amp;G438&amp;"|"&amp;H438,"")</f>
        <v/>
      </c>
      <c r="Y438" s="21" t="str">
        <f aca="false">IF(B438="","",IF(B438&lt;&gt;B437,1,0))</f>
        <v/>
      </c>
    </row>
    <row r="439" customFormat="false" ht="15" hidden="false" customHeight="true" outlineLevel="0" collapsed="false">
      <c r="A439" s="21" t="str">
        <f aca="false">IF(B439="","",ROW()-4)</f>
        <v/>
      </c>
      <c r="B439" s="22"/>
      <c r="C439" s="21" t="str">
        <f aca="false">IF(B439="","",CHOOSE(WEEKDAY(B439,2),"LUNES","MARTES","MIÉRCOLES","JUEVES","VIERNES","SÁBADO","DOMINGO"))</f>
        <v/>
      </c>
      <c r="M439" s="23"/>
      <c r="Q439" s="21" t="str">
        <f aca="false">IF(OR(K439="",N439=""),"",K439-N439)</f>
        <v/>
      </c>
      <c r="R439" s="21" t="str">
        <f aca="false">IF(OR(J439="",K439=""),"",J439*K439)</f>
        <v/>
      </c>
      <c r="S439" s="21" t="str">
        <f aca="false">IF(AND(ISNUMBER(J439),ISNUMBER(K439),F439&lt;&gt;"Calentamiento",F439&lt;&gt;"Bilbo"),IF(AND(K439&gt;0,K439&lt;=12),ROUND(J439*(1+(K439+IF(ISNUMBER(L439),L439,0))/30),1),""),"")</f>
        <v/>
      </c>
      <c r="T439" s="21" t="str">
        <f aca="false">IF(AND(F439="Bilbo",ISNUMBER(J439),ISNUMBER(K439)),ROUND(J439*(1+K439/30),1),"")</f>
        <v/>
      </c>
      <c r="W439" s="22"/>
      <c r="X439" s="21" t="str">
        <f aca="false">IF(AND(F439="Bilbo",E439&lt;&gt;"",G439&lt;&gt;"",H439&lt;&gt;""),E439&amp;"|"&amp;G439&amp;"|"&amp;H439,"")</f>
        <v/>
      </c>
      <c r="Y439" s="21" t="str">
        <f aca="false">IF(B439="","",IF(B439&lt;&gt;B438,1,0))</f>
        <v/>
      </c>
    </row>
    <row r="440" customFormat="false" ht="15" hidden="false" customHeight="true" outlineLevel="0" collapsed="false">
      <c r="A440" s="21" t="str">
        <f aca="false">IF(B440="","",ROW()-4)</f>
        <v/>
      </c>
      <c r="B440" s="22"/>
      <c r="C440" s="21" t="str">
        <f aca="false">IF(B440="","",CHOOSE(WEEKDAY(B440,2),"LUNES","MARTES","MIÉRCOLES","JUEVES","VIERNES","SÁBADO","DOMINGO"))</f>
        <v/>
      </c>
      <c r="M440" s="23"/>
      <c r="Q440" s="21" t="str">
        <f aca="false">IF(OR(K440="",N440=""),"",K440-N440)</f>
        <v/>
      </c>
      <c r="R440" s="21" t="str">
        <f aca="false">IF(OR(J440="",K440=""),"",J440*K440)</f>
        <v/>
      </c>
      <c r="S440" s="21" t="str">
        <f aca="false">IF(AND(ISNUMBER(J440),ISNUMBER(K440),F440&lt;&gt;"Calentamiento",F440&lt;&gt;"Bilbo"),IF(AND(K440&gt;0,K440&lt;=12),ROUND(J440*(1+(K440+IF(ISNUMBER(L440),L440,0))/30),1),""),"")</f>
        <v/>
      </c>
      <c r="T440" s="21" t="str">
        <f aca="false">IF(AND(F440="Bilbo",ISNUMBER(J440),ISNUMBER(K440)),ROUND(J440*(1+K440/30),1),"")</f>
        <v/>
      </c>
      <c r="W440" s="22"/>
      <c r="X440" s="21" t="str">
        <f aca="false">IF(AND(F440="Bilbo",E440&lt;&gt;"",G440&lt;&gt;"",H440&lt;&gt;""),E440&amp;"|"&amp;G440&amp;"|"&amp;H440,"")</f>
        <v/>
      </c>
      <c r="Y440" s="21" t="str">
        <f aca="false">IF(B440="","",IF(B440&lt;&gt;B439,1,0))</f>
        <v/>
      </c>
    </row>
    <row r="441" customFormat="false" ht="15" hidden="false" customHeight="true" outlineLevel="0" collapsed="false">
      <c r="A441" s="21" t="str">
        <f aca="false">IF(B441="","",ROW()-4)</f>
        <v/>
      </c>
      <c r="B441" s="22"/>
      <c r="C441" s="21" t="str">
        <f aca="false">IF(B441="","",CHOOSE(WEEKDAY(B441,2),"LUNES","MARTES","MIÉRCOLES","JUEVES","VIERNES","SÁBADO","DOMINGO"))</f>
        <v/>
      </c>
      <c r="M441" s="23"/>
      <c r="Q441" s="21" t="str">
        <f aca="false">IF(OR(K441="",N441=""),"",K441-N441)</f>
        <v/>
      </c>
      <c r="R441" s="21" t="str">
        <f aca="false">IF(OR(J441="",K441=""),"",J441*K441)</f>
        <v/>
      </c>
      <c r="S441" s="21" t="str">
        <f aca="false">IF(AND(ISNUMBER(J441),ISNUMBER(K441),F441&lt;&gt;"Calentamiento",F441&lt;&gt;"Bilbo"),IF(AND(K441&gt;0,K441&lt;=12),ROUND(J441*(1+(K441+IF(ISNUMBER(L441),L441,0))/30),1),""),"")</f>
        <v/>
      </c>
      <c r="T441" s="21" t="str">
        <f aca="false">IF(AND(F441="Bilbo",ISNUMBER(J441),ISNUMBER(K441)),ROUND(J441*(1+K441/30),1),"")</f>
        <v/>
      </c>
      <c r="W441" s="22"/>
      <c r="X441" s="21" t="str">
        <f aca="false">IF(AND(F441="Bilbo",E441&lt;&gt;"",G441&lt;&gt;"",H441&lt;&gt;""),E441&amp;"|"&amp;G441&amp;"|"&amp;H441,"")</f>
        <v/>
      </c>
      <c r="Y441" s="21" t="str">
        <f aca="false">IF(B441="","",IF(B441&lt;&gt;B440,1,0))</f>
        <v/>
      </c>
    </row>
    <row r="442" customFormat="false" ht="15" hidden="false" customHeight="true" outlineLevel="0" collapsed="false">
      <c r="A442" s="21" t="str">
        <f aca="false">IF(B442="","",ROW()-4)</f>
        <v/>
      </c>
      <c r="B442" s="22"/>
      <c r="C442" s="21" t="str">
        <f aca="false">IF(B442="","",CHOOSE(WEEKDAY(B442,2),"LUNES","MARTES","MIÉRCOLES","JUEVES","VIERNES","SÁBADO","DOMINGO"))</f>
        <v/>
      </c>
      <c r="M442" s="23"/>
      <c r="Q442" s="21" t="str">
        <f aca="false">IF(OR(K442="",N442=""),"",K442-N442)</f>
        <v/>
      </c>
      <c r="R442" s="21" t="str">
        <f aca="false">IF(OR(J442="",K442=""),"",J442*K442)</f>
        <v/>
      </c>
      <c r="S442" s="21" t="str">
        <f aca="false">IF(AND(ISNUMBER(J442),ISNUMBER(K442),F442&lt;&gt;"Calentamiento",F442&lt;&gt;"Bilbo"),IF(AND(K442&gt;0,K442&lt;=12),ROUND(J442*(1+(K442+IF(ISNUMBER(L442),L442,0))/30),1),""),"")</f>
        <v/>
      </c>
      <c r="T442" s="21" t="str">
        <f aca="false">IF(AND(F442="Bilbo",ISNUMBER(J442),ISNUMBER(K442)),ROUND(J442*(1+K442/30),1),"")</f>
        <v/>
      </c>
      <c r="W442" s="22"/>
      <c r="X442" s="21" t="str">
        <f aca="false">IF(AND(F442="Bilbo",E442&lt;&gt;"",G442&lt;&gt;"",H442&lt;&gt;""),E442&amp;"|"&amp;G442&amp;"|"&amp;H442,"")</f>
        <v/>
      </c>
      <c r="Y442" s="21" t="str">
        <f aca="false">IF(B442="","",IF(B442&lt;&gt;B441,1,0))</f>
        <v/>
      </c>
    </row>
    <row r="443" customFormat="false" ht="15" hidden="false" customHeight="true" outlineLevel="0" collapsed="false">
      <c r="A443" s="21" t="str">
        <f aca="false">IF(B443="","",ROW()-4)</f>
        <v/>
      </c>
      <c r="B443" s="22"/>
      <c r="C443" s="21" t="str">
        <f aca="false">IF(B443="","",CHOOSE(WEEKDAY(B443,2),"LUNES","MARTES","MIÉRCOLES","JUEVES","VIERNES","SÁBADO","DOMINGO"))</f>
        <v/>
      </c>
      <c r="M443" s="23"/>
      <c r="Q443" s="21" t="str">
        <f aca="false">IF(OR(K443="",N443=""),"",K443-N443)</f>
        <v/>
      </c>
      <c r="R443" s="21" t="str">
        <f aca="false">IF(OR(J443="",K443=""),"",J443*K443)</f>
        <v/>
      </c>
      <c r="S443" s="21" t="str">
        <f aca="false">IF(AND(ISNUMBER(J443),ISNUMBER(K443),F443&lt;&gt;"Calentamiento",F443&lt;&gt;"Bilbo"),IF(AND(K443&gt;0,K443&lt;=12),ROUND(J443*(1+(K443+IF(ISNUMBER(L443),L443,0))/30),1),""),"")</f>
        <v/>
      </c>
      <c r="T443" s="21" t="str">
        <f aca="false">IF(AND(F443="Bilbo",ISNUMBER(J443),ISNUMBER(K443)),ROUND(J443*(1+K443/30),1),"")</f>
        <v/>
      </c>
      <c r="W443" s="22"/>
      <c r="X443" s="21" t="str">
        <f aca="false">IF(AND(F443="Bilbo",E443&lt;&gt;"",G443&lt;&gt;"",H443&lt;&gt;""),E443&amp;"|"&amp;G443&amp;"|"&amp;H443,"")</f>
        <v/>
      </c>
      <c r="Y443" s="21" t="str">
        <f aca="false">IF(B443="","",IF(B443&lt;&gt;B442,1,0))</f>
        <v/>
      </c>
    </row>
    <row r="444" customFormat="false" ht="15" hidden="false" customHeight="true" outlineLevel="0" collapsed="false">
      <c r="A444" s="21" t="str">
        <f aca="false">IF(B444="","",ROW()-4)</f>
        <v/>
      </c>
      <c r="B444" s="22"/>
      <c r="C444" s="21" t="str">
        <f aca="false">IF(B444="","",CHOOSE(WEEKDAY(B444,2),"LUNES","MARTES","MIÉRCOLES","JUEVES","VIERNES","SÁBADO","DOMINGO"))</f>
        <v/>
      </c>
      <c r="M444" s="23"/>
      <c r="Q444" s="21" t="str">
        <f aca="false">IF(OR(K444="",N444=""),"",K444-N444)</f>
        <v/>
      </c>
      <c r="R444" s="21" t="str">
        <f aca="false">IF(OR(J444="",K444=""),"",J444*K444)</f>
        <v/>
      </c>
      <c r="S444" s="21" t="str">
        <f aca="false">IF(AND(ISNUMBER(J444),ISNUMBER(K444),F444&lt;&gt;"Calentamiento",F444&lt;&gt;"Bilbo"),IF(AND(K444&gt;0,K444&lt;=12),ROUND(J444*(1+(K444+IF(ISNUMBER(L444),L444,0))/30),1),""),"")</f>
        <v/>
      </c>
      <c r="T444" s="21" t="str">
        <f aca="false">IF(AND(F444="Bilbo",ISNUMBER(J444),ISNUMBER(K444)),ROUND(J444*(1+K444/30),1),"")</f>
        <v/>
      </c>
      <c r="W444" s="22"/>
      <c r="X444" s="21" t="str">
        <f aca="false">IF(AND(F444="Bilbo",E444&lt;&gt;"",G444&lt;&gt;"",H444&lt;&gt;""),E444&amp;"|"&amp;G444&amp;"|"&amp;H444,"")</f>
        <v/>
      </c>
      <c r="Y444" s="21" t="str">
        <f aca="false">IF(B444="","",IF(B444&lt;&gt;B443,1,0))</f>
        <v/>
      </c>
    </row>
    <row r="445" customFormat="false" ht="15" hidden="false" customHeight="true" outlineLevel="0" collapsed="false">
      <c r="A445" s="21" t="str">
        <f aca="false">IF(B445="","",ROW()-4)</f>
        <v/>
      </c>
      <c r="B445" s="22"/>
      <c r="C445" s="21" t="str">
        <f aca="false">IF(B445="","",CHOOSE(WEEKDAY(B445,2),"LUNES","MARTES","MIÉRCOLES","JUEVES","VIERNES","SÁBADO","DOMINGO"))</f>
        <v/>
      </c>
      <c r="M445" s="23"/>
      <c r="Q445" s="21" t="str">
        <f aca="false">IF(OR(K445="",N445=""),"",K445-N445)</f>
        <v/>
      </c>
      <c r="R445" s="21" t="str">
        <f aca="false">IF(OR(J445="",K445=""),"",J445*K445)</f>
        <v/>
      </c>
      <c r="S445" s="21" t="str">
        <f aca="false">IF(AND(ISNUMBER(J445),ISNUMBER(K445),F445&lt;&gt;"Calentamiento",F445&lt;&gt;"Bilbo"),IF(AND(K445&gt;0,K445&lt;=12),ROUND(J445*(1+(K445+IF(ISNUMBER(L445),L445,0))/30),1),""),"")</f>
        <v/>
      </c>
      <c r="T445" s="21" t="str">
        <f aca="false">IF(AND(F445="Bilbo",ISNUMBER(J445),ISNUMBER(K445)),ROUND(J445*(1+K445/30),1),"")</f>
        <v/>
      </c>
      <c r="W445" s="22"/>
      <c r="X445" s="21" t="str">
        <f aca="false">IF(AND(F445="Bilbo",E445&lt;&gt;"",G445&lt;&gt;"",H445&lt;&gt;""),E445&amp;"|"&amp;G445&amp;"|"&amp;H445,"")</f>
        <v/>
      </c>
      <c r="Y445" s="21" t="str">
        <f aca="false">IF(B445="","",IF(B445&lt;&gt;B444,1,0))</f>
        <v/>
      </c>
    </row>
    <row r="446" customFormat="false" ht="15" hidden="false" customHeight="true" outlineLevel="0" collapsed="false">
      <c r="A446" s="21" t="str">
        <f aca="false">IF(B446="","",ROW()-4)</f>
        <v/>
      </c>
      <c r="B446" s="22"/>
      <c r="C446" s="21" t="str">
        <f aca="false">IF(B446="","",CHOOSE(WEEKDAY(B446,2),"LUNES","MARTES","MIÉRCOLES","JUEVES","VIERNES","SÁBADO","DOMINGO"))</f>
        <v/>
      </c>
      <c r="M446" s="23"/>
      <c r="Q446" s="21" t="str">
        <f aca="false">IF(OR(K446="",N446=""),"",K446-N446)</f>
        <v/>
      </c>
      <c r="R446" s="21" t="str">
        <f aca="false">IF(OR(J446="",K446=""),"",J446*K446)</f>
        <v/>
      </c>
      <c r="S446" s="21" t="str">
        <f aca="false">IF(AND(ISNUMBER(J446),ISNUMBER(K446),F446&lt;&gt;"Calentamiento",F446&lt;&gt;"Bilbo"),IF(AND(K446&gt;0,K446&lt;=12),ROUND(J446*(1+(K446+IF(ISNUMBER(L446),L446,0))/30),1),""),"")</f>
        <v/>
      </c>
      <c r="T446" s="21" t="str">
        <f aca="false">IF(AND(F446="Bilbo",ISNUMBER(J446),ISNUMBER(K446)),ROUND(J446*(1+K446/30),1),"")</f>
        <v/>
      </c>
      <c r="W446" s="22"/>
      <c r="X446" s="21" t="str">
        <f aca="false">IF(AND(F446="Bilbo",E446&lt;&gt;"",G446&lt;&gt;"",H446&lt;&gt;""),E446&amp;"|"&amp;G446&amp;"|"&amp;H446,"")</f>
        <v/>
      </c>
      <c r="Y446" s="21" t="str">
        <f aca="false">IF(B446="","",IF(B446&lt;&gt;B445,1,0))</f>
        <v/>
      </c>
    </row>
    <row r="447" customFormat="false" ht="15" hidden="false" customHeight="true" outlineLevel="0" collapsed="false">
      <c r="A447" s="21" t="str">
        <f aca="false">IF(B447="","",ROW()-4)</f>
        <v/>
      </c>
      <c r="B447" s="22"/>
      <c r="C447" s="21" t="str">
        <f aca="false">IF(B447="","",CHOOSE(WEEKDAY(B447,2),"LUNES","MARTES","MIÉRCOLES","JUEVES","VIERNES","SÁBADO","DOMINGO"))</f>
        <v/>
      </c>
      <c r="M447" s="23"/>
      <c r="Q447" s="21" t="str">
        <f aca="false">IF(OR(K447="",N447=""),"",K447-N447)</f>
        <v/>
      </c>
      <c r="R447" s="21" t="str">
        <f aca="false">IF(OR(J447="",K447=""),"",J447*K447)</f>
        <v/>
      </c>
      <c r="S447" s="21" t="str">
        <f aca="false">IF(AND(ISNUMBER(J447),ISNUMBER(K447),F447&lt;&gt;"Calentamiento",F447&lt;&gt;"Bilbo"),IF(AND(K447&gt;0,K447&lt;=12),ROUND(J447*(1+(K447+IF(ISNUMBER(L447),L447,0))/30),1),""),"")</f>
        <v/>
      </c>
      <c r="T447" s="21" t="str">
        <f aca="false">IF(AND(F447="Bilbo",ISNUMBER(J447),ISNUMBER(K447)),ROUND(J447*(1+K447/30),1),"")</f>
        <v/>
      </c>
      <c r="W447" s="22"/>
      <c r="X447" s="21" t="str">
        <f aca="false">IF(AND(F447="Bilbo",E447&lt;&gt;"",G447&lt;&gt;"",H447&lt;&gt;""),E447&amp;"|"&amp;G447&amp;"|"&amp;H447,"")</f>
        <v/>
      </c>
      <c r="Y447" s="21" t="str">
        <f aca="false">IF(B447="","",IF(B447&lt;&gt;B446,1,0))</f>
        <v/>
      </c>
    </row>
    <row r="448" customFormat="false" ht="15" hidden="false" customHeight="true" outlineLevel="0" collapsed="false">
      <c r="A448" s="21" t="str">
        <f aca="false">IF(B448="","",ROW()-4)</f>
        <v/>
      </c>
      <c r="B448" s="22"/>
      <c r="C448" s="21" t="str">
        <f aca="false">IF(B448="","",CHOOSE(WEEKDAY(B448,2),"LUNES","MARTES","MIÉRCOLES","JUEVES","VIERNES","SÁBADO","DOMINGO"))</f>
        <v/>
      </c>
      <c r="M448" s="23"/>
      <c r="Q448" s="21" t="str">
        <f aca="false">IF(OR(K448="",N448=""),"",K448-N448)</f>
        <v/>
      </c>
      <c r="R448" s="21" t="str">
        <f aca="false">IF(OR(J448="",K448=""),"",J448*K448)</f>
        <v/>
      </c>
      <c r="S448" s="21" t="str">
        <f aca="false">IF(AND(ISNUMBER(J448),ISNUMBER(K448),F448&lt;&gt;"Calentamiento",F448&lt;&gt;"Bilbo"),IF(AND(K448&gt;0,K448&lt;=12),ROUND(J448*(1+(K448+IF(ISNUMBER(L448),L448,0))/30),1),""),"")</f>
        <v/>
      </c>
      <c r="T448" s="21" t="str">
        <f aca="false">IF(AND(F448="Bilbo",ISNUMBER(J448),ISNUMBER(K448)),ROUND(J448*(1+K448/30),1),"")</f>
        <v/>
      </c>
      <c r="W448" s="22"/>
      <c r="X448" s="21" t="str">
        <f aca="false">IF(AND(F448="Bilbo",E448&lt;&gt;"",G448&lt;&gt;"",H448&lt;&gt;""),E448&amp;"|"&amp;G448&amp;"|"&amp;H448,"")</f>
        <v/>
      </c>
      <c r="Y448" s="21" t="str">
        <f aca="false">IF(B448="","",IF(B448&lt;&gt;B447,1,0))</f>
        <v/>
      </c>
    </row>
    <row r="449" customFormat="false" ht="15" hidden="false" customHeight="true" outlineLevel="0" collapsed="false">
      <c r="A449" s="21" t="str">
        <f aca="false">IF(B449="","",ROW()-4)</f>
        <v/>
      </c>
      <c r="B449" s="22"/>
      <c r="C449" s="21" t="str">
        <f aca="false">IF(B449="","",CHOOSE(WEEKDAY(B449,2),"LUNES","MARTES","MIÉRCOLES","JUEVES","VIERNES","SÁBADO","DOMINGO"))</f>
        <v/>
      </c>
      <c r="M449" s="23"/>
      <c r="Q449" s="21" t="str">
        <f aca="false">IF(OR(K449="",N449=""),"",K449-N449)</f>
        <v/>
      </c>
      <c r="R449" s="21" t="str">
        <f aca="false">IF(OR(J449="",K449=""),"",J449*K449)</f>
        <v/>
      </c>
      <c r="S449" s="21" t="str">
        <f aca="false">IF(AND(ISNUMBER(J449),ISNUMBER(K449),F449&lt;&gt;"Calentamiento",F449&lt;&gt;"Bilbo"),IF(AND(K449&gt;0,K449&lt;=12),ROUND(J449*(1+(K449+IF(ISNUMBER(L449),L449,0))/30),1),""),"")</f>
        <v/>
      </c>
      <c r="T449" s="21" t="str">
        <f aca="false">IF(AND(F449="Bilbo",ISNUMBER(J449),ISNUMBER(K449)),ROUND(J449*(1+K449/30),1),"")</f>
        <v/>
      </c>
      <c r="W449" s="22"/>
      <c r="X449" s="21" t="str">
        <f aca="false">IF(AND(F449="Bilbo",E449&lt;&gt;"",G449&lt;&gt;"",H449&lt;&gt;""),E449&amp;"|"&amp;G449&amp;"|"&amp;H449,"")</f>
        <v/>
      </c>
      <c r="Y449" s="21" t="str">
        <f aca="false">IF(B449="","",IF(B449&lt;&gt;B448,1,0))</f>
        <v/>
      </c>
    </row>
    <row r="450" customFormat="false" ht="15" hidden="false" customHeight="true" outlineLevel="0" collapsed="false">
      <c r="A450" s="21" t="str">
        <f aca="false">IF(B450="","",ROW()-4)</f>
        <v/>
      </c>
      <c r="B450" s="22"/>
      <c r="C450" s="21" t="str">
        <f aca="false">IF(B450="","",CHOOSE(WEEKDAY(B450,2),"LUNES","MARTES","MIÉRCOLES","JUEVES","VIERNES","SÁBADO","DOMINGO"))</f>
        <v/>
      </c>
      <c r="M450" s="23"/>
      <c r="Q450" s="21" t="str">
        <f aca="false">IF(OR(K450="",N450=""),"",K450-N450)</f>
        <v/>
      </c>
      <c r="R450" s="21" t="str">
        <f aca="false">IF(OR(J450="",K450=""),"",J450*K450)</f>
        <v/>
      </c>
      <c r="S450" s="21" t="str">
        <f aca="false">IF(AND(ISNUMBER(J450),ISNUMBER(K450),F450&lt;&gt;"Calentamiento",F450&lt;&gt;"Bilbo"),IF(AND(K450&gt;0,K450&lt;=12),ROUND(J450*(1+(K450+IF(ISNUMBER(L450),L450,0))/30),1),""),"")</f>
        <v/>
      </c>
      <c r="T450" s="21" t="str">
        <f aca="false">IF(AND(F450="Bilbo",ISNUMBER(J450),ISNUMBER(K450)),ROUND(J450*(1+K450/30),1),"")</f>
        <v/>
      </c>
      <c r="W450" s="22"/>
      <c r="X450" s="21" t="str">
        <f aca="false">IF(AND(F450="Bilbo",E450&lt;&gt;"",G450&lt;&gt;"",H450&lt;&gt;""),E450&amp;"|"&amp;G450&amp;"|"&amp;H450,"")</f>
        <v/>
      </c>
      <c r="Y450" s="21" t="str">
        <f aca="false">IF(B450="","",IF(B450&lt;&gt;B449,1,0))</f>
        <v/>
      </c>
    </row>
    <row r="451" customFormat="false" ht="15" hidden="false" customHeight="true" outlineLevel="0" collapsed="false">
      <c r="A451" s="21" t="str">
        <f aca="false">IF(B451="","",ROW()-4)</f>
        <v/>
      </c>
      <c r="B451" s="22"/>
      <c r="C451" s="21" t="str">
        <f aca="false">IF(B451="","",CHOOSE(WEEKDAY(B451,2),"LUNES","MARTES","MIÉRCOLES","JUEVES","VIERNES","SÁBADO","DOMINGO"))</f>
        <v/>
      </c>
      <c r="M451" s="23"/>
      <c r="Q451" s="21" t="str">
        <f aca="false">IF(OR(K451="",N451=""),"",K451-N451)</f>
        <v/>
      </c>
      <c r="R451" s="21" t="str">
        <f aca="false">IF(OR(J451="",K451=""),"",J451*K451)</f>
        <v/>
      </c>
      <c r="S451" s="21" t="str">
        <f aca="false">IF(AND(ISNUMBER(J451),ISNUMBER(K451),F451&lt;&gt;"Calentamiento",F451&lt;&gt;"Bilbo"),IF(AND(K451&gt;0,K451&lt;=12),ROUND(J451*(1+(K451+IF(ISNUMBER(L451),L451,0))/30),1),""),"")</f>
        <v/>
      </c>
      <c r="T451" s="21" t="str">
        <f aca="false">IF(AND(F451="Bilbo",ISNUMBER(J451),ISNUMBER(K451)),ROUND(J451*(1+K451/30),1),"")</f>
        <v/>
      </c>
      <c r="W451" s="22"/>
      <c r="X451" s="21" t="str">
        <f aca="false">IF(AND(F451="Bilbo",E451&lt;&gt;"",G451&lt;&gt;"",H451&lt;&gt;""),E451&amp;"|"&amp;G451&amp;"|"&amp;H451,"")</f>
        <v/>
      </c>
      <c r="Y451" s="21" t="str">
        <f aca="false">IF(B451="","",IF(B451&lt;&gt;B450,1,0))</f>
        <v/>
      </c>
    </row>
    <row r="452" customFormat="false" ht="15" hidden="false" customHeight="true" outlineLevel="0" collapsed="false">
      <c r="A452" s="21" t="str">
        <f aca="false">IF(B452="","",ROW()-4)</f>
        <v/>
      </c>
      <c r="B452" s="22"/>
      <c r="C452" s="21" t="str">
        <f aca="false">IF(B452="","",CHOOSE(WEEKDAY(B452,2),"LUNES","MARTES","MIÉRCOLES","JUEVES","VIERNES","SÁBADO","DOMINGO"))</f>
        <v/>
      </c>
      <c r="M452" s="23"/>
      <c r="Q452" s="21" t="str">
        <f aca="false">IF(OR(K452="",N452=""),"",K452-N452)</f>
        <v/>
      </c>
      <c r="R452" s="21" t="str">
        <f aca="false">IF(OR(J452="",K452=""),"",J452*K452)</f>
        <v/>
      </c>
      <c r="S452" s="21" t="str">
        <f aca="false">IF(AND(ISNUMBER(J452),ISNUMBER(K452),F452&lt;&gt;"Calentamiento",F452&lt;&gt;"Bilbo"),IF(AND(K452&gt;0,K452&lt;=12),ROUND(J452*(1+(K452+IF(ISNUMBER(L452),L452,0))/30),1),""),"")</f>
        <v/>
      </c>
      <c r="T452" s="21" t="str">
        <f aca="false">IF(AND(F452="Bilbo",ISNUMBER(J452),ISNUMBER(K452)),ROUND(J452*(1+K452/30),1),"")</f>
        <v/>
      </c>
      <c r="W452" s="22"/>
      <c r="X452" s="21" t="str">
        <f aca="false">IF(AND(F452="Bilbo",E452&lt;&gt;"",G452&lt;&gt;"",H452&lt;&gt;""),E452&amp;"|"&amp;G452&amp;"|"&amp;H452,"")</f>
        <v/>
      </c>
      <c r="Y452" s="21" t="str">
        <f aca="false">IF(B452="","",IF(B452&lt;&gt;B451,1,0))</f>
        <v/>
      </c>
    </row>
    <row r="453" customFormat="false" ht="15" hidden="false" customHeight="true" outlineLevel="0" collapsed="false">
      <c r="A453" s="21" t="str">
        <f aca="false">IF(B453="","",ROW()-4)</f>
        <v/>
      </c>
      <c r="B453" s="22"/>
      <c r="C453" s="21" t="str">
        <f aca="false">IF(B453="","",CHOOSE(WEEKDAY(B453,2),"LUNES","MARTES","MIÉRCOLES","JUEVES","VIERNES","SÁBADO","DOMINGO"))</f>
        <v/>
      </c>
      <c r="M453" s="23"/>
      <c r="Q453" s="21" t="str">
        <f aca="false">IF(OR(K453="",N453=""),"",K453-N453)</f>
        <v/>
      </c>
      <c r="R453" s="21" t="str">
        <f aca="false">IF(OR(J453="",K453=""),"",J453*K453)</f>
        <v/>
      </c>
      <c r="S453" s="21" t="str">
        <f aca="false">IF(AND(ISNUMBER(J453),ISNUMBER(K453),F453&lt;&gt;"Calentamiento",F453&lt;&gt;"Bilbo"),IF(AND(K453&gt;0,K453&lt;=12),ROUND(J453*(1+(K453+IF(ISNUMBER(L453),L453,0))/30),1),""),"")</f>
        <v/>
      </c>
      <c r="T453" s="21" t="str">
        <f aca="false">IF(AND(F453="Bilbo",ISNUMBER(J453),ISNUMBER(K453)),ROUND(J453*(1+K453/30),1),"")</f>
        <v/>
      </c>
      <c r="W453" s="22"/>
      <c r="X453" s="21" t="str">
        <f aca="false">IF(AND(F453="Bilbo",E453&lt;&gt;"",G453&lt;&gt;"",H453&lt;&gt;""),E453&amp;"|"&amp;G453&amp;"|"&amp;H453,"")</f>
        <v/>
      </c>
      <c r="Y453" s="21" t="str">
        <f aca="false">IF(B453="","",IF(B453&lt;&gt;B452,1,0))</f>
        <v/>
      </c>
    </row>
    <row r="454" customFormat="false" ht="15" hidden="false" customHeight="true" outlineLevel="0" collapsed="false">
      <c r="A454" s="21" t="str">
        <f aca="false">IF(B454="","",ROW()-4)</f>
        <v/>
      </c>
      <c r="B454" s="22"/>
      <c r="C454" s="21" t="str">
        <f aca="false">IF(B454="","",CHOOSE(WEEKDAY(B454,2),"LUNES","MARTES","MIÉRCOLES","JUEVES","VIERNES","SÁBADO","DOMINGO"))</f>
        <v/>
      </c>
      <c r="M454" s="23"/>
      <c r="Q454" s="21" t="str">
        <f aca="false">IF(OR(K454="",N454=""),"",K454-N454)</f>
        <v/>
      </c>
      <c r="R454" s="21" t="str">
        <f aca="false">IF(OR(J454="",K454=""),"",J454*K454)</f>
        <v/>
      </c>
      <c r="S454" s="21" t="str">
        <f aca="false">IF(AND(ISNUMBER(J454),ISNUMBER(K454),F454&lt;&gt;"Calentamiento",F454&lt;&gt;"Bilbo"),IF(AND(K454&gt;0,K454&lt;=12),ROUND(J454*(1+(K454+IF(ISNUMBER(L454),L454,0))/30),1),""),"")</f>
        <v/>
      </c>
      <c r="T454" s="21" t="str">
        <f aca="false">IF(AND(F454="Bilbo",ISNUMBER(J454),ISNUMBER(K454)),ROUND(J454*(1+K454/30),1),"")</f>
        <v/>
      </c>
      <c r="W454" s="22"/>
      <c r="X454" s="21" t="str">
        <f aca="false">IF(AND(F454="Bilbo",E454&lt;&gt;"",G454&lt;&gt;"",H454&lt;&gt;""),E454&amp;"|"&amp;G454&amp;"|"&amp;H454,"")</f>
        <v/>
      </c>
      <c r="Y454" s="21" t="str">
        <f aca="false">IF(B454="","",IF(B454&lt;&gt;B453,1,0))</f>
        <v/>
      </c>
    </row>
    <row r="455" customFormat="false" ht="15" hidden="false" customHeight="true" outlineLevel="0" collapsed="false">
      <c r="A455" s="21" t="str">
        <f aca="false">IF(B455="","",ROW()-4)</f>
        <v/>
      </c>
      <c r="B455" s="22"/>
      <c r="C455" s="21" t="str">
        <f aca="false">IF(B455="","",CHOOSE(WEEKDAY(B455,2),"LUNES","MARTES","MIÉRCOLES","JUEVES","VIERNES","SÁBADO","DOMINGO"))</f>
        <v/>
      </c>
      <c r="M455" s="23"/>
      <c r="Q455" s="21" t="str">
        <f aca="false">IF(OR(K455="",N455=""),"",K455-N455)</f>
        <v/>
      </c>
      <c r="R455" s="21" t="str">
        <f aca="false">IF(OR(J455="",K455=""),"",J455*K455)</f>
        <v/>
      </c>
      <c r="S455" s="21" t="str">
        <f aca="false">IF(AND(ISNUMBER(J455),ISNUMBER(K455),F455&lt;&gt;"Calentamiento",F455&lt;&gt;"Bilbo"),IF(AND(K455&gt;0,K455&lt;=12),ROUND(J455*(1+(K455+IF(ISNUMBER(L455),L455,0))/30),1),""),"")</f>
        <v/>
      </c>
      <c r="T455" s="21" t="str">
        <f aca="false">IF(AND(F455="Bilbo",ISNUMBER(J455),ISNUMBER(K455)),ROUND(J455*(1+K455/30),1),"")</f>
        <v/>
      </c>
      <c r="W455" s="22"/>
      <c r="X455" s="21" t="str">
        <f aca="false">IF(AND(F455="Bilbo",E455&lt;&gt;"",G455&lt;&gt;"",H455&lt;&gt;""),E455&amp;"|"&amp;G455&amp;"|"&amp;H455,"")</f>
        <v/>
      </c>
      <c r="Y455" s="21" t="str">
        <f aca="false">IF(B455="","",IF(B455&lt;&gt;B454,1,0))</f>
        <v/>
      </c>
    </row>
    <row r="456" customFormat="false" ht="15" hidden="false" customHeight="true" outlineLevel="0" collapsed="false">
      <c r="A456" s="21" t="str">
        <f aca="false">IF(B456="","",ROW()-4)</f>
        <v/>
      </c>
      <c r="B456" s="22"/>
      <c r="C456" s="21" t="str">
        <f aca="false">IF(B456="","",CHOOSE(WEEKDAY(B456,2),"LUNES","MARTES","MIÉRCOLES","JUEVES","VIERNES","SÁBADO","DOMINGO"))</f>
        <v/>
      </c>
      <c r="M456" s="23"/>
      <c r="Q456" s="21" t="str">
        <f aca="false">IF(OR(K456="",N456=""),"",K456-N456)</f>
        <v/>
      </c>
      <c r="R456" s="21" t="str">
        <f aca="false">IF(OR(J456="",K456=""),"",J456*K456)</f>
        <v/>
      </c>
      <c r="S456" s="21" t="str">
        <f aca="false">IF(AND(ISNUMBER(J456),ISNUMBER(K456),F456&lt;&gt;"Calentamiento",F456&lt;&gt;"Bilbo"),IF(AND(K456&gt;0,K456&lt;=12),ROUND(J456*(1+(K456+IF(ISNUMBER(L456),L456,0))/30),1),""),"")</f>
        <v/>
      </c>
      <c r="T456" s="21" t="str">
        <f aca="false">IF(AND(F456="Bilbo",ISNUMBER(J456),ISNUMBER(K456)),ROUND(J456*(1+K456/30),1),"")</f>
        <v/>
      </c>
      <c r="W456" s="22"/>
      <c r="X456" s="21" t="str">
        <f aca="false">IF(AND(F456="Bilbo",E456&lt;&gt;"",G456&lt;&gt;"",H456&lt;&gt;""),E456&amp;"|"&amp;G456&amp;"|"&amp;H456,"")</f>
        <v/>
      </c>
      <c r="Y456" s="21" t="str">
        <f aca="false">IF(B456="","",IF(B456&lt;&gt;B455,1,0))</f>
        <v/>
      </c>
    </row>
    <row r="457" customFormat="false" ht="15" hidden="false" customHeight="true" outlineLevel="0" collapsed="false">
      <c r="A457" s="21" t="str">
        <f aca="false">IF(B457="","",ROW()-4)</f>
        <v/>
      </c>
      <c r="B457" s="22"/>
      <c r="C457" s="21" t="str">
        <f aca="false">IF(B457="","",CHOOSE(WEEKDAY(B457,2),"LUNES","MARTES","MIÉRCOLES","JUEVES","VIERNES","SÁBADO","DOMINGO"))</f>
        <v/>
      </c>
      <c r="M457" s="23"/>
      <c r="Q457" s="21" t="str">
        <f aca="false">IF(OR(K457="",N457=""),"",K457-N457)</f>
        <v/>
      </c>
      <c r="R457" s="21" t="str">
        <f aca="false">IF(OR(J457="",K457=""),"",J457*K457)</f>
        <v/>
      </c>
      <c r="S457" s="21" t="str">
        <f aca="false">IF(AND(ISNUMBER(J457),ISNUMBER(K457),F457&lt;&gt;"Calentamiento",F457&lt;&gt;"Bilbo"),IF(AND(K457&gt;0,K457&lt;=12),ROUND(J457*(1+(K457+IF(ISNUMBER(L457),L457,0))/30),1),""),"")</f>
        <v/>
      </c>
      <c r="T457" s="21" t="str">
        <f aca="false">IF(AND(F457="Bilbo",ISNUMBER(J457),ISNUMBER(K457)),ROUND(J457*(1+K457/30),1),"")</f>
        <v/>
      </c>
      <c r="W457" s="22"/>
      <c r="X457" s="21" t="str">
        <f aca="false">IF(AND(F457="Bilbo",E457&lt;&gt;"",G457&lt;&gt;"",H457&lt;&gt;""),E457&amp;"|"&amp;G457&amp;"|"&amp;H457,"")</f>
        <v/>
      </c>
      <c r="Y457" s="21" t="str">
        <f aca="false">IF(B457="","",IF(B457&lt;&gt;B456,1,0))</f>
        <v/>
      </c>
    </row>
    <row r="458" customFormat="false" ht="15" hidden="false" customHeight="true" outlineLevel="0" collapsed="false">
      <c r="A458" s="21" t="str">
        <f aca="false">IF(B458="","",ROW()-4)</f>
        <v/>
      </c>
      <c r="B458" s="22"/>
      <c r="C458" s="21" t="str">
        <f aca="false">IF(B458="","",CHOOSE(WEEKDAY(B458,2),"LUNES","MARTES","MIÉRCOLES","JUEVES","VIERNES","SÁBADO","DOMINGO"))</f>
        <v/>
      </c>
      <c r="M458" s="23"/>
      <c r="Q458" s="21" t="str">
        <f aca="false">IF(OR(K458="",N458=""),"",K458-N458)</f>
        <v/>
      </c>
      <c r="R458" s="21" t="str">
        <f aca="false">IF(OR(J458="",K458=""),"",J458*K458)</f>
        <v/>
      </c>
      <c r="S458" s="21" t="str">
        <f aca="false">IF(AND(ISNUMBER(J458),ISNUMBER(K458),F458&lt;&gt;"Calentamiento",F458&lt;&gt;"Bilbo"),IF(AND(K458&gt;0,K458&lt;=12),ROUND(J458*(1+(K458+IF(ISNUMBER(L458),L458,0))/30),1),""),"")</f>
        <v/>
      </c>
      <c r="T458" s="21" t="str">
        <f aca="false">IF(AND(F458="Bilbo",ISNUMBER(J458),ISNUMBER(K458)),ROUND(J458*(1+K458/30),1),"")</f>
        <v/>
      </c>
      <c r="W458" s="22"/>
      <c r="X458" s="21" t="str">
        <f aca="false">IF(AND(F458="Bilbo",E458&lt;&gt;"",G458&lt;&gt;"",H458&lt;&gt;""),E458&amp;"|"&amp;G458&amp;"|"&amp;H458,"")</f>
        <v/>
      </c>
      <c r="Y458" s="21" t="str">
        <f aca="false">IF(B458="","",IF(B458&lt;&gt;B457,1,0))</f>
        <v/>
      </c>
    </row>
    <row r="459" customFormat="false" ht="15" hidden="false" customHeight="true" outlineLevel="0" collapsed="false">
      <c r="A459" s="21" t="str">
        <f aca="false">IF(B459="","",ROW()-4)</f>
        <v/>
      </c>
      <c r="B459" s="22"/>
      <c r="C459" s="21" t="str">
        <f aca="false">IF(B459="","",CHOOSE(WEEKDAY(B459,2),"LUNES","MARTES","MIÉRCOLES","JUEVES","VIERNES","SÁBADO","DOMINGO"))</f>
        <v/>
      </c>
      <c r="M459" s="23"/>
      <c r="Q459" s="21" t="str">
        <f aca="false">IF(OR(K459="",N459=""),"",K459-N459)</f>
        <v/>
      </c>
      <c r="R459" s="21" t="str">
        <f aca="false">IF(OR(J459="",K459=""),"",J459*K459)</f>
        <v/>
      </c>
      <c r="S459" s="21" t="str">
        <f aca="false">IF(AND(ISNUMBER(J459),ISNUMBER(K459),F459&lt;&gt;"Calentamiento",F459&lt;&gt;"Bilbo"),IF(AND(K459&gt;0,K459&lt;=12),ROUND(J459*(1+(K459+IF(ISNUMBER(L459),L459,0))/30),1),""),"")</f>
        <v/>
      </c>
      <c r="T459" s="21" t="str">
        <f aca="false">IF(AND(F459="Bilbo",ISNUMBER(J459),ISNUMBER(K459)),ROUND(J459*(1+K459/30),1),"")</f>
        <v/>
      </c>
      <c r="W459" s="22"/>
      <c r="X459" s="21" t="str">
        <f aca="false">IF(AND(F459="Bilbo",E459&lt;&gt;"",G459&lt;&gt;"",H459&lt;&gt;""),E459&amp;"|"&amp;G459&amp;"|"&amp;H459,"")</f>
        <v/>
      </c>
      <c r="Y459" s="21" t="str">
        <f aca="false">IF(B459="","",IF(B459&lt;&gt;B458,1,0))</f>
        <v/>
      </c>
    </row>
    <row r="460" customFormat="false" ht="15" hidden="false" customHeight="true" outlineLevel="0" collapsed="false">
      <c r="A460" s="21" t="str">
        <f aca="false">IF(B460="","",ROW()-4)</f>
        <v/>
      </c>
      <c r="B460" s="22"/>
      <c r="C460" s="21" t="str">
        <f aca="false">IF(B460="","",CHOOSE(WEEKDAY(B460,2),"LUNES","MARTES","MIÉRCOLES","JUEVES","VIERNES","SÁBADO","DOMINGO"))</f>
        <v/>
      </c>
      <c r="M460" s="23"/>
      <c r="Q460" s="21" t="str">
        <f aca="false">IF(OR(K460="",N460=""),"",K460-N460)</f>
        <v/>
      </c>
      <c r="R460" s="21" t="str">
        <f aca="false">IF(OR(J460="",K460=""),"",J460*K460)</f>
        <v/>
      </c>
      <c r="S460" s="21" t="str">
        <f aca="false">IF(AND(ISNUMBER(J460),ISNUMBER(K460),F460&lt;&gt;"Calentamiento",F460&lt;&gt;"Bilbo"),IF(AND(K460&gt;0,K460&lt;=12),ROUND(J460*(1+(K460+IF(ISNUMBER(L460),L460,0))/30),1),""),"")</f>
        <v/>
      </c>
      <c r="T460" s="21" t="str">
        <f aca="false">IF(AND(F460="Bilbo",ISNUMBER(J460),ISNUMBER(K460)),ROUND(J460*(1+K460/30),1),"")</f>
        <v/>
      </c>
      <c r="W460" s="22"/>
      <c r="X460" s="21" t="str">
        <f aca="false">IF(AND(F460="Bilbo",E460&lt;&gt;"",G460&lt;&gt;"",H460&lt;&gt;""),E460&amp;"|"&amp;G460&amp;"|"&amp;H460,"")</f>
        <v/>
      </c>
      <c r="Y460" s="21" t="str">
        <f aca="false">IF(B460="","",IF(B460&lt;&gt;B459,1,0))</f>
        <v/>
      </c>
    </row>
    <row r="461" customFormat="false" ht="15" hidden="false" customHeight="true" outlineLevel="0" collapsed="false">
      <c r="A461" s="21" t="str">
        <f aca="false">IF(B461="","",ROW()-4)</f>
        <v/>
      </c>
      <c r="B461" s="22"/>
      <c r="C461" s="21" t="str">
        <f aca="false">IF(B461="","",CHOOSE(WEEKDAY(B461,2),"LUNES","MARTES","MIÉRCOLES","JUEVES","VIERNES","SÁBADO","DOMINGO"))</f>
        <v/>
      </c>
      <c r="M461" s="23"/>
      <c r="Q461" s="21" t="str">
        <f aca="false">IF(OR(K461="",N461=""),"",K461-N461)</f>
        <v/>
      </c>
      <c r="R461" s="21" t="str">
        <f aca="false">IF(OR(J461="",K461=""),"",J461*K461)</f>
        <v/>
      </c>
      <c r="S461" s="21" t="str">
        <f aca="false">IF(AND(ISNUMBER(J461),ISNUMBER(K461),F461&lt;&gt;"Calentamiento",F461&lt;&gt;"Bilbo"),IF(AND(K461&gt;0,K461&lt;=12),ROUND(J461*(1+(K461+IF(ISNUMBER(L461),L461,0))/30),1),""),"")</f>
        <v/>
      </c>
      <c r="T461" s="21" t="str">
        <f aca="false">IF(AND(F461="Bilbo",ISNUMBER(J461),ISNUMBER(K461)),ROUND(J461*(1+K461/30),1),"")</f>
        <v/>
      </c>
      <c r="W461" s="22"/>
      <c r="X461" s="21" t="str">
        <f aca="false">IF(AND(F461="Bilbo",E461&lt;&gt;"",G461&lt;&gt;"",H461&lt;&gt;""),E461&amp;"|"&amp;G461&amp;"|"&amp;H461,"")</f>
        <v/>
      </c>
      <c r="Y461" s="21" t="str">
        <f aca="false">IF(B461="","",IF(B461&lt;&gt;B460,1,0))</f>
        <v/>
      </c>
    </row>
    <row r="462" customFormat="false" ht="15" hidden="false" customHeight="true" outlineLevel="0" collapsed="false">
      <c r="A462" s="21" t="str">
        <f aca="false">IF(B462="","",ROW()-4)</f>
        <v/>
      </c>
      <c r="B462" s="22"/>
      <c r="C462" s="21" t="str">
        <f aca="false">IF(B462="","",CHOOSE(WEEKDAY(B462,2),"LUNES","MARTES","MIÉRCOLES","JUEVES","VIERNES","SÁBADO","DOMINGO"))</f>
        <v/>
      </c>
      <c r="M462" s="23"/>
      <c r="Q462" s="21" t="str">
        <f aca="false">IF(OR(K462="",N462=""),"",K462-N462)</f>
        <v/>
      </c>
      <c r="R462" s="21" t="str">
        <f aca="false">IF(OR(J462="",K462=""),"",J462*K462)</f>
        <v/>
      </c>
      <c r="S462" s="21" t="str">
        <f aca="false">IF(AND(ISNUMBER(J462),ISNUMBER(K462),F462&lt;&gt;"Calentamiento",F462&lt;&gt;"Bilbo"),IF(AND(K462&gt;0,K462&lt;=12),ROUND(J462*(1+(K462+IF(ISNUMBER(L462),L462,0))/30),1),""),"")</f>
        <v/>
      </c>
      <c r="T462" s="21" t="str">
        <f aca="false">IF(AND(F462="Bilbo",ISNUMBER(J462),ISNUMBER(K462)),ROUND(J462*(1+K462/30),1),"")</f>
        <v/>
      </c>
      <c r="W462" s="22"/>
      <c r="X462" s="21" t="str">
        <f aca="false">IF(AND(F462="Bilbo",E462&lt;&gt;"",G462&lt;&gt;"",H462&lt;&gt;""),E462&amp;"|"&amp;G462&amp;"|"&amp;H462,"")</f>
        <v/>
      </c>
      <c r="Y462" s="21" t="str">
        <f aca="false">IF(B462="","",IF(B462&lt;&gt;B461,1,0))</f>
        <v/>
      </c>
    </row>
    <row r="463" customFormat="false" ht="15" hidden="false" customHeight="true" outlineLevel="0" collapsed="false">
      <c r="A463" s="21" t="str">
        <f aca="false">IF(B463="","",ROW()-4)</f>
        <v/>
      </c>
      <c r="B463" s="22"/>
      <c r="C463" s="21" t="str">
        <f aca="false">IF(B463="","",CHOOSE(WEEKDAY(B463,2),"LUNES","MARTES","MIÉRCOLES","JUEVES","VIERNES","SÁBADO","DOMINGO"))</f>
        <v/>
      </c>
      <c r="M463" s="23"/>
      <c r="Q463" s="21" t="str">
        <f aca="false">IF(OR(K463="",N463=""),"",K463-N463)</f>
        <v/>
      </c>
      <c r="R463" s="21" t="str">
        <f aca="false">IF(OR(J463="",K463=""),"",J463*K463)</f>
        <v/>
      </c>
      <c r="S463" s="21" t="str">
        <f aca="false">IF(AND(ISNUMBER(J463),ISNUMBER(K463),F463&lt;&gt;"Calentamiento",F463&lt;&gt;"Bilbo"),IF(AND(K463&gt;0,K463&lt;=12),ROUND(J463*(1+(K463+IF(ISNUMBER(L463),L463,0))/30),1),""),"")</f>
        <v/>
      </c>
      <c r="T463" s="21" t="str">
        <f aca="false">IF(AND(F463="Bilbo",ISNUMBER(J463),ISNUMBER(K463)),ROUND(J463*(1+K463/30),1),"")</f>
        <v/>
      </c>
      <c r="W463" s="22"/>
      <c r="X463" s="21" t="str">
        <f aca="false">IF(AND(F463="Bilbo",E463&lt;&gt;"",G463&lt;&gt;"",H463&lt;&gt;""),E463&amp;"|"&amp;G463&amp;"|"&amp;H463,"")</f>
        <v/>
      </c>
      <c r="Y463" s="21" t="str">
        <f aca="false">IF(B463="","",IF(B463&lt;&gt;B462,1,0))</f>
        <v/>
      </c>
    </row>
    <row r="464" customFormat="false" ht="15" hidden="false" customHeight="true" outlineLevel="0" collapsed="false">
      <c r="A464" s="21" t="str">
        <f aca="false">IF(B464="","",ROW()-4)</f>
        <v/>
      </c>
      <c r="B464" s="22"/>
      <c r="C464" s="21" t="str">
        <f aca="false">IF(B464="","",CHOOSE(WEEKDAY(B464,2),"LUNES","MARTES","MIÉRCOLES","JUEVES","VIERNES","SÁBADO","DOMINGO"))</f>
        <v/>
      </c>
      <c r="M464" s="23"/>
      <c r="Q464" s="21" t="str">
        <f aca="false">IF(OR(K464="",N464=""),"",K464-N464)</f>
        <v/>
      </c>
      <c r="R464" s="21" t="str">
        <f aca="false">IF(OR(J464="",K464=""),"",J464*K464)</f>
        <v/>
      </c>
      <c r="S464" s="21" t="str">
        <f aca="false">IF(AND(ISNUMBER(J464),ISNUMBER(K464),F464&lt;&gt;"Calentamiento",F464&lt;&gt;"Bilbo"),IF(AND(K464&gt;0,K464&lt;=12),ROUND(J464*(1+(K464+IF(ISNUMBER(L464),L464,0))/30),1),""),"")</f>
        <v/>
      </c>
      <c r="T464" s="21" t="str">
        <f aca="false">IF(AND(F464="Bilbo",ISNUMBER(J464),ISNUMBER(K464)),ROUND(J464*(1+K464/30),1),"")</f>
        <v/>
      </c>
      <c r="W464" s="22"/>
      <c r="X464" s="21" t="str">
        <f aca="false">IF(AND(F464="Bilbo",E464&lt;&gt;"",G464&lt;&gt;"",H464&lt;&gt;""),E464&amp;"|"&amp;G464&amp;"|"&amp;H464,"")</f>
        <v/>
      </c>
      <c r="Y464" s="21" t="str">
        <f aca="false">IF(B464="","",IF(B464&lt;&gt;B463,1,0))</f>
        <v/>
      </c>
    </row>
    <row r="465" customFormat="false" ht="15" hidden="false" customHeight="true" outlineLevel="0" collapsed="false">
      <c r="A465" s="21" t="str">
        <f aca="false">IF(B465="","",ROW()-4)</f>
        <v/>
      </c>
      <c r="B465" s="22"/>
      <c r="C465" s="21" t="str">
        <f aca="false">IF(B465="","",CHOOSE(WEEKDAY(B465,2),"LUNES","MARTES","MIÉRCOLES","JUEVES","VIERNES","SÁBADO","DOMINGO"))</f>
        <v/>
      </c>
      <c r="M465" s="23"/>
      <c r="Q465" s="21" t="str">
        <f aca="false">IF(OR(K465="",N465=""),"",K465-N465)</f>
        <v/>
      </c>
      <c r="R465" s="21" t="str">
        <f aca="false">IF(OR(J465="",K465=""),"",J465*K465)</f>
        <v/>
      </c>
      <c r="S465" s="21" t="str">
        <f aca="false">IF(AND(ISNUMBER(J465),ISNUMBER(K465),F465&lt;&gt;"Calentamiento",F465&lt;&gt;"Bilbo"),IF(AND(K465&gt;0,K465&lt;=12),ROUND(J465*(1+(K465+IF(ISNUMBER(L465),L465,0))/30),1),""),"")</f>
        <v/>
      </c>
      <c r="T465" s="21" t="str">
        <f aca="false">IF(AND(F465="Bilbo",ISNUMBER(J465),ISNUMBER(K465)),ROUND(J465*(1+K465/30),1),"")</f>
        <v/>
      </c>
      <c r="W465" s="22"/>
      <c r="X465" s="21" t="str">
        <f aca="false">IF(AND(F465="Bilbo",E465&lt;&gt;"",G465&lt;&gt;"",H465&lt;&gt;""),E465&amp;"|"&amp;G465&amp;"|"&amp;H465,"")</f>
        <v/>
      </c>
      <c r="Y465" s="21" t="str">
        <f aca="false">IF(B465="","",IF(B465&lt;&gt;B464,1,0))</f>
        <v/>
      </c>
    </row>
    <row r="466" customFormat="false" ht="15" hidden="false" customHeight="true" outlineLevel="0" collapsed="false">
      <c r="A466" s="21" t="str">
        <f aca="false">IF(B466="","",ROW()-4)</f>
        <v/>
      </c>
      <c r="B466" s="22"/>
      <c r="C466" s="21" t="str">
        <f aca="false">IF(B466="","",CHOOSE(WEEKDAY(B466,2),"LUNES","MARTES","MIÉRCOLES","JUEVES","VIERNES","SÁBADO","DOMINGO"))</f>
        <v/>
      </c>
      <c r="M466" s="23"/>
      <c r="Q466" s="21" t="str">
        <f aca="false">IF(OR(K466="",N466=""),"",K466-N466)</f>
        <v/>
      </c>
      <c r="R466" s="21" t="str">
        <f aca="false">IF(OR(J466="",K466=""),"",J466*K466)</f>
        <v/>
      </c>
      <c r="S466" s="21" t="str">
        <f aca="false">IF(AND(ISNUMBER(J466),ISNUMBER(K466),F466&lt;&gt;"Calentamiento",F466&lt;&gt;"Bilbo"),IF(AND(K466&gt;0,K466&lt;=12),ROUND(J466*(1+(K466+IF(ISNUMBER(L466),L466,0))/30),1),""),"")</f>
        <v/>
      </c>
      <c r="T466" s="21" t="str">
        <f aca="false">IF(AND(F466="Bilbo",ISNUMBER(J466),ISNUMBER(K466)),ROUND(J466*(1+K466/30),1),"")</f>
        <v/>
      </c>
      <c r="W466" s="22"/>
      <c r="X466" s="21" t="str">
        <f aca="false">IF(AND(F466="Bilbo",E466&lt;&gt;"",G466&lt;&gt;"",H466&lt;&gt;""),E466&amp;"|"&amp;G466&amp;"|"&amp;H466,"")</f>
        <v/>
      </c>
      <c r="Y466" s="21" t="str">
        <f aca="false">IF(B466="","",IF(B466&lt;&gt;B465,1,0))</f>
        <v/>
      </c>
    </row>
    <row r="467" customFormat="false" ht="15" hidden="false" customHeight="true" outlineLevel="0" collapsed="false">
      <c r="A467" s="21" t="str">
        <f aca="false">IF(B467="","",ROW()-4)</f>
        <v/>
      </c>
      <c r="B467" s="22"/>
      <c r="C467" s="21" t="str">
        <f aca="false">IF(B467="","",CHOOSE(WEEKDAY(B467,2),"LUNES","MARTES","MIÉRCOLES","JUEVES","VIERNES","SÁBADO","DOMINGO"))</f>
        <v/>
      </c>
      <c r="M467" s="23"/>
      <c r="Q467" s="21" t="str">
        <f aca="false">IF(OR(K467="",N467=""),"",K467-N467)</f>
        <v/>
      </c>
      <c r="R467" s="21" t="str">
        <f aca="false">IF(OR(J467="",K467=""),"",J467*K467)</f>
        <v/>
      </c>
      <c r="S467" s="21" t="str">
        <f aca="false">IF(AND(ISNUMBER(J467),ISNUMBER(K467),F467&lt;&gt;"Calentamiento",F467&lt;&gt;"Bilbo"),IF(AND(K467&gt;0,K467&lt;=12),ROUND(J467*(1+(K467+IF(ISNUMBER(L467),L467,0))/30),1),""),"")</f>
        <v/>
      </c>
      <c r="T467" s="21" t="str">
        <f aca="false">IF(AND(F467="Bilbo",ISNUMBER(J467),ISNUMBER(K467)),ROUND(J467*(1+K467/30),1),"")</f>
        <v/>
      </c>
      <c r="W467" s="22"/>
      <c r="X467" s="21" t="str">
        <f aca="false">IF(AND(F467="Bilbo",E467&lt;&gt;"",G467&lt;&gt;"",H467&lt;&gt;""),E467&amp;"|"&amp;G467&amp;"|"&amp;H467,"")</f>
        <v/>
      </c>
      <c r="Y467" s="21" t="str">
        <f aca="false">IF(B467="","",IF(B467&lt;&gt;B466,1,0))</f>
        <v/>
      </c>
    </row>
    <row r="468" customFormat="false" ht="15" hidden="false" customHeight="true" outlineLevel="0" collapsed="false">
      <c r="A468" s="21" t="str">
        <f aca="false">IF(B468="","",ROW()-4)</f>
        <v/>
      </c>
      <c r="B468" s="22"/>
      <c r="C468" s="21" t="str">
        <f aca="false">IF(B468="","",CHOOSE(WEEKDAY(B468,2),"LUNES","MARTES","MIÉRCOLES","JUEVES","VIERNES","SÁBADO","DOMINGO"))</f>
        <v/>
      </c>
      <c r="M468" s="23"/>
      <c r="Q468" s="21" t="str">
        <f aca="false">IF(OR(K468="",N468=""),"",K468-N468)</f>
        <v/>
      </c>
      <c r="R468" s="21" t="str">
        <f aca="false">IF(OR(J468="",K468=""),"",J468*K468)</f>
        <v/>
      </c>
      <c r="S468" s="21" t="str">
        <f aca="false">IF(AND(ISNUMBER(J468),ISNUMBER(K468),F468&lt;&gt;"Calentamiento",F468&lt;&gt;"Bilbo"),IF(AND(K468&gt;0,K468&lt;=12),ROUND(J468*(1+(K468+IF(ISNUMBER(L468),L468,0))/30),1),""),"")</f>
        <v/>
      </c>
      <c r="T468" s="21" t="str">
        <f aca="false">IF(AND(F468="Bilbo",ISNUMBER(J468),ISNUMBER(K468)),ROUND(J468*(1+K468/30),1),"")</f>
        <v/>
      </c>
      <c r="W468" s="22"/>
      <c r="X468" s="21" t="str">
        <f aca="false">IF(AND(F468="Bilbo",E468&lt;&gt;"",G468&lt;&gt;"",H468&lt;&gt;""),E468&amp;"|"&amp;G468&amp;"|"&amp;H468,"")</f>
        <v/>
      </c>
      <c r="Y468" s="21" t="str">
        <f aca="false">IF(B468="","",IF(B468&lt;&gt;B467,1,0))</f>
        <v/>
      </c>
    </row>
    <row r="469" customFormat="false" ht="15" hidden="false" customHeight="true" outlineLevel="0" collapsed="false">
      <c r="A469" s="21" t="str">
        <f aca="false">IF(B469="","",ROW()-4)</f>
        <v/>
      </c>
      <c r="B469" s="22"/>
      <c r="C469" s="21" t="str">
        <f aca="false">IF(B469="","",CHOOSE(WEEKDAY(B469,2),"LUNES","MARTES","MIÉRCOLES","JUEVES","VIERNES","SÁBADO","DOMINGO"))</f>
        <v/>
      </c>
      <c r="M469" s="23"/>
      <c r="Q469" s="21" t="str">
        <f aca="false">IF(OR(K469="",N469=""),"",K469-N469)</f>
        <v/>
      </c>
      <c r="R469" s="21" t="str">
        <f aca="false">IF(OR(J469="",K469=""),"",J469*K469)</f>
        <v/>
      </c>
      <c r="S469" s="21" t="str">
        <f aca="false">IF(AND(ISNUMBER(J469),ISNUMBER(K469),F469&lt;&gt;"Calentamiento",F469&lt;&gt;"Bilbo"),IF(AND(K469&gt;0,K469&lt;=12),ROUND(J469*(1+(K469+IF(ISNUMBER(L469),L469,0))/30),1),""),"")</f>
        <v/>
      </c>
      <c r="T469" s="21" t="str">
        <f aca="false">IF(AND(F469="Bilbo",ISNUMBER(J469),ISNUMBER(K469)),ROUND(J469*(1+K469/30),1),"")</f>
        <v/>
      </c>
      <c r="W469" s="22"/>
      <c r="X469" s="21" t="str">
        <f aca="false">IF(AND(F469="Bilbo",E469&lt;&gt;"",G469&lt;&gt;"",H469&lt;&gt;""),E469&amp;"|"&amp;G469&amp;"|"&amp;H469,"")</f>
        <v/>
      </c>
      <c r="Y469" s="21" t="str">
        <f aca="false">IF(B469="","",IF(B469&lt;&gt;B468,1,0))</f>
        <v/>
      </c>
    </row>
    <row r="470" customFormat="false" ht="15" hidden="false" customHeight="true" outlineLevel="0" collapsed="false">
      <c r="A470" s="21" t="str">
        <f aca="false">IF(B470="","",ROW()-4)</f>
        <v/>
      </c>
      <c r="B470" s="22"/>
      <c r="C470" s="21" t="str">
        <f aca="false">IF(B470="","",CHOOSE(WEEKDAY(B470,2),"LUNES","MARTES","MIÉRCOLES","JUEVES","VIERNES","SÁBADO","DOMINGO"))</f>
        <v/>
      </c>
      <c r="M470" s="23"/>
      <c r="Q470" s="21" t="str">
        <f aca="false">IF(OR(K470="",N470=""),"",K470-N470)</f>
        <v/>
      </c>
      <c r="R470" s="21" t="str">
        <f aca="false">IF(OR(J470="",K470=""),"",J470*K470)</f>
        <v/>
      </c>
      <c r="S470" s="21" t="str">
        <f aca="false">IF(AND(ISNUMBER(J470),ISNUMBER(K470),F470&lt;&gt;"Calentamiento",F470&lt;&gt;"Bilbo"),IF(AND(K470&gt;0,K470&lt;=12),ROUND(J470*(1+(K470+IF(ISNUMBER(L470),L470,0))/30),1),""),"")</f>
        <v/>
      </c>
      <c r="T470" s="21" t="str">
        <f aca="false">IF(AND(F470="Bilbo",ISNUMBER(J470),ISNUMBER(K470)),ROUND(J470*(1+K470/30),1),"")</f>
        <v/>
      </c>
      <c r="W470" s="22"/>
      <c r="X470" s="21" t="str">
        <f aca="false">IF(AND(F470="Bilbo",E470&lt;&gt;"",G470&lt;&gt;"",H470&lt;&gt;""),E470&amp;"|"&amp;G470&amp;"|"&amp;H470,"")</f>
        <v/>
      </c>
      <c r="Y470" s="21" t="str">
        <f aca="false">IF(B470="","",IF(B470&lt;&gt;B469,1,0))</f>
        <v/>
      </c>
    </row>
    <row r="471" customFormat="false" ht="15" hidden="false" customHeight="true" outlineLevel="0" collapsed="false">
      <c r="A471" s="21" t="str">
        <f aca="false">IF(B471="","",ROW()-4)</f>
        <v/>
      </c>
      <c r="B471" s="22"/>
      <c r="C471" s="21" t="str">
        <f aca="false">IF(B471="","",CHOOSE(WEEKDAY(B471,2),"LUNES","MARTES","MIÉRCOLES","JUEVES","VIERNES","SÁBADO","DOMINGO"))</f>
        <v/>
      </c>
      <c r="M471" s="23"/>
      <c r="Q471" s="21" t="str">
        <f aca="false">IF(OR(K471="",N471=""),"",K471-N471)</f>
        <v/>
      </c>
      <c r="R471" s="21" t="str">
        <f aca="false">IF(OR(J471="",K471=""),"",J471*K471)</f>
        <v/>
      </c>
      <c r="S471" s="21" t="str">
        <f aca="false">IF(AND(ISNUMBER(J471),ISNUMBER(K471),F471&lt;&gt;"Calentamiento",F471&lt;&gt;"Bilbo"),IF(AND(K471&gt;0,K471&lt;=12),ROUND(J471*(1+(K471+IF(ISNUMBER(L471),L471,0))/30),1),""),"")</f>
        <v/>
      </c>
      <c r="T471" s="21" t="str">
        <f aca="false">IF(AND(F471="Bilbo",ISNUMBER(J471),ISNUMBER(K471)),ROUND(J471*(1+K471/30),1),"")</f>
        <v/>
      </c>
      <c r="W471" s="22"/>
      <c r="X471" s="21" t="str">
        <f aca="false">IF(AND(F471="Bilbo",E471&lt;&gt;"",G471&lt;&gt;"",H471&lt;&gt;""),E471&amp;"|"&amp;G471&amp;"|"&amp;H471,"")</f>
        <v/>
      </c>
      <c r="Y471" s="21" t="str">
        <f aca="false">IF(B471="","",IF(B471&lt;&gt;B470,1,0))</f>
        <v/>
      </c>
    </row>
    <row r="472" customFormat="false" ht="15" hidden="false" customHeight="true" outlineLevel="0" collapsed="false">
      <c r="A472" s="21" t="str">
        <f aca="false">IF(B472="","",ROW()-4)</f>
        <v/>
      </c>
      <c r="B472" s="22"/>
      <c r="C472" s="21" t="str">
        <f aca="false">IF(B472="","",CHOOSE(WEEKDAY(B472,2),"LUNES","MARTES","MIÉRCOLES","JUEVES","VIERNES","SÁBADO","DOMINGO"))</f>
        <v/>
      </c>
      <c r="M472" s="23"/>
      <c r="Q472" s="21" t="str">
        <f aca="false">IF(OR(K472="",N472=""),"",K472-N472)</f>
        <v/>
      </c>
      <c r="R472" s="21" t="str">
        <f aca="false">IF(OR(J472="",K472=""),"",J472*K472)</f>
        <v/>
      </c>
      <c r="S472" s="21" t="str">
        <f aca="false">IF(AND(ISNUMBER(J472),ISNUMBER(K472),F472&lt;&gt;"Calentamiento",F472&lt;&gt;"Bilbo"),IF(AND(K472&gt;0,K472&lt;=12),ROUND(J472*(1+(K472+IF(ISNUMBER(L472),L472,0))/30),1),""),"")</f>
        <v/>
      </c>
      <c r="T472" s="21" t="str">
        <f aca="false">IF(AND(F472="Bilbo",ISNUMBER(J472),ISNUMBER(K472)),ROUND(J472*(1+K472/30),1),"")</f>
        <v/>
      </c>
      <c r="W472" s="22"/>
      <c r="X472" s="21" t="str">
        <f aca="false">IF(AND(F472="Bilbo",E472&lt;&gt;"",G472&lt;&gt;"",H472&lt;&gt;""),E472&amp;"|"&amp;G472&amp;"|"&amp;H472,"")</f>
        <v/>
      </c>
      <c r="Y472" s="21" t="str">
        <f aca="false">IF(B472="","",IF(B472&lt;&gt;B471,1,0))</f>
        <v/>
      </c>
    </row>
    <row r="473" customFormat="false" ht="15" hidden="false" customHeight="true" outlineLevel="0" collapsed="false">
      <c r="A473" s="21" t="str">
        <f aca="false">IF(B473="","",ROW()-4)</f>
        <v/>
      </c>
      <c r="B473" s="22"/>
      <c r="C473" s="21" t="str">
        <f aca="false">IF(B473="","",CHOOSE(WEEKDAY(B473,2),"LUNES","MARTES","MIÉRCOLES","JUEVES","VIERNES","SÁBADO","DOMINGO"))</f>
        <v/>
      </c>
      <c r="M473" s="23"/>
      <c r="Q473" s="21" t="str">
        <f aca="false">IF(OR(K473="",N473=""),"",K473-N473)</f>
        <v/>
      </c>
      <c r="R473" s="21" t="str">
        <f aca="false">IF(OR(J473="",K473=""),"",J473*K473)</f>
        <v/>
      </c>
      <c r="S473" s="21" t="str">
        <f aca="false">IF(AND(ISNUMBER(J473),ISNUMBER(K473),F473&lt;&gt;"Calentamiento",F473&lt;&gt;"Bilbo"),IF(AND(K473&gt;0,K473&lt;=12),ROUND(J473*(1+(K473+IF(ISNUMBER(L473),L473,0))/30),1),""),"")</f>
        <v/>
      </c>
      <c r="T473" s="21" t="str">
        <f aca="false">IF(AND(F473="Bilbo",ISNUMBER(J473),ISNUMBER(K473)),ROUND(J473*(1+K473/30),1),"")</f>
        <v/>
      </c>
      <c r="W473" s="22"/>
      <c r="X473" s="21" t="str">
        <f aca="false">IF(AND(F473="Bilbo",E473&lt;&gt;"",G473&lt;&gt;"",H473&lt;&gt;""),E473&amp;"|"&amp;G473&amp;"|"&amp;H473,"")</f>
        <v/>
      </c>
      <c r="Y473" s="21" t="str">
        <f aca="false">IF(B473="","",IF(B473&lt;&gt;B472,1,0))</f>
        <v/>
      </c>
    </row>
    <row r="474" customFormat="false" ht="15" hidden="false" customHeight="true" outlineLevel="0" collapsed="false">
      <c r="A474" s="21" t="str">
        <f aca="false">IF(B474="","",ROW()-4)</f>
        <v/>
      </c>
      <c r="B474" s="22"/>
      <c r="C474" s="21" t="str">
        <f aca="false">IF(B474="","",CHOOSE(WEEKDAY(B474,2),"LUNES","MARTES","MIÉRCOLES","JUEVES","VIERNES","SÁBADO","DOMINGO"))</f>
        <v/>
      </c>
      <c r="M474" s="23"/>
      <c r="Q474" s="21" t="str">
        <f aca="false">IF(OR(K474="",N474=""),"",K474-N474)</f>
        <v/>
      </c>
      <c r="R474" s="21" t="str">
        <f aca="false">IF(OR(J474="",K474=""),"",J474*K474)</f>
        <v/>
      </c>
      <c r="S474" s="21" t="str">
        <f aca="false">IF(AND(ISNUMBER(J474),ISNUMBER(K474),F474&lt;&gt;"Calentamiento",F474&lt;&gt;"Bilbo"),IF(AND(K474&gt;0,K474&lt;=12),ROUND(J474*(1+(K474+IF(ISNUMBER(L474),L474,0))/30),1),""),"")</f>
        <v/>
      </c>
      <c r="T474" s="21" t="str">
        <f aca="false">IF(AND(F474="Bilbo",ISNUMBER(J474),ISNUMBER(K474)),ROUND(J474*(1+K474/30),1),"")</f>
        <v/>
      </c>
      <c r="W474" s="22"/>
      <c r="X474" s="21" t="str">
        <f aca="false">IF(AND(F474="Bilbo",E474&lt;&gt;"",G474&lt;&gt;"",H474&lt;&gt;""),E474&amp;"|"&amp;G474&amp;"|"&amp;H474,"")</f>
        <v/>
      </c>
      <c r="Y474" s="21" t="str">
        <f aca="false">IF(B474="","",IF(B474&lt;&gt;B473,1,0))</f>
        <v/>
      </c>
    </row>
    <row r="475" customFormat="false" ht="15" hidden="false" customHeight="true" outlineLevel="0" collapsed="false">
      <c r="A475" s="21" t="str">
        <f aca="false">IF(B475="","",ROW()-4)</f>
        <v/>
      </c>
      <c r="B475" s="22"/>
      <c r="C475" s="21" t="str">
        <f aca="false">IF(B475="","",CHOOSE(WEEKDAY(B475,2),"LUNES","MARTES","MIÉRCOLES","JUEVES","VIERNES","SÁBADO","DOMINGO"))</f>
        <v/>
      </c>
      <c r="M475" s="23"/>
      <c r="Q475" s="21" t="str">
        <f aca="false">IF(OR(K475="",N475=""),"",K475-N475)</f>
        <v/>
      </c>
      <c r="R475" s="21" t="str">
        <f aca="false">IF(OR(J475="",K475=""),"",J475*K475)</f>
        <v/>
      </c>
      <c r="S475" s="21" t="str">
        <f aca="false">IF(AND(ISNUMBER(J475),ISNUMBER(K475),F475&lt;&gt;"Calentamiento",F475&lt;&gt;"Bilbo"),IF(AND(K475&gt;0,K475&lt;=12),ROUND(J475*(1+(K475+IF(ISNUMBER(L475),L475,0))/30),1),""),"")</f>
        <v/>
      </c>
      <c r="T475" s="21" t="str">
        <f aca="false">IF(AND(F475="Bilbo",ISNUMBER(J475),ISNUMBER(K475)),ROUND(J475*(1+K475/30),1),"")</f>
        <v/>
      </c>
      <c r="W475" s="22"/>
      <c r="X475" s="21" t="str">
        <f aca="false">IF(AND(F475="Bilbo",E475&lt;&gt;"",G475&lt;&gt;"",H475&lt;&gt;""),E475&amp;"|"&amp;G475&amp;"|"&amp;H475,"")</f>
        <v/>
      </c>
      <c r="Y475" s="21" t="str">
        <f aca="false">IF(B475="","",IF(B475&lt;&gt;B474,1,0))</f>
        <v/>
      </c>
    </row>
    <row r="476" customFormat="false" ht="15" hidden="false" customHeight="true" outlineLevel="0" collapsed="false">
      <c r="A476" s="21" t="str">
        <f aca="false">IF(B476="","",ROW()-4)</f>
        <v/>
      </c>
      <c r="B476" s="22"/>
      <c r="C476" s="21" t="str">
        <f aca="false">IF(B476="","",CHOOSE(WEEKDAY(B476,2),"LUNES","MARTES","MIÉRCOLES","JUEVES","VIERNES","SÁBADO","DOMINGO"))</f>
        <v/>
      </c>
      <c r="M476" s="23"/>
      <c r="Q476" s="21" t="str">
        <f aca="false">IF(OR(K476="",N476=""),"",K476-N476)</f>
        <v/>
      </c>
      <c r="R476" s="21" t="str">
        <f aca="false">IF(OR(J476="",K476=""),"",J476*K476)</f>
        <v/>
      </c>
      <c r="S476" s="21" t="str">
        <f aca="false">IF(AND(ISNUMBER(J476),ISNUMBER(K476),F476&lt;&gt;"Calentamiento",F476&lt;&gt;"Bilbo"),IF(AND(K476&gt;0,K476&lt;=12),ROUND(J476*(1+(K476+IF(ISNUMBER(L476),L476,0))/30),1),""),"")</f>
        <v/>
      </c>
      <c r="T476" s="21" t="str">
        <f aca="false">IF(AND(F476="Bilbo",ISNUMBER(J476),ISNUMBER(K476)),ROUND(J476*(1+K476/30),1),"")</f>
        <v/>
      </c>
      <c r="W476" s="22"/>
      <c r="X476" s="21" t="str">
        <f aca="false">IF(AND(F476="Bilbo",E476&lt;&gt;"",G476&lt;&gt;"",H476&lt;&gt;""),E476&amp;"|"&amp;G476&amp;"|"&amp;H476,"")</f>
        <v/>
      </c>
      <c r="Y476" s="21" t="str">
        <f aca="false">IF(B476="","",IF(B476&lt;&gt;B475,1,0))</f>
        <v/>
      </c>
    </row>
    <row r="477" customFormat="false" ht="15" hidden="false" customHeight="true" outlineLevel="0" collapsed="false">
      <c r="A477" s="21" t="str">
        <f aca="false">IF(B477="","",ROW()-4)</f>
        <v/>
      </c>
      <c r="B477" s="22"/>
      <c r="C477" s="21" t="str">
        <f aca="false">IF(B477="","",CHOOSE(WEEKDAY(B477,2),"LUNES","MARTES","MIÉRCOLES","JUEVES","VIERNES","SÁBADO","DOMINGO"))</f>
        <v/>
      </c>
      <c r="M477" s="23"/>
      <c r="Q477" s="21" t="str">
        <f aca="false">IF(OR(K477="",N477=""),"",K477-N477)</f>
        <v/>
      </c>
      <c r="R477" s="21" t="str">
        <f aca="false">IF(OR(J477="",K477=""),"",J477*K477)</f>
        <v/>
      </c>
      <c r="S477" s="21" t="str">
        <f aca="false">IF(AND(ISNUMBER(J477),ISNUMBER(K477),F477&lt;&gt;"Calentamiento",F477&lt;&gt;"Bilbo"),IF(AND(K477&gt;0,K477&lt;=12),ROUND(J477*(1+(K477+IF(ISNUMBER(L477),L477,0))/30),1),""),"")</f>
        <v/>
      </c>
      <c r="T477" s="21" t="str">
        <f aca="false">IF(AND(F477="Bilbo",ISNUMBER(J477),ISNUMBER(K477)),ROUND(J477*(1+K477/30),1),"")</f>
        <v/>
      </c>
      <c r="W477" s="22"/>
      <c r="X477" s="21" t="str">
        <f aca="false">IF(AND(F477="Bilbo",E477&lt;&gt;"",G477&lt;&gt;"",H477&lt;&gt;""),E477&amp;"|"&amp;G477&amp;"|"&amp;H477,"")</f>
        <v/>
      </c>
      <c r="Y477" s="21" t="str">
        <f aca="false">IF(B477="","",IF(B477&lt;&gt;B476,1,0))</f>
        <v/>
      </c>
    </row>
    <row r="478" customFormat="false" ht="15" hidden="false" customHeight="true" outlineLevel="0" collapsed="false">
      <c r="A478" s="21" t="str">
        <f aca="false">IF(B478="","",ROW()-4)</f>
        <v/>
      </c>
      <c r="B478" s="22"/>
      <c r="C478" s="21" t="str">
        <f aca="false">IF(B478="","",CHOOSE(WEEKDAY(B478,2),"LUNES","MARTES","MIÉRCOLES","JUEVES","VIERNES","SÁBADO","DOMINGO"))</f>
        <v/>
      </c>
      <c r="M478" s="23"/>
      <c r="Q478" s="21" t="str">
        <f aca="false">IF(OR(K478="",N478=""),"",K478-N478)</f>
        <v/>
      </c>
      <c r="R478" s="21" t="str">
        <f aca="false">IF(OR(J478="",K478=""),"",J478*K478)</f>
        <v/>
      </c>
      <c r="S478" s="21" t="str">
        <f aca="false">IF(AND(ISNUMBER(J478),ISNUMBER(K478),F478&lt;&gt;"Calentamiento",F478&lt;&gt;"Bilbo"),IF(AND(K478&gt;0,K478&lt;=12),ROUND(J478*(1+(K478+IF(ISNUMBER(L478),L478,0))/30),1),""),"")</f>
        <v/>
      </c>
      <c r="T478" s="21" t="str">
        <f aca="false">IF(AND(F478="Bilbo",ISNUMBER(J478),ISNUMBER(K478)),ROUND(J478*(1+K478/30),1),"")</f>
        <v/>
      </c>
      <c r="W478" s="22"/>
      <c r="X478" s="21" t="str">
        <f aca="false">IF(AND(F478="Bilbo",E478&lt;&gt;"",G478&lt;&gt;"",H478&lt;&gt;""),E478&amp;"|"&amp;G478&amp;"|"&amp;H478,"")</f>
        <v/>
      </c>
      <c r="Y478" s="21" t="str">
        <f aca="false">IF(B478="","",IF(B478&lt;&gt;B477,1,0))</f>
        <v/>
      </c>
    </row>
    <row r="479" customFormat="false" ht="15" hidden="false" customHeight="true" outlineLevel="0" collapsed="false">
      <c r="A479" s="21" t="str">
        <f aca="false">IF(B479="","",ROW()-4)</f>
        <v/>
      </c>
      <c r="B479" s="22"/>
      <c r="C479" s="21" t="str">
        <f aca="false">IF(B479="","",CHOOSE(WEEKDAY(B479,2),"LUNES","MARTES","MIÉRCOLES","JUEVES","VIERNES","SÁBADO","DOMINGO"))</f>
        <v/>
      </c>
      <c r="M479" s="23"/>
      <c r="Q479" s="21" t="str">
        <f aca="false">IF(OR(K479="",N479=""),"",K479-N479)</f>
        <v/>
      </c>
      <c r="R479" s="21" t="str">
        <f aca="false">IF(OR(J479="",K479=""),"",J479*K479)</f>
        <v/>
      </c>
      <c r="S479" s="21" t="str">
        <f aca="false">IF(AND(ISNUMBER(J479),ISNUMBER(K479),F479&lt;&gt;"Calentamiento",F479&lt;&gt;"Bilbo"),IF(AND(K479&gt;0,K479&lt;=12),ROUND(J479*(1+(K479+IF(ISNUMBER(L479),L479,0))/30),1),""),"")</f>
        <v/>
      </c>
      <c r="T479" s="21" t="str">
        <f aca="false">IF(AND(F479="Bilbo",ISNUMBER(J479),ISNUMBER(K479)),ROUND(J479*(1+K479/30),1),"")</f>
        <v/>
      </c>
      <c r="W479" s="22"/>
      <c r="X479" s="21" t="str">
        <f aca="false">IF(AND(F479="Bilbo",E479&lt;&gt;"",G479&lt;&gt;"",H479&lt;&gt;""),E479&amp;"|"&amp;G479&amp;"|"&amp;H479,"")</f>
        <v/>
      </c>
      <c r="Y479" s="21" t="str">
        <f aca="false">IF(B479="","",IF(B479&lt;&gt;B478,1,0))</f>
        <v/>
      </c>
    </row>
    <row r="480" customFormat="false" ht="15" hidden="false" customHeight="true" outlineLevel="0" collapsed="false">
      <c r="A480" s="21" t="str">
        <f aca="false">IF(B480="","",ROW()-4)</f>
        <v/>
      </c>
      <c r="B480" s="22"/>
      <c r="C480" s="21" t="str">
        <f aca="false">IF(B480="","",CHOOSE(WEEKDAY(B480,2),"LUNES","MARTES","MIÉRCOLES","JUEVES","VIERNES","SÁBADO","DOMINGO"))</f>
        <v/>
      </c>
      <c r="M480" s="23"/>
      <c r="Q480" s="21" t="str">
        <f aca="false">IF(OR(K480="",N480=""),"",K480-N480)</f>
        <v/>
      </c>
      <c r="R480" s="21" t="str">
        <f aca="false">IF(OR(J480="",K480=""),"",J480*K480)</f>
        <v/>
      </c>
      <c r="S480" s="21" t="str">
        <f aca="false">IF(AND(ISNUMBER(J480),ISNUMBER(K480),F480&lt;&gt;"Calentamiento",F480&lt;&gt;"Bilbo"),IF(AND(K480&gt;0,K480&lt;=12),ROUND(J480*(1+(K480+IF(ISNUMBER(L480),L480,0))/30),1),""),"")</f>
        <v/>
      </c>
      <c r="T480" s="21" t="str">
        <f aca="false">IF(AND(F480="Bilbo",ISNUMBER(J480),ISNUMBER(K480)),ROUND(J480*(1+K480/30),1),"")</f>
        <v/>
      </c>
      <c r="W480" s="22"/>
      <c r="X480" s="21" t="str">
        <f aca="false">IF(AND(F480="Bilbo",E480&lt;&gt;"",G480&lt;&gt;"",H480&lt;&gt;""),E480&amp;"|"&amp;G480&amp;"|"&amp;H480,"")</f>
        <v/>
      </c>
      <c r="Y480" s="21" t="str">
        <f aca="false">IF(B480="","",IF(B480&lt;&gt;B479,1,0))</f>
        <v/>
      </c>
    </row>
    <row r="481" customFormat="false" ht="15" hidden="false" customHeight="true" outlineLevel="0" collapsed="false">
      <c r="A481" s="21" t="str">
        <f aca="false">IF(B481="","",ROW()-4)</f>
        <v/>
      </c>
      <c r="B481" s="22"/>
      <c r="C481" s="21" t="str">
        <f aca="false">IF(B481="","",CHOOSE(WEEKDAY(B481,2),"LUNES","MARTES","MIÉRCOLES","JUEVES","VIERNES","SÁBADO","DOMINGO"))</f>
        <v/>
      </c>
      <c r="M481" s="23"/>
      <c r="Q481" s="21" t="str">
        <f aca="false">IF(OR(K481="",N481=""),"",K481-N481)</f>
        <v/>
      </c>
      <c r="R481" s="21" t="str">
        <f aca="false">IF(OR(J481="",K481=""),"",J481*K481)</f>
        <v/>
      </c>
      <c r="S481" s="21" t="str">
        <f aca="false">IF(AND(ISNUMBER(J481),ISNUMBER(K481),F481&lt;&gt;"Calentamiento",F481&lt;&gt;"Bilbo"),IF(AND(K481&gt;0,K481&lt;=12),ROUND(J481*(1+(K481+IF(ISNUMBER(L481),L481,0))/30),1),""),"")</f>
        <v/>
      </c>
      <c r="T481" s="21" t="str">
        <f aca="false">IF(AND(F481="Bilbo",ISNUMBER(J481),ISNUMBER(K481)),ROUND(J481*(1+K481/30),1),"")</f>
        <v/>
      </c>
      <c r="W481" s="22"/>
      <c r="X481" s="21" t="str">
        <f aca="false">IF(AND(F481="Bilbo",E481&lt;&gt;"",G481&lt;&gt;"",H481&lt;&gt;""),E481&amp;"|"&amp;G481&amp;"|"&amp;H481,"")</f>
        <v/>
      </c>
      <c r="Y481" s="21" t="str">
        <f aca="false">IF(B481="","",IF(B481&lt;&gt;B480,1,0))</f>
        <v/>
      </c>
    </row>
    <row r="482" customFormat="false" ht="15" hidden="false" customHeight="true" outlineLevel="0" collapsed="false">
      <c r="A482" s="21" t="str">
        <f aca="false">IF(B482="","",ROW()-4)</f>
        <v/>
      </c>
      <c r="B482" s="22"/>
      <c r="C482" s="21" t="str">
        <f aca="false">IF(B482="","",CHOOSE(WEEKDAY(B482,2),"LUNES","MARTES","MIÉRCOLES","JUEVES","VIERNES","SÁBADO","DOMINGO"))</f>
        <v/>
      </c>
      <c r="M482" s="23"/>
      <c r="Q482" s="21" t="str">
        <f aca="false">IF(OR(K482="",N482=""),"",K482-N482)</f>
        <v/>
      </c>
      <c r="R482" s="21" t="str">
        <f aca="false">IF(OR(J482="",K482=""),"",J482*K482)</f>
        <v/>
      </c>
      <c r="S482" s="21" t="str">
        <f aca="false">IF(AND(ISNUMBER(J482),ISNUMBER(K482),F482&lt;&gt;"Calentamiento",F482&lt;&gt;"Bilbo"),IF(AND(K482&gt;0,K482&lt;=12),ROUND(J482*(1+(K482+IF(ISNUMBER(L482),L482,0))/30),1),""),"")</f>
        <v/>
      </c>
      <c r="T482" s="21" t="str">
        <f aca="false">IF(AND(F482="Bilbo",ISNUMBER(J482),ISNUMBER(K482)),ROUND(J482*(1+K482/30),1),"")</f>
        <v/>
      </c>
      <c r="W482" s="22"/>
      <c r="X482" s="21" t="str">
        <f aca="false">IF(AND(F482="Bilbo",E482&lt;&gt;"",G482&lt;&gt;"",H482&lt;&gt;""),E482&amp;"|"&amp;G482&amp;"|"&amp;H482,"")</f>
        <v/>
      </c>
      <c r="Y482" s="21" t="str">
        <f aca="false">IF(B482="","",IF(B482&lt;&gt;B481,1,0))</f>
        <v/>
      </c>
    </row>
    <row r="483" customFormat="false" ht="15" hidden="false" customHeight="true" outlineLevel="0" collapsed="false">
      <c r="A483" s="21" t="str">
        <f aca="false">IF(B483="","",ROW()-4)</f>
        <v/>
      </c>
      <c r="B483" s="22"/>
      <c r="C483" s="21" t="str">
        <f aca="false">IF(B483="","",CHOOSE(WEEKDAY(B483,2),"LUNES","MARTES","MIÉRCOLES","JUEVES","VIERNES","SÁBADO","DOMINGO"))</f>
        <v/>
      </c>
      <c r="M483" s="23"/>
      <c r="Q483" s="21" t="str">
        <f aca="false">IF(OR(K483="",N483=""),"",K483-N483)</f>
        <v/>
      </c>
      <c r="R483" s="21" t="str">
        <f aca="false">IF(OR(J483="",K483=""),"",J483*K483)</f>
        <v/>
      </c>
      <c r="S483" s="21" t="str">
        <f aca="false">IF(AND(ISNUMBER(J483),ISNUMBER(K483),F483&lt;&gt;"Calentamiento",F483&lt;&gt;"Bilbo"),IF(AND(K483&gt;0,K483&lt;=12),ROUND(J483*(1+(K483+IF(ISNUMBER(L483),L483,0))/30),1),""),"")</f>
        <v/>
      </c>
      <c r="T483" s="21" t="str">
        <f aca="false">IF(AND(F483="Bilbo",ISNUMBER(J483),ISNUMBER(K483)),ROUND(J483*(1+K483/30),1),"")</f>
        <v/>
      </c>
      <c r="W483" s="22"/>
      <c r="X483" s="21" t="str">
        <f aca="false">IF(AND(F483="Bilbo",E483&lt;&gt;"",G483&lt;&gt;"",H483&lt;&gt;""),E483&amp;"|"&amp;G483&amp;"|"&amp;H483,"")</f>
        <v/>
      </c>
      <c r="Y483" s="21" t="str">
        <f aca="false">IF(B483="","",IF(B483&lt;&gt;B482,1,0))</f>
        <v/>
      </c>
    </row>
    <row r="484" customFormat="false" ht="15" hidden="false" customHeight="true" outlineLevel="0" collapsed="false">
      <c r="A484" s="21" t="str">
        <f aca="false">IF(B484="","",ROW()-4)</f>
        <v/>
      </c>
      <c r="B484" s="22"/>
      <c r="C484" s="21" t="str">
        <f aca="false">IF(B484="","",CHOOSE(WEEKDAY(B484,2),"LUNES","MARTES","MIÉRCOLES","JUEVES","VIERNES","SÁBADO","DOMINGO"))</f>
        <v/>
      </c>
      <c r="M484" s="23"/>
      <c r="Q484" s="21" t="str">
        <f aca="false">IF(OR(K484="",N484=""),"",K484-N484)</f>
        <v/>
      </c>
      <c r="R484" s="21" t="str">
        <f aca="false">IF(OR(J484="",K484=""),"",J484*K484)</f>
        <v/>
      </c>
      <c r="S484" s="21" t="str">
        <f aca="false">IF(AND(ISNUMBER(J484),ISNUMBER(K484),F484&lt;&gt;"Calentamiento",F484&lt;&gt;"Bilbo"),IF(AND(K484&gt;0,K484&lt;=12),ROUND(J484*(1+(K484+IF(ISNUMBER(L484),L484,0))/30),1),""),"")</f>
        <v/>
      </c>
      <c r="T484" s="21" t="str">
        <f aca="false">IF(AND(F484="Bilbo",ISNUMBER(J484),ISNUMBER(K484)),ROUND(J484*(1+K484/30),1),"")</f>
        <v/>
      </c>
      <c r="W484" s="22"/>
      <c r="X484" s="21" t="str">
        <f aca="false">IF(AND(F484="Bilbo",E484&lt;&gt;"",G484&lt;&gt;"",H484&lt;&gt;""),E484&amp;"|"&amp;G484&amp;"|"&amp;H484,"")</f>
        <v/>
      </c>
      <c r="Y484" s="21" t="str">
        <f aca="false">IF(B484="","",IF(B484&lt;&gt;B483,1,0))</f>
        <v/>
      </c>
    </row>
    <row r="485" customFormat="false" ht="15" hidden="false" customHeight="true" outlineLevel="0" collapsed="false">
      <c r="A485" s="21" t="str">
        <f aca="false">IF(B485="","",ROW()-4)</f>
        <v/>
      </c>
      <c r="B485" s="22"/>
      <c r="C485" s="21" t="str">
        <f aca="false">IF(B485="","",CHOOSE(WEEKDAY(B485,2),"LUNES","MARTES","MIÉRCOLES","JUEVES","VIERNES","SÁBADO","DOMINGO"))</f>
        <v/>
      </c>
      <c r="M485" s="23"/>
      <c r="Q485" s="21" t="str">
        <f aca="false">IF(OR(K485="",N485=""),"",K485-N485)</f>
        <v/>
      </c>
      <c r="R485" s="21" t="str">
        <f aca="false">IF(OR(J485="",K485=""),"",J485*K485)</f>
        <v/>
      </c>
      <c r="S485" s="21" t="str">
        <f aca="false">IF(AND(ISNUMBER(J485),ISNUMBER(K485),F485&lt;&gt;"Calentamiento",F485&lt;&gt;"Bilbo"),IF(AND(K485&gt;0,K485&lt;=12),ROUND(J485*(1+(K485+IF(ISNUMBER(L485),L485,0))/30),1),""),"")</f>
        <v/>
      </c>
      <c r="T485" s="21" t="str">
        <f aca="false">IF(AND(F485="Bilbo",ISNUMBER(J485),ISNUMBER(K485)),ROUND(J485*(1+K485/30),1),"")</f>
        <v/>
      </c>
      <c r="W485" s="22"/>
      <c r="X485" s="21" t="str">
        <f aca="false">IF(AND(F485="Bilbo",E485&lt;&gt;"",G485&lt;&gt;"",H485&lt;&gt;""),E485&amp;"|"&amp;G485&amp;"|"&amp;H485,"")</f>
        <v/>
      </c>
      <c r="Y485" s="21" t="str">
        <f aca="false">IF(B485="","",IF(B485&lt;&gt;B484,1,0))</f>
        <v/>
      </c>
    </row>
    <row r="486" customFormat="false" ht="15" hidden="false" customHeight="true" outlineLevel="0" collapsed="false">
      <c r="A486" s="21" t="str">
        <f aca="false">IF(B486="","",ROW()-4)</f>
        <v/>
      </c>
      <c r="B486" s="22"/>
      <c r="C486" s="21" t="str">
        <f aca="false">IF(B486="","",CHOOSE(WEEKDAY(B486,2),"LUNES","MARTES","MIÉRCOLES","JUEVES","VIERNES","SÁBADO","DOMINGO"))</f>
        <v/>
      </c>
      <c r="M486" s="23"/>
      <c r="Q486" s="21" t="str">
        <f aca="false">IF(OR(K486="",N486=""),"",K486-N486)</f>
        <v/>
      </c>
      <c r="R486" s="21" t="str">
        <f aca="false">IF(OR(J486="",K486=""),"",J486*K486)</f>
        <v/>
      </c>
      <c r="S486" s="21" t="str">
        <f aca="false">IF(AND(ISNUMBER(J486),ISNUMBER(K486),F486&lt;&gt;"Calentamiento",F486&lt;&gt;"Bilbo"),IF(AND(K486&gt;0,K486&lt;=12),ROUND(J486*(1+(K486+IF(ISNUMBER(L486),L486,0))/30),1),""),"")</f>
        <v/>
      </c>
      <c r="T486" s="21" t="str">
        <f aca="false">IF(AND(F486="Bilbo",ISNUMBER(J486),ISNUMBER(K486)),ROUND(J486*(1+K486/30),1),"")</f>
        <v/>
      </c>
      <c r="W486" s="22"/>
      <c r="X486" s="21" t="str">
        <f aca="false">IF(AND(F486="Bilbo",E486&lt;&gt;"",G486&lt;&gt;"",H486&lt;&gt;""),E486&amp;"|"&amp;G486&amp;"|"&amp;H486,"")</f>
        <v/>
      </c>
      <c r="Y486" s="21" t="str">
        <f aca="false">IF(B486="","",IF(B486&lt;&gt;B485,1,0))</f>
        <v/>
      </c>
    </row>
    <row r="487" customFormat="false" ht="15" hidden="false" customHeight="true" outlineLevel="0" collapsed="false">
      <c r="A487" s="21" t="str">
        <f aca="false">IF(B487="","",ROW()-4)</f>
        <v/>
      </c>
      <c r="B487" s="22"/>
      <c r="C487" s="21" t="str">
        <f aca="false">IF(B487="","",CHOOSE(WEEKDAY(B487,2),"LUNES","MARTES","MIÉRCOLES","JUEVES","VIERNES","SÁBADO","DOMINGO"))</f>
        <v/>
      </c>
      <c r="M487" s="23"/>
      <c r="Q487" s="21" t="str">
        <f aca="false">IF(OR(K487="",N487=""),"",K487-N487)</f>
        <v/>
      </c>
      <c r="R487" s="21" t="str">
        <f aca="false">IF(OR(J487="",K487=""),"",J487*K487)</f>
        <v/>
      </c>
      <c r="S487" s="21" t="str">
        <f aca="false">IF(AND(ISNUMBER(J487),ISNUMBER(K487),F487&lt;&gt;"Calentamiento",F487&lt;&gt;"Bilbo"),IF(AND(K487&gt;0,K487&lt;=12),ROUND(J487*(1+(K487+IF(ISNUMBER(L487),L487,0))/30),1),""),"")</f>
        <v/>
      </c>
      <c r="T487" s="21" t="str">
        <f aca="false">IF(AND(F487="Bilbo",ISNUMBER(J487),ISNUMBER(K487)),ROUND(J487*(1+K487/30),1),"")</f>
        <v/>
      </c>
      <c r="W487" s="22"/>
      <c r="X487" s="21" t="str">
        <f aca="false">IF(AND(F487="Bilbo",E487&lt;&gt;"",G487&lt;&gt;"",H487&lt;&gt;""),E487&amp;"|"&amp;G487&amp;"|"&amp;H487,"")</f>
        <v/>
      </c>
      <c r="Y487" s="21" t="str">
        <f aca="false">IF(B487="","",IF(B487&lt;&gt;B486,1,0))</f>
        <v/>
      </c>
    </row>
    <row r="488" customFormat="false" ht="15" hidden="false" customHeight="true" outlineLevel="0" collapsed="false">
      <c r="A488" s="21" t="str">
        <f aca="false">IF(B488="","",ROW()-4)</f>
        <v/>
      </c>
      <c r="B488" s="22"/>
      <c r="C488" s="21" t="str">
        <f aca="false">IF(B488="","",CHOOSE(WEEKDAY(B488,2),"LUNES","MARTES","MIÉRCOLES","JUEVES","VIERNES","SÁBADO","DOMINGO"))</f>
        <v/>
      </c>
      <c r="M488" s="23"/>
      <c r="Q488" s="21" t="str">
        <f aca="false">IF(OR(K488="",N488=""),"",K488-N488)</f>
        <v/>
      </c>
      <c r="R488" s="21" t="str">
        <f aca="false">IF(OR(J488="",K488=""),"",J488*K488)</f>
        <v/>
      </c>
      <c r="S488" s="21" t="str">
        <f aca="false">IF(AND(ISNUMBER(J488),ISNUMBER(K488),F488&lt;&gt;"Calentamiento",F488&lt;&gt;"Bilbo"),IF(AND(K488&gt;0,K488&lt;=12),ROUND(J488*(1+(K488+IF(ISNUMBER(L488),L488,0))/30),1),""),"")</f>
        <v/>
      </c>
      <c r="T488" s="21" t="str">
        <f aca="false">IF(AND(F488="Bilbo",ISNUMBER(J488),ISNUMBER(K488)),ROUND(J488*(1+K488/30),1),"")</f>
        <v/>
      </c>
      <c r="W488" s="22"/>
      <c r="X488" s="21" t="str">
        <f aca="false">IF(AND(F488="Bilbo",E488&lt;&gt;"",G488&lt;&gt;"",H488&lt;&gt;""),E488&amp;"|"&amp;G488&amp;"|"&amp;H488,"")</f>
        <v/>
      </c>
      <c r="Y488" s="21" t="str">
        <f aca="false">IF(B488="","",IF(B488&lt;&gt;B487,1,0))</f>
        <v/>
      </c>
    </row>
    <row r="489" customFormat="false" ht="15" hidden="false" customHeight="true" outlineLevel="0" collapsed="false">
      <c r="A489" s="21" t="str">
        <f aca="false">IF(B489="","",ROW()-4)</f>
        <v/>
      </c>
      <c r="B489" s="22"/>
      <c r="C489" s="21" t="str">
        <f aca="false">IF(B489="","",CHOOSE(WEEKDAY(B489,2),"LUNES","MARTES","MIÉRCOLES","JUEVES","VIERNES","SÁBADO","DOMINGO"))</f>
        <v/>
      </c>
      <c r="M489" s="23"/>
      <c r="Q489" s="21" t="str">
        <f aca="false">IF(OR(K489="",N489=""),"",K489-N489)</f>
        <v/>
      </c>
      <c r="R489" s="21" t="str">
        <f aca="false">IF(OR(J489="",K489=""),"",J489*K489)</f>
        <v/>
      </c>
      <c r="S489" s="21" t="str">
        <f aca="false">IF(AND(ISNUMBER(J489),ISNUMBER(K489),F489&lt;&gt;"Calentamiento",F489&lt;&gt;"Bilbo"),IF(AND(K489&gt;0,K489&lt;=12),ROUND(J489*(1+(K489+IF(ISNUMBER(L489),L489,0))/30),1),""),"")</f>
        <v/>
      </c>
      <c r="T489" s="21" t="str">
        <f aca="false">IF(AND(F489="Bilbo",ISNUMBER(J489),ISNUMBER(K489)),ROUND(J489*(1+K489/30),1),"")</f>
        <v/>
      </c>
      <c r="W489" s="22"/>
      <c r="X489" s="21" t="str">
        <f aca="false">IF(AND(F489="Bilbo",E489&lt;&gt;"",G489&lt;&gt;"",H489&lt;&gt;""),E489&amp;"|"&amp;G489&amp;"|"&amp;H489,"")</f>
        <v/>
      </c>
      <c r="Y489" s="21" t="str">
        <f aca="false">IF(B489="","",IF(B489&lt;&gt;B488,1,0))</f>
        <v/>
      </c>
    </row>
    <row r="490" customFormat="false" ht="15" hidden="false" customHeight="true" outlineLevel="0" collapsed="false">
      <c r="A490" s="21" t="str">
        <f aca="false">IF(B490="","",ROW()-4)</f>
        <v/>
      </c>
      <c r="B490" s="22"/>
      <c r="C490" s="21" t="str">
        <f aca="false">IF(B490="","",CHOOSE(WEEKDAY(B490,2),"LUNES","MARTES","MIÉRCOLES","JUEVES","VIERNES","SÁBADO","DOMINGO"))</f>
        <v/>
      </c>
      <c r="M490" s="23"/>
      <c r="Q490" s="21" t="str">
        <f aca="false">IF(OR(K490="",N490=""),"",K490-N490)</f>
        <v/>
      </c>
      <c r="R490" s="21" t="str">
        <f aca="false">IF(OR(J490="",K490=""),"",J490*K490)</f>
        <v/>
      </c>
      <c r="S490" s="21" t="str">
        <f aca="false">IF(AND(ISNUMBER(J490),ISNUMBER(K490),F490&lt;&gt;"Calentamiento",F490&lt;&gt;"Bilbo"),IF(AND(K490&gt;0,K490&lt;=12),ROUND(J490*(1+(K490+IF(ISNUMBER(L490),L490,0))/30),1),""),"")</f>
        <v/>
      </c>
      <c r="T490" s="21" t="str">
        <f aca="false">IF(AND(F490="Bilbo",ISNUMBER(J490),ISNUMBER(K490)),ROUND(J490*(1+K490/30),1),"")</f>
        <v/>
      </c>
      <c r="W490" s="22"/>
      <c r="X490" s="21" t="str">
        <f aca="false">IF(AND(F490="Bilbo",E490&lt;&gt;"",G490&lt;&gt;"",H490&lt;&gt;""),E490&amp;"|"&amp;G490&amp;"|"&amp;H490,"")</f>
        <v/>
      </c>
      <c r="Y490" s="21" t="str">
        <f aca="false">IF(B490="","",IF(B490&lt;&gt;B489,1,0))</f>
        <v/>
      </c>
    </row>
    <row r="491" customFormat="false" ht="15" hidden="false" customHeight="true" outlineLevel="0" collapsed="false">
      <c r="A491" s="21" t="str">
        <f aca="false">IF(B491="","",ROW()-4)</f>
        <v/>
      </c>
      <c r="B491" s="22"/>
      <c r="C491" s="21" t="str">
        <f aca="false">IF(B491="","",CHOOSE(WEEKDAY(B491,2),"LUNES","MARTES","MIÉRCOLES","JUEVES","VIERNES","SÁBADO","DOMINGO"))</f>
        <v/>
      </c>
      <c r="M491" s="23"/>
      <c r="Q491" s="21" t="str">
        <f aca="false">IF(OR(K491="",N491=""),"",K491-N491)</f>
        <v/>
      </c>
      <c r="R491" s="21" t="str">
        <f aca="false">IF(OR(J491="",K491=""),"",J491*K491)</f>
        <v/>
      </c>
      <c r="S491" s="21" t="str">
        <f aca="false">IF(AND(ISNUMBER(J491),ISNUMBER(K491),F491&lt;&gt;"Calentamiento",F491&lt;&gt;"Bilbo"),IF(AND(K491&gt;0,K491&lt;=12),ROUND(J491*(1+(K491+IF(ISNUMBER(L491),L491,0))/30),1),""),"")</f>
        <v/>
      </c>
      <c r="T491" s="21" t="str">
        <f aca="false">IF(AND(F491="Bilbo",ISNUMBER(J491),ISNUMBER(K491)),ROUND(J491*(1+K491/30),1),"")</f>
        <v/>
      </c>
      <c r="W491" s="22"/>
      <c r="X491" s="21" t="str">
        <f aca="false">IF(AND(F491="Bilbo",E491&lt;&gt;"",G491&lt;&gt;"",H491&lt;&gt;""),E491&amp;"|"&amp;G491&amp;"|"&amp;H491,"")</f>
        <v/>
      </c>
      <c r="Y491" s="21" t="str">
        <f aca="false">IF(B491="","",IF(B491&lt;&gt;B490,1,0))</f>
        <v/>
      </c>
    </row>
    <row r="492" customFormat="false" ht="15" hidden="false" customHeight="true" outlineLevel="0" collapsed="false">
      <c r="A492" s="21" t="str">
        <f aca="false">IF(B492="","",ROW()-4)</f>
        <v/>
      </c>
      <c r="B492" s="22"/>
      <c r="C492" s="21" t="str">
        <f aca="false">IF(B492="","",CHOOSE(WEEKDAY(B492,2),"LUNES","MARTES","MIÉRCOLES","JUEVES","VIERNES","SÁBADO","DOMINGO"))</f>
        <v/>
      </c>
      <c r="M492" s="23"/>
      <c r="Q492" s="21" t="str">
        <f aca="false">IF(OR(K492="",N492=""),"",K492-N492)</f>
        <v/>
      </c>
      <c r="R492" s="21" t="str">
        <f aca="false">IF(OR(J492="",K492=""),"",J492*K492)</f>
        <v/>
      </c>
      <c r="S492" s="21" t="str">
        <f aca="false">IF(AND(ISNUMBER(J492),ISNUMBER(K492),F492&lt;&gt;"Calentamiento",F492&lt;&gt;"Bilbo"),IF(AND(K492&gt;0,K492&lt;=12),ROUND(J492*(1+(K492+IF(ISNUMBER(L492),L492,0))/30),1),""),"")</f>
        <v/>
      </c>
      <c r="T492" s="21" t="str">
        <f aca="false">IF(AND(F492="Bilbo",ISNUMBER(J492),ISNUMBER(K492)),ROUND(J492*(1+K492/30),1),"")</f>
        <v/>
      </c>
      <c r="W492" s="22"/>
      <c r="X492" s="21" t="str">
        <f aca="false">IF(AND(F492="Bilbo",E492&lt;&gt;"",G492&lt;&gt;"",H492&lt;&gt;""),E492&amp;"|"&amp;G492&amp;"|"&amp;H492,"")</f>
        <v/>
      </c>
      <c r="Y492" s="21" t="str">
        <f aca="false">IF(B492="","",IF(B492&lt;&gt;B491,1,0))</f>
        <v/>
      </c>
    </row>
    <row r="493" customFormat="false" ht="15" hidden="false" customHeight="true" outlineLevel="0" collapsed="false">
      <c r="A493" s="21" t="str">
        <f aca="false">IF(B493="","",ROW()-4)</f>
        <v/>
      </c>
      <c r="B493" s="22"/>
      <c r="C493" s="21" t="str">
        <f aca="false">IF(B493="","",CHOOSE(WEEKDAY(B493,2),"LUNES","MARTES","MIÉRCOLES","JUEVES","VIERNES","SÁBADO","DOMINGO"))</f>
        <v/>
      </c>
      <c r="M493" s="23"/>
      <c r="Q493" s="21" t="str">
        <f aca="false">IF(OR(K493="",N493=""),"",K493-N493)</f>
        <v/>
      </c>
      <c r="R493" s="21" t="str">
        <f aca="false">IF(OR(J493="",K493=""),"",J493*K493)</f>
        <v/>
      </c>
      <c r="S493" s="21" t="str">
        <f aca="false">IF(AND(ISNUMBER(J493),ISNUMBER(K493),F493&lt;&gt;"Calentamiento",F493&lt;&gt;"Bilbo"),IF(AND(K493&gt;0,K493&lt;=12),ROUND(J493*(1+(K493+IF(ISNUMBER(L493),L493,0))/30),1),""),"")</f>
        <v/>
      </c>
      <c r="T493" s="21" t="str">
        <f aca="false">IF(AND(F493="Bilbo",ISNUMBER(J493),ISNUMBER(K493)),ROUND(J493*(1+K493/30),1),"")</f>
        <v/>
      </c>
      <c r="W493" s="22"/>
      <c r="X493" s="21" t="str">
        <f aca="false">IF(AND(F493="Bilbo",E493&lt;&gt;"",G493&lt;&gt;"",H493&lt;&gt;""),E493&amp;"|"&amp;G493&amp;"|"&amp;H493,"")</f>
        <v/>
      </c>
      <c r="Y493" s="21" t="str">
        <f aca="false">IF(B493="","",IF(B493&lt;&gt;B492,1,0))</f>
        <v/>
      </c>
    </row>
    <row r="494" customFormat="false" ht="15" hidden="false" customHeight="true" outlineLevel="0" collapsed="false">
      <c r="A494" s="21" t="str">
        <f aca="false">IF(B494="","",ROW()-4)</f>
        <v/>
      </c>
      <c r="B494" s="22"/>
      <c r="C494" s="21" t="str">
        <f aca="false">IF(B494="","",CHOOSE(WEEKDAY(B494,2),"LUNES","MARTES","MIÉRCOLES","JUEVES","VIERNES","SÁBADO","DOMINGO"))</f>
        <v/>
      </c>
      <c r="M494" s="23"/>
      <c r="Q494" s="21" t="str">
        <f aca="false">IF(OR(K494="",N494=""),"",K494-N494)</f>
        <v/>
      </c>
      <c r="R494" s="21" t="str">
        <f aca="false">IF(OR(J494="",K494=""),"",J494*K494)</f>
        <v/>
      </c>
      <c r="S494" s="21" t="str">
        <f aca="false">IF(AND(ISNUMBER(J494),ISNUMBER(K494),F494&lt;&gt;"Calentamiento",F494&lt;&gt;"Bilbo"),IF(AND(K494&gt;0,K494&lt;=12),ROUND(J494*(1+(K494+IF(ISNUMBER(L494),L494,0))/30),1),""),"")</f>
        <v/>
      </c>
      <c r="T494" s="21" t="str">
        <f aca="false">IF(AND(F494="Bilbo",ISNUMBER(J494),ISNUMBER(K494)),ROUND(J494*(1+K494/30),1),"")</f>
        <v/>
      </c>
      <c r="W494" s="22"/>
      <c r="X494" s="21" t="str">
        <f aca="false">IF(AND(F494="Bilbo",E494&lt;&gt;"",G494&lt;&gt;"",H494&lt;&gt;""),E494&amp;"|"&amp;G494&amp;"|"&amp;H494,"")</f>
        <v/>
      </c>
      <c r="Y494" s="21" t="str">
        <f aca="false">IF(B494="","",IF(B494&lt;&gt;B493,1,0))</f>
        <v/>
      </c>
    </row>
    <row r="495" customFormat="false" ht="15" hidden="false" customHeight="true" outlineLevel="0" collapsed="false">
      <c r="A495" s="21" t="str">
        <f aca="false">IF(B495="","",ROW()-4)</f>
        <v/>
      </c>
      <c r="B495" s="22"/>
      <c r="C495" s="21" t="str">
        <f aca="false">IF(B495="","",CHOOSE(WEEKDAY(B495,2),"LUNES","MARTES","MIÉRCOLES","JUEVES","VIERNES","SÁBADO","DOMINGO"))</f>
        <v/>
      </c>
      <c r="M495" s="23"/>
      <c r="Q495" s="21" t="str">
        <f aca="false">IF(OR(K495="",N495=""),"",K495-N495)</f>
        <v/>
      </c>
      <c r="R495" s="21" t="str">
        <f aca="false">IF(OR(J495="",K495=""),"",J495*K495)</f>
        <v/>
      </c>
      <c r="S495" s="21" t="str">
        <f aca="false">IF(AND(ISNUMBER(J495),ISNUMBER(K495),F495&lt;&gt;"Calentamiento",F495&lt;&gt;"Bilbo"),IF(AND(K495&gt;0,K495&lt;=12),ROUND(J495*(1+(K495+IF(ISNUMBER(L495),L495,0))/30),1),""),"")</f>
        <v/>
      </c>
      <c r="T495" s="21" t="str">
        <f aca="false">IF(AND(F495="Bilbo",ISNUMBER(J495),ISNUMBER(K495)),ROUND(J495*(1+K495/30),1),"")</f>
        <v/>
      </c>
      <c r="W495" s="22"/>
      <c r="X495" s="21" t="str">
        <f aca="false">IF(AND(F495="Bilbo",E495&lt;&gt;"",G495&lt;&gt;"",H495&lt;&gt;""),E495&amp;"|"&amp;G495&amp;"|"&amp;H495,"")</f>
        <v/>
      </c>
      <c r="Y495" s="21" t="str">
        <f aca="false">IF(B495="","",IF(B495&lt;&gt;B494,1,0))</f>
        <v/>
      </c>
    </row>
    <row r="496" customFormat="false" ht="15" hidden="false" customHeight="true" outlineLevel="0" collapsed="false">
      <c r="A496" s="21" t="str">
        <f aca="false">IF(B496="","",ROW()-4)</f>
        <v/>
      </c>
      <c r="B496" s="22"/>
      <c r="C496" s="21" t="str">
        <f aca="false">IF(B496="","",CHOOSE(WEEKDAY(B496,2),"LUNES","MARTES","MIÉRCOLES","JUEVES","VIERNES","SÁBADO","DOMINGO"))</f>
        <v/>
      </c>
      <c r="M496" s="23"/>
      <c r="Q496" s="21" t="str">
        <f aca="false">IF(OR(K496="",N496=""),"",K496-N496)</f>
        <v/>
      </c>
      <c r="R496" s="21" t="str">
        <f aca="false">IF(OR(J496="",K496=""),"",J496*K496)</f>
        <v/>
      </c>
      <c r="S496" s="21" t="str">
        <f aca="false">IF(AND(ISNUMBER(J496),ISNUMBER(K496),F496&lt;&gt;"Calentamiento",F496&lt;&gt;"Bilbo"),IF(AND(K496&gt;0,K496&lt;=12),ROUND(J496*(1+(K496+IF(ISNUMBER(L496),L496,0))/30),1),""),"")</f>
        <v/>
      </c>
      <c r="T496" s="21" t="str">
        <f aca="false">IF(AND(F496="Bilbo",ISNUMBER(J496),ISNUMBER(K496)),ROUND(J496*(1+K496/30),1),"")</f>
        <v/>
      </c>
      <c r="W496" s="22"/>
      <c r="X496" s="21" t="str">
        <f aca="false">IF(AND(F496="Bilbo",E496&lt;&gt;"",G496&lt;&gt;"",H496&lt;&gt;""),E496&amp;"|"&amp;G496&amp;"|"&amp;H496,"")</f>
        <v/>
      </c>
      <c r="Y496" s="21" t="str">
        <f aca="false">IF(B496="","",IF(B496&lt;&gt;B495,1,0))</f>
        <v/>
      </c>
    </row>
    <row r="497" customFormat="false" ht="15" hidden="false" customHeight="true" outlineLevel="0" collapsed="false">
      <c r="A497" s="21" t="str">
        <f aca="false">IF(B497="","",ROW()-4)</f>
        <v/>
      </c>
      <c r="B497" s="22"/>
      <c r="C497" s="21" t="str">
        <f aca="false">IF(B497="","",CHOOSE(WEEKDAY(B497,2),"LUNES","MARTES","MIÉRCOLES","JUEVES","VIERNES","SÁBADO","DOMINGO"))</f>
        <v/>
      </c>
      <c r="M497" s="23"/>
      <c r="Q497" s="21" t="str">
        <f aca="false">IF(OR(K497="",N497=""),"",K497-N497)</f>
        <v/>
      </c>
      <c r="R497" s="21" t="str">
        <f aca="false">IF(OR(J497="",K497=""),"",J497*K497)</f>
        <v/>
      </c>
      <c r="S497" s="21" t="str">
        <f aca="false">IF(AND(ISNUMBER(J497),ISNUMBER(K497),F497&lt;&gt;"Calentamiento",F497&lt;&gt;"Bilbo"),IF(AND(K497&gt;0,K497&lt;=12),ROUND(J497*(1+(K497+IF(ISNUMBER(L497),L497,0))/30),1),""),"")</f>
        <v/>
      </c>
      <c r="T497" s="21" t="str">
        <f aca="false">IF(AND(F497="Bilbo",ISNUMBER(J497),ISNUMBER(K497)),ROUND(J497*(1+K497/30),1),"")</f>
        <v/>
      </c>
      <c r="W497" s="22"/>
      <c r="X497" s="21" t="str">
        <f aca="false">IF(AND(F497="Bilbo",E497&lt;&gt;"",G497&lt;&gt;"",H497&lt;&gt;""),E497&amp;"|"&amp;G497&amp;"|"&amp;H497,"")</f>
        <v/>
      </c>
      <c r="Y497" s="21" t="str">
        <f aca="false">IF(B497="","",IF(B497&lt;&gt;B496,1,0))</f>
        <v/>
      </c>
    </row>
    <row r="498" customFormat="false" ht="15" hidden="false" customHeight="true" outlineLevel="0" collapsed="false">
      <c r="A498" s="21" t="str">
        <f aca="false">IF(B498="","",ROW()-4)</f>
        <v/>
      </c>
      <c r="B498" s="22"/>
      <c r="C498" s="21" t="str">
        <f aca="false">IF(B498="","",CHOOSE(WEEKDAY(B498,2),"LUNES","MARTES","MIÉRCOLES","JUEVES","VIERNES","SÁBADO","DOMINGO"))</f>
        <v/>
      </c>
      <c r="M498" s="23"/>
      <c r="Q498" s="21" t="str">
        <f aca="false">IF(OR(K498="",N498=""),"",K498-N498)</f>
        <v/>
      </c>
      <c r="R498" s="21" t="str">
        <f aca="false">IF(OR(J498="",K498=""),"",J498*K498)</f>
        <v/>
      </c>
      <c r="S498" s="21" t="str">
        <f aca="false">IF(AND(ISNUMBER(J498),ISNUMBER(K498),F498&lt;&gt;"Calentamiento",F498&lt;&gt;"Bilbo"),IF(AND(K498&gt;0,K498&lt;=12),ROUND(J498*(1+(K498+IF(ISNUMBER(L498),L498,0))/30),1),""),"")</f>
        <v/>
      </c>
      <c r="T498" s="21" t="str">
        <f aca="false">IF(AND(F498="Bilbo",ISNUMBER(J498),ISNUMBER(K498)),ROUND(J498*(1+K498/30),1),"")</f>
        <v/>
      </c>
      <c r="W498" s="22"/>
      <c r="X498" s="21" t="str">
        <f aca="false">IF(AND(F498="Bilbo",E498&lt;&gt;"",G498&lt;&gt;"",H498&lt;&gt;""),E498&amp;"|"&amp;G498&amp;"|"&amp;H498,"")</f>
        <v/>
      </c>
      <c r="Y498" s="21" t="str">
        <f aca="false">IF(B498="","",IF(B498&lt;&gt;B497,1,0))</f>
        <v/>
      </c>
    </row>
    <row r="499" customFormat="false" ht="15" hidden="false" customHeight="true" outlineLevel="0" collapsed="false">
      <c r="A499" s="21" t="str">
        <f aca="false">IF(B499="","",ROW()-4)</f>
        <v/>
      </c>
      <c r="B499" s="22"/>
      <c r="C499" s="21" t="str">
        <f aca="false">IF(B499="","",CHOOSE(WEEKDAY(B499,2),"LUNES","MARTES","MIÉRCOLES","JUEVES","VIERNES","SÁBADO","DOMINGO"))</f>
        <v/>
      </c>
      <c r="M499" s="23"/>
      <c r="Q499" s="21" t="str">
        <f aca="false">IF(OR(K499="",N499=""),"",K499-N499)</f>
        <v/>
      </c>
      <c r="R499" s="21" t="str">
        <f aca="false">IF(OR(J499="",K499=""),"",J499*K499)</f>
        <v/>
      </c>
      <c r="S499" s="21" t="str">
        <f aca="false">IF(AND(ISNUMBER(J499),ISNUMBER(K499),F499&lt;&gt;"Calentamiento",F499&lt;&gt;"Bilbo"),IF(AND(K499&gt;0,K499&lt;=12),ROUND(J499*(1+(K499+IF(ISNUMBER(L499),L499,0))/30),1),""),"")</f>
        <v/>
      </c>
      <c r="T499" s="21" t="str">
        <f aca="false">IF(AND(F499="Bilbo",ISNUMBER(J499),ISNUMBER(K499)),ROUND(J499*(1+K499/30),1),"")</f>
        <v/>
      </c>
      <c r="W499" s="22"/>
      <c r="X499" s="21" t="str">
        <f aca="false">IF(AND(F499="Bilbo",E499&lt;&gt;"",G499&lt;&gt;"",H499&lt;&gt;""),E499&amp;"|"&amp;G499&amp;"|"&amp;H499,"")</f>
        <v/>
      </c>
      <c r="Y499" s="21" t="str">
        <f aca="false">IF(B499="","",IF(B499&lt;&gt;B498,1,0))</f>
        <v/>
      </c>
    </row>
    <row r="500" customFormat="false" ht="15" hidden="false" customHeight="true" outlineLevel="0" collapsed="false">
      <c r="A500" s="21" t="str">
        <f aca="false">IF(B500="","",ROW()-4)</f>
        <v/>
      </c>
      <c r="B500" s="22"/>
      <c r="C500" s="21" t="str">
        <f aca="false">IF(B500="","",CHOOSE(WEEKDAY(B500,2),"LUNES","MARTES","MIÉRCOLES","JUEVES","VIERNES","SÁBADO","DOMINGO"))</f>
        <v/>
      </c>
      <c r="M500" s="23"/>
      <c r="Q500" s="21" t="str">
        <f aca="false">IF(OR(K500="",N500=""),"",K500-N500)</f>
        <v/>
      </c>
      <c r="R500" s="21" t="str">
        <f aca="false">IF(OR(J500="",K500=""),"",J500*K500)</f>
        <v/>
      </c>
      <c r="S500" s="21" t="str">
        <f aca="false">IF(AND(ISNUMBER(J500),ISNUMBER(K500),F500&lt;&gt;"Calentamiento",F500&lt;&gt;"Bilbo"),IF(AND(K500&gt;0,K500&lt;=12),ROUND(J500*(1+(K500+IF(ISNUMBER(L500),L500,0))/30),1),""),"")</f>
        <v/>
      </c>
      <c r="T500" s="21" t="str">
        <f aca="false">IF(AND(F500="Bilbo",ISNUMBER(J500),ISNUMBER(K500)),ROUND(J500*(1+K500/30),1),"")</f>
        <v/>
      </c>
      <c r="W500" s="22"/>
      <c r="X500" s="21" t="str">
        <f aca="false">IF(AND(F500="Bilbo",E500&lt;&gt;"",G500&lt;&gt;"",H500&lt;&gt;""),E500&amp;"|"&amp;G500&amp;"|"&amp;H500,"")</f>
        <v/>
      </c>
      <c r="Y500" s="21" t="str">
        <f aca="false">IF(B500="","",IF(B500&lt;&gt;B499,1,0))</f>
        <v/>
      </c>
    </row>
    <row r="501" customFormat="false" ht="15" hidden="false" customHeight="true" outlineLevel="0" collapsed="false">
      <c r="A501" s="21" t="str">
        <f aca="false">IF(B501="","",ROW()-4)</f>
        <v/>
      </c>
      <c r="B501" s="22"/>
      <c r="C501" s="21" t="str">
        <f aca="false">IF(B501="","",CHOOSE(WEEKDAY(B501,2),"LUNES","MARTES","MIÉRCOLES","JUEVES","VIERNES","SÁBADO","DOMINGO"))</f>
        <v/>
      </c>
      <c r="M501" s="23"/>
      <c r="Q501" s="21" t="str">
        <f aca="false">IF(OR(K501="",N501=""),"",K501-N501)</f>
        <v/>
      </c>
      <c r="R501" s="21" t="str">
        <f aca="false">IF(OR(J501="",K501=""),"",J501*K501)</f>
        <v/>
      </c>
      <c r="S501" s="21" t="str">
        <f aca="false">IF(AND(ISNUMBER(J501),ISNUMBER(K501),F501&lt;&gt;"Calentamiento",F501&lt;&gt;"Bilbo"),IF(AND(K501&gt;0,K501&lt;=12),ROUND(J501*(1+(K501+IF(ISNUMBER(L501),L501,0))/30),1),""),"")</f>
        <v/>
      </c>
      <c r="T501" s="21" t="str">
        <f aca="false">IF(AND(F501="Bilbo",ISNUMBER(J501),ISNUMBER(K501)),ROUND(J501*(1+K501/30),1),"")</f>
        <v/>
      </c>
      <c r="W501" s="22"/>
      <c r="X501" s="21" t="str">
        <f aca="false">IF(AND(F501="Bilbo",E501&lt;&gt;"",G501&lt;&gt;"",H501&lt;&gt;""),E501&amp;"|"&amp;G501&amp;"|"&amp;H501,"")</f>
        <v/>
      </c>
      <c r="Y501" s="21" t="str">
        <f aca="false">IF(B501="","",IF(B501&lt;&gt;B500,1,0))</f>
        <v/>
      </c>
    </row>
    <row r="502" customFormat="false" ht="15" hidden="false" customHeight="true" outlineLevel="0" collapsed="false">
      <c r="A502" s="21" t="str">
        <f aca="false">IF(B502="","",ROW()-4)</f>
        <v/>
      </c>
      <c r="B502" s="22"/>
      <c r="C502" s="21" t="str">
        <f aca="false">IF(B502="","",CHOOSE(WEEKDAY(B502,2),"LUNES","MARTES","MIÉRCOLES","JUEVES","VIERNES","SÁBADO","DOMINGO"))</f>
        <v/>
      </c>
      <c r="M502" s="23"/>
      <c r="Q502" s="21" t="str">
        <f aca="false">IF(OR(K502="",N502=""),"",K502-N502)</f>
        <v/>
      </c>
      <c r="R502" s="21" t="str">
        <f aca="false">IF(OR(J502="",K502=""),"",J502*K502)</f>
        <v/>
      </c>
      <c r="S502" s="21" t="str">
        <f aca="false">IF(AND(ISNUMBER(J502),ISNUMBER(K502),F502&lt;&gt;"Calentamiento",F502&lt;&gt;"Bilbo"),IF(AND(K502&gt;0,K502&lt;=12),ROUND(J502*(1+(K502+IF(ISNUMBER(L502),L502,0))/30),1),""),"")</f>
        <v/>
      </c>
      <c r="T502" s="21" t="str">
        <f aca="false">IF(AND(F502="Bilbo",ISNUMBER(J502),ISNUMBER(K502)),ROUND(J502*(1+K502/30),1),"")</f>
        <v/>
      </c>
      <c r="W502" s="22"/>
      <c r="X502" s="21" t="str">
        <f aca="false">IF(AND(F502="Bilbo",E502&lt;&gt;"",G502&lt;&gt;"",H502&lt;&gt;""),E502&amp;"|"&amp;G502&amp;"|"&amp;H502,"")</f>
        <v/>
      </c>
      <c r="Y502" s="21" t="str">
        <f aca="false">IF(B502="","",IF(B502&lt;&gt;B501,1,0))</f>
        <v/>
      </c>
    </row>
    <row r="503" customFormat="false" ht="15" hidden="false" customHeight="true" outlineLevel="0" collapsed="false">
      <c r="A503" s="21" t="str">
        <f aca="false">IF(B503="","",ROW()-4)</f>
        <v/>
      </c>
      <c r="B503" s="22"/>
      <c r="C503" s="21" t="str">
        <f aca="false">IF(B503="","",CHOOSE(WEEKDAY(B503,2),"LUNES","MARTES","MIÉRCOLES","JUEVES","VIERNES","SÁBADO","DOMINGO"))</f>
        <v/>
      </c>
      <c r="M503" s="23"/>
      <c r="Q503" s="21" t="str">
        <f aca="false">IF(OR(K503="",N503=""),"",K503-N503)</f>
        <v/>
      </c>
      <c r="R503" s="21" t="str">
        <f aca="false">IF(OR(J503="",K503=""),"",J503*K503)</f>
        <v/>
      </c>
      <c r="S503" s="21" t="str">
        <f aca="false">IF(AND(ISNUMBER(J503),ISNUMBER(K503),F503&lt;&gt;"Calentamiento",F503&lt;&gt;"Bilbo"),IF(AND(K503&gt;0,K503&lt;=12),ROUND(J503*(1+(K503+IF(ISNUMBER(L503),L503,0))/30),1),""),"")</f>
        <v/>
      </c>
      <c r="T503" s="21" t="str">
        <f aca="false">IF(AND(F503="Bilbo",ISNUMBER(J503),ISNUMBER(K503)),ROUND(J503*(1+K503/30),1),"")</f>
        <v/>
      </c>
      <c r="W503" s="22"/>
      <c r="X503" s="21" t="str">
        <f aca="false">IF(AND(F503="Bilbo",E503&lt;&gt;"",G503&lt;&gt;"",H503&lt;&gt;""),E503&amp;"|"&amp;G503&amp;"|"&amp;H503,"")</f>
        <v/>
      </c>
      <c r="Y503" s="21" t="str">
        <f aca="false">IF(B503="","",IF(B503&lt;&gt;B502,1,0))</f>
        <v/>
      </c>
    </row>
    <row r="504" customFormat="false" ht="15" hidden="false" customHeight="true" outlineLevel="0" collapsed="false">
      <c r="A504" s="21" t="str">
        <f aca="false">IF(B504="","",ROW()-4)</f>
        <v/>
      </c>
      <c r="B504" s="22"/>
      <c r="C504" s="21" t="str">
        <f aca="false">IF(B504="","",CHOOSE(WEEKDAY(B504,2),"LUNES","MARTES","MIÉRCOLES","JUEVES","VIERNES","SÁBADO","DOMINGO"))</f>
        <v/>
      </c>
      <c r="M504" s="23"/>
      <c r="Q504" s="21" t="str">
        <f aca="false">IF(OR(K504="",N504=""),"",K504-N504)</f>
        <v/>
      </c>
      <c r="R504" s="21" t="str">
        <f aca="false">IF(OR(J504="",K504=""),"",J504*K504)</f>
        <v/>
      </c>
      <c r="S504" s="21" t="str">
        <f aca="false">IF(AND(ISNUMBER(J504),ISNUMBER(K504),F504&lt;&gt;"Calentamiento",F504&lt;&gt;"Bilbo"),IF(AND(K504&gt;0,K504&lt;=12),ROUND(J504*(1+(K504+IF(ISNUMBER(L504),L504,0))/30),1),""),"")</f>
        <v/>
      </c>
      <c r="T504" s="21" t="str">
        <f aca="false">IF(AND(F504="Bilbo",ISNUMBER(J504),ISNUMBER(K504)),ROUND(J504*(1+K504/30),1),"")</f>
        <v/>
      </c>
      <c r="W504" s="22"/>
      <c r="X504" s="21" t="str">
        <f aca="false">IF(AND(F504="Bilbo",E504&lt;&gt;"",G504&lt;&gt;"",H504&lt;&gt;""),E504&amp;"|"&amp;G504&amp;"|"&amp;H504,"")</f>
        <v/>
      </c>
      <c r="Y504" s="21" t="str">
        <f aca="false">IF(B504="","",IF(B504&lt;&gt;B503,1,0))</f>
        <v/>
      </c>
    </row>
    <row r="505" customFormat="false" ht="15" hidden="false" customHeight="true" outlineLevel="0" collapsed="false">
      <c r="A505" s="21" t="str">
        <f aca="false">IF(B505="","",ROW()-4)</f>
        <v/>
      </c>
      <c r="B505" s="22"/>
      <c r="C505" s="21" t="str">
        <f aca="false">IF(B505="","",CHOOSE(WEEKDAY(B505,2),"LUNES","MARTES","MIÉRCOLES","JUEVES","VIERNES","SÁBADO","DOMINGO"))</f>
        <v/>
      </c>
      <c r="M505" s="23"/>
      <c r="Q505" s="21" t="str">
        <f aca="false">IF(OR(K505="",N505=""),"",K505-N505)</f>
        <v/>
      </c>
      <c r="R505" s="21" t="str">
        <f aca="false">IF(OR(J505="",K505=""),"",J505*K505)</f>
        <v/>
      </c>
      <c r="S505" s="21" t="str">
        <f aca="false">IF(AND(ISNUMBER(J505),ISNUMBER(K505),F505&lt;&gt;"Calentamiento",F505&lt;&gt;"Bilbo"),IF(AND(K505&gt;0,K505&lt;=12),ROUND(J505*(1+(K505+IF(ISNUMBER(L505),L505,0))/30),1),""),"")</f>
        <v/>
      </c>
      <c r="T505" s="21" t="str">
        <f aca="false">IF(AND(F505="Bilbo",ISNUMBER(J505),ISNUMBER(K505)),ROUND(J505*(1+K505/30),1),"")</f>
        <v/>
      </c>
      <c r="W505" s="22"/>
      <c r="X505" s="21" t="str">
        <f aca="false">IF(AND(F505="Bilbo",E505&lt;&gt;"",G505&lt;&gt;"",H505&lt;&gt;""),E505&amp;"|"&amp;G505&amp;"|"&amp;H505,"")</f>
        <v/>
      </c>
      <c r="Y505" s="21" t="str">
        <f aca="false">IF(B505="","",IF(B505&lt;&gt;B504,1,0))</f>
        <v/>
      </c>
    </row>
    <row r="506" customFormat="false" ht="15" hidden="false" customHeight="true" outlineLevel="0" collapsed="false">
      <c r="A506" s="21" t="str">
        <f aca="false">IF(B506="","",ROW()-4)</f>
        <v/>
      </c>
      <c r="B506" s="22"/>
      <c r="C506" s="21" t="str">
        <f aca="false">IF(B506="","",CHOOSE(WEEKDAY(B506,2),"LUNES","MARTES","MIÉRCOLES","JUEVES","VIERNES","SÁBADO","DOMINGO"))</f>
        <v/>
      </c>
      <c r="M506" s="23"/>
      <c r="Q506" s="21" t="str">
        <f aca="false">IF(OR(K506="",N506=""),"",K506-N506)</f>
        <v/>
      </c>
      <c r="R506" s="21" t="str">
        <f aca="false">IF(OR(J506="",K506=""),"",J506*K506)</f>
        <v/>
      </c>
      <c r="S506" s="21" t="str">
        <f aca="false">IF(AND(ISNUMBER(J506),ISNUMBER(K506),F506&lt;&gt;"Calentamiento",F506&lt;&gt;"Bilbo"),IF(AND(K506&gt;0,K506&lt;=12),ROUND(J506*(1+(K506+IF(ISNUMBER(L506),L506,0))/30),1),""),"")</f>
        <v/>
      </c>
      <c r="T506" s="21" t="str">
        <f aca="false">IF(AND(F506="Bilbo",ISNUMBER(J506),ISNUMBER(K506)),ROUND(J506*(1+K506/30),1),"")</f>
        <v/>
      </c>
      <c r="W506" s="22"/>
      <c r="X506" s="21" t="str">
        <f aca="false">IF(AND(F506="Bilbo",E506&lt;&gt;"",G506&lt;&gt;"",H506&lt;&gt;""),E506&amp;"|"&amp;G506&amp;"|"&amp;H506,"")</f>
        <v/>
      </c>
      <c r="Y506" s="21" t="str">
        <f aca="false">IF(B506="","",IF(B506&lt;&gt;B505,1,0))</f>
        <v/>
      </c>
    </row>
    <row r="507" customFormat="false" ht="15" hidden="false" customHeight="true" outlineLevel="0" collapsed="false">
      <c r="A507" s="21" t="str">
        <f aca="false">IF(B507="","",ROW()-4)</f>
        <v/>
      </c>
      <c r="B507" s="22"/>
      <c r="C507" s="21" t="str">
        <f aca="false">IF(B507="","",CHOOSE(WEEKDAY(B507,2),"LUNES","MARTES","MIÉRCOLES","JUEVES","VIERNES","SÁBADO","DOMINGO"))</f>
        <v/>
      </c>
      <c r="M507" s="23"/>
      <c r="Q507" s="21" t="str">
        <f aca="false">IF(OR(K507="",N507=""),"",K507-N507)</f>
        <v/>
      </c>
      <c r="R507" s="21" t="str">
        <f aca="false">IF(OR(J507="",K507=""),"",J507*K507)</f>
        <v/>
      </c>
      <c r="S507" s="21" t="str">
        <f aca="false">IF(AND(ISNUMBER(J507),ISNUMBER(K507),F507&lt;&gt;"Calentamiento",F507&lt;&gt;"Bilbo"),IF(AND(K507&gt;0,K507&lt;=12),ROUND(J507*(1+(K507+IF(ISNUMBER(L507),L507,0))/30),1),""),"")</f>
        <v/>
      </c>
      <c r="T507" s="21" t="str">
        <f aca="false">IF(AND(F507="Bilbo",ISNUMBER(J507),ISNUMBER(K507)),ROUND(J507*(1+K507/30),1),"")</f>
        <v/>
      </c>
      <c r="W507" s="22"/>
      <c r="X507" s="21" t="str">
        <f aca="false">IF(AND(F507="Bilbo",E507&lt;&gt;"",G507&lt;&gt;"",H507&lt;&gt;""),E507&amp;"|"&amp;G507&amp;"|"&amp;H507,"")</f>
        <v/>
      </c>
      <c r="Y507" s="21" t="str">
        <f aca="false">IF(B507="","",IF(B507&lt;&gt;B506,1,0))</f>
        <v/>
      </c>
    </row>
    <row r="508" customFormat="false" ht="15" hidden="false" customHeight="true" outlineLevel="0" collapsed="false">
      <c r="A508" s="21" t="str">
        <f aca="false">IF(B508="","",ROW()-4)</f>
        <v/>
      </c>
      <c r="B508" s="22"/>
      <c r="C508" s="21" t="str">
        <f aca="false">IF(B508="","",CHOOSE(WEEKDAY(B508,2),"LUNES","MARTES","MIÉRCOLES","JUEVES","VIERNES","SÁBADO","DOMINGO"))</f>
        <v/>
      </c>
      <c r="M508" s="23"/>
      <c r="Q508" s="21" t="str">
        <f aca="false">IF(OR(K508="",N508=""),"",K508-N508)</f>
        <v/>
      </c>
      <c r="R508" s="21" t="str">
        <f aca="false">IF(OR(J508="",K508=""),"",J508*K508)</f>
        <v/>
      </c>
      <c r="S508" s="21" t="str">
        <f aca="false">IF(AND(ISNUMBER(J508),ISNUMBER(K508),F508&lt;&gt;"Calentamiento",F508&lt;&gt;"Bilbo"),IF(AND(K508&gt;0,K508&lt;=12),ROUND(J508*(1+(K508+IF(ISNUMBER(L508),L508,0))/30),1),""),"")</f>
        <v/>
      </c>
      <c r="T508" s="21" t="str">
        <f aca="false">IF(AND(F508="Bilbo",ISNUMBER(J508),ISNUMBER(K508)),ROUND(J508*(1+K508/30),1),"")</f>
        <v/>
      </c>
      <c r="W508" s="22"/>
      <c r="X508" s="21" t="str">
        <f aca="false">IF(AND(F508="Bilbo",E508&lt;&gt;"",G508&lt;&gt;"",H508&lt;&gt;""),E508&amp;"|"&amp;G508&amp;"|"&amp;H508,"")</f>
        <v/>
      </c>
      <c r="Y508" s="21" t="str">
        <f aca="false">IF(B508="","",IF(B508&lt;&gt;B507,1,0))</f>
        <v/>
      </c>
    </row>
    <row r="509" customFormat="false" ht="15" hidden="false" customHeight="true" outlineLevel="0" collapsed="false">
      <c r="A509" s="21" t="str">
        <f aca="false">IF(B509="","",ROW()-4)</f>
        <v/>
      </c>
      <c r="B509" s="22"/>
      <c r="C509" s="21" t="str">
        <f aca="false">IF(B509="","",CHOOSE(WEEKDAY(B509,2),"LUNES","MARTES","MIÉRCOLES","JUEVES","VIERNES","SÁBADO","DOMINGO"))</f>
        <v/>
      </c>
      <c r="M509" s="23"/>
      <c r="Q509" s="21" t="str">
        <f aca="false">IF(OR(K509="",N509=""),"",K509-N509)</f>
        <v/>
      </c>
      <c r="R509" s="21" t="str">
        <f aca="false">IF(OR(J509="",K509=""),"",J509*K509)</f>
        <v/>
      </c>
      <c r="S509" s="21" t="str">
        <f aca="false">IF(AND(ISNUMBER(J509),ISNUMBER(K509),F509&lt;&gt;"Calentamiento",F509&lt;&gt;"Bilbo"),IF(AND(K509&gt;0,K509&lt;=12),ROUND(J509*(1+(K509+IF(ISNUMBER(L509),L509,0))/30),1),""),"")</f>
        <v/>
      </c>
      <c r="T509" s="21" t="str">
        <f aca="false">IF(AND(F509="Bilbo",ISNUMBER(J509),ISNUMBER(K509)),ROUND(J509*(1+K509/30),1),"")</f>
        <v/>
      </c>
      <c r="W509" s="22"/>
      <c r="X509" s="21" t="str">
        <f aca="false">IF(AND(F509="Bilbo",E509&lt;&gt;"",G509&lt;&gt;"",H509&lt;&gt;""),E509&amp;"|"&amp;G509&amp;"|"&amp;H509,"")</f>
        <v/>
      </c>
      <c r="Y509" s="21" t="str">
        <f aca="false">IF(B509="","",IF(B509&lt;&gt;B508,1,0))</f>
        <v/>
      </c>
    </row>
    <row r="510" customFormat="false" ht="15" hidden="false" customHeight="true" outlineLevel="0" collapsed="false">
      <c r="A510" s="21" t="str">
        <f aca="false">IF(B510="","",ROW()-4)</f>
        <v/>
      </c>
      <c r="B510" s="22"/>
      <c r="C510" s="21" t="str">
        <f aca="false">IF(B510="","",CHOOSE(WEEKDAY(B510,2),"LUNES","MARTES","MIÉRCOLES","JUEVES","VIERNES","SÁBADO","DOMINGO"))</f>
        <v/>
      </c>
      <c r="M510" s="23"/>
      <c r="Q510" s="21" t="str">
        <f aca="false">IF(OR(K510="",N510=""),"",K510-N510)</f>
        <v/>
      </c>
      <c r="R510" s="21" t="str">
        <f aca="false">IF(OR(J510="",K510=""),"",J510*K510)</f>
        <v/>
      </c>
      <c r="S510" s="21" t="str">
        <f aca="false">IF(AND(ISNUMBER(J510),ISNUMBER(K510),F510&lt;&gt;"Calentamiento",F510&lt;&gt;"Bilbo"),IF(AND(K510&gt;0,K510&lt;=12),ROUND(J510*(1+(K510+IF(ISNUMBER(L510),L510,0))/30),1),""),"")</f>
        <v/>
      </c>
      <c r="T510" s="21" t="str">
        <f aca="false">IF(AND(F510="Bilbo",ISNUMBER(J510),ISNUMBER(K510)),ROUND(J510*(1+K510/30),1),"")</f>
        <v/>
      </c>
      <c r="W510" s="22"/>
      <c r="X510" s="21" t="str">
        <f aca="false">IF(AND(F510="Bilbo",E510&lt;&gt;"",G510&lt;&gt;"",H510&lt;&gt;""),E510&amp;"|"&amp;G510&amp;"|"&amp;H510,"")</f>
        <v/>
      </c>
      <c r="Y510" s="21" t="str">
        <f aca="false">IF(B510="","",IF(B510&lt;&gt;B509,1,0))</f>
        <v/>
      </c>
    </row>
    <row r="511" customFormat="false" ht="15" hidden="false" customHeight="true" outlineLevel="0" collapsed="false">
      <c r="A511" s="21" t="str">
        <f aca="false">IF(B511="","",ROW()-4)</f>
        <v/>
      </c>
      <c r="B511" s="22"/>
      <c r="C511" s="21" t="str">
        <f aca="false">IF(B511="","",CHOOSE(WEEKDAY(B511,2),"LUNES","MARTES","MIÉRCOLES","JUEVES","VIERNES","SÁBADO","DOMINGO"))</f>
        <v/>
      </c>
      <c r="M511" s="23"/>
      <c r="Q511" s="21" t="str">
        <f aca="false">IF(OR(K511="",N511=""),"",K511-N511)</f>
        <v/>
      </c>
      <c r="R511" s="21" t="str">
        <f aca="false">IF(OR(J511="",K511=""),"",J511*K511)</f>
        <v/>
      </c>
      <c r="S511" s="21" t="str">
        <f aca="false">IF(AND(ISNUMBER(J511),ISNUMBER(K511),F511&lt;&gt;"Calentamiento",F511&lt;&gt;"Bilbo"),IF(AND(K511&gt;0,K511&lt;=12),ROUND(J511*(1+(K511+IF(ISNUMBER(L511),L511,0))/30),1),""),"")</f>
        <v/>
      </c>
      <c r="T511" s="21" t="str">
        <f aca="false">IF(AND(F511="Bilbo",ISNUMBER(J511),ISNUMBER(K511)),ROUND(J511*(1+K511/30),1),"")</f>
        <v/>
      </c>
      <c r="W511" s="22"/>
      <c r="X511" s="21" t="str">
        <f aca="false">IF(AND(F511="Bilbo",E511&lt;&gt;"",G511&lt;&gt;"",H511&lt;&gt;""),E511&amp;"|"&amp;G511&amp;"|"&amp;H511,"")</f>
        <v/>
      </c>
      <c r="Y511" s="21" t="str">
        <f aca="false">IF(B511="","",IF(B511&lt;&gt;B510,1,0))</f>
        <v/>
      </c>
    </row>
    <row r="512" customFormat="false" ht="15" hidden="false" customHeight="true" outlineLevel="0" collapsed="false">
      <c r="A512" s="21" t="str">
        <f aca="false">IF(B512="","",ROW()-4)</f>
        <v/>
      </c>
      <c r="B512" s="22"/>
      <c r="C512" s="21" t="str">
        <f aca="false">IF(B512="","",CHOOSE(WEEKDAY(B512,2),"LUNES","MARTES","MIÉRCOLES","JUEVES","VIERNES","SÁBADO","DOMINGO"))</f>
        <v/>
      </c>
      <c r="M512" s="23"/>
      <c r="Q512" s="21" t="str">
        <f aca="false">IF(OR(K512="",N512=""),"",K512-N512)</f>
        <v/>
      </c>
      <c r="R512" s="21" t="str">
        <f aca="false">IF(OR(J512="",K512=""),"",J512*K512)</f>
        <v/>
      </c>
      <c r="S512" s="21" t="str">
        <f aca="false">IF(AND(ISNUMBER(J512),ISNUMBER(K512),F512&lt;&gt;"Calentamiento",F512&lt;&gt;"Bilbo"),IF(AND(K512&gt;0,K512&lt;=12),ROUND(J512*(1+(K512+IF(ISNUMBER(L512),L512,0))/30),1),""),"")</f>
        <v/>
      </c>
      <c r="T512" s="21" t="str">
        <f aca="false">IF(AND(F512="Bilbo",ISNUMBER(J512),ISNUMBER(K512)),ROUND(J512*(1+K512/30),1),"")</f>
        <v/>
      </c>
      <c r="W512" s="22"/>
      <c r="X512" s="21" t="str">
        <f aca="false">IF(AND(F512="Bilbo",E512&lt;&gt;"",G512&lt;&gt;"",H512&lt;&gt;""),E512&amp;"|"&amp;G512&amp;"|"&amp;H512,"")</f>
        <v/>
      </c>
      <c r="Y512" s="21" t="str">
        <f aca="false">IF(B512="","",IF(B512&lt;&gt;B511,1,0))</f>
        <v/>
      </c>
    </row>
    <row r="513" customFormat="false" ht="15" hidden="false" customHeight="true" outlineLevel="0" collapsed="false">
      <c r="A513" s="21" t="str">
        <f aca="false">IF(B513="","",ROW()-4)</f>
        <v/>
      </c>
      <c r="B513" s="22"/>
      <c r="C513" s="21" t="str">
        <f aca="false">IF(B513="","",CHOOSE(WEEKDAY(B513,2),"LUNES","MARTES","MIÉRCOLES","JUEVES","VIERNES","SÁBADO","DOMINGO"))</f>
        <v/>
      </c>
      <c r="M513" s="23"/>
      <c r="Q513" s="21" t="str">
        <f aca="false">IF(OR(K513="",N513=""),"",K513-N513)</f>
        <v/>
      </c>
      <c r="R513" s="21" t="str">
        <f aca="false">IF(OR(J513="",K513=""),"",J513*K513)</f>
        <v/>
      </c>
      <c r="S513" s="21" t="str">
        <f aca="false">IF(AND(ISNUMBER(J513),ISNUMBER(K513),F513&lt;&gt;"Calentamiento",F513&lt;&gt;"Bilbo"),IF(AND(K513&gt;0,K513&lt;=12),ROUND(J513*(1+(K513+IF(ISNUMBER(L513),L513,0))/30),1),""),"")</f>
        <v/>
      </c>
      <c r="T513" s="21" t="str">
        <f aca="false">IF(AND(F513="Bilbo",ISNUMBER(J513),ISNUMBER(K513)),ROUND(J513*(1+K513/30),1),"")</f>
        <v/>
      </c>
      <c r="W513" s="22"/>
      <c r="X513" s="21" t="str">
        <f aca="false">IF(AND(F513="Bilbo",E513&lt;&gt;"",G513&lt;&gt;"",H513&lt;&gt;""),E513&amp;"|"&amp;G513&amp;"|"&amp;H513,"")</f>
        <v/>
      </c>
      <c r="Y513" s="21" t="str">
        <f aca="false">IF(B513="","",IF(B513&lt;&gt;B512,1,0))</f>
        <v/>
      </c>
    </row>
    <row r="514" customFormat="false" ht="15" hidden="false" customHeight="true" outlineLevel="0" collapsed="false">
      <c r="A514" s="21" t="str">
        <f aca="false">IF(B514="","",ROW()-4)</f>
        <v/>
      </c>
      <c r="B514" s="22"/>
      <c r="C514" s="21" t="str">
        <f aca="false">IF(B514="","",CHOOSE(WEEKDAY(B514,2),"LUNES","MARTES","MIÉRCOLES","JUEVES","VIERNES","SÁBADO","DOMINGO"))</f>
        <v/>
      </c>
      <c r="M514" s="23"/>
      <c r="Q514" s="21" t="str">
        <f aca="false">IF(OR(K514="",N514=""),"",K514-N514)</f>
        <v/>
      </c>
      <c r="R514" s="21" t="str">
        <f aca="false">IF(OR(J514="",K514=""),"",J514*K514)</f>
        <v/>
      </c>
      <c r="S514" s="21" t="str">
        <f aca="false">IF(AND(ISNUMBER(J514),ISNUMBER(K514),F514&lt;&gt;"Calentamiento",F514&lt;&gt;"Bilbo"),IF(AND(K514&gt;0,K514&lt;=12),ROUND(J514*(1+(K514+IF(ISNUMBER(L514),L514,0))/30),1),""),"")</f>
        <v/>
      </c>
      <c r="T514" s="21" t="str">
        <f aca="false">IF(AND(F514="Bilbo",ISNUMBER(J514),ISNUMBER(K514)),ROUND(J514*(1+K514/30),1),"")</f>
        <v/>
      </c>
      <c r="W514" s="22"/>
      <c r="X514" s="21" t="str">
        <f aca="false">IF(AND(F514="Bilbo",E514&lt;&gt;"",G514&lt;&gt;"",H514&lt;&gt;""),E514&amp;"|"&amp;G514&amp;"|"&amp;H514,"")</f>
        <v/>
      </c>
      <c r="Y514" s="21" t="str">
        <f aca="false">IF(B514="","",IF(B514&lt;&gt;B513,1,0))</f>
        <v/>
      </c>
    </row>
    <row r="515" customFormat="false" ht="15" hidden="false" customHeight="true" outlineLevel="0" collapsed="false">
      <c r="A515" s="21" t="str">
        <f aca="false">IF(B515="","",ROW()-4)</f>
        <v/>
      </c>
      <c r="B515" s="22"/>
      <c r="C515" s="21" t="str">
        <f aca="false">IF(B515="","",CHOOSE(WEEKDAY(B515,2),"LUNES","MARTES","MIÉRCOLES","JUEVES","VIERNES","SÁBADO","DOMINGO"))</f>
        <v/>
      </c>
      <c r="M515" s="23"/>
      <c r="Q515" s="21" t="str">
        <f aca="false">IF(OR(K515="",N515=""),"",K515-N515)</f>
        <v/>
      </c>
      <c r="R515" s="21" t="str">
        <f aca="false">IF(OR(J515="",K515=""),"",J515*K515)</f>
        <v/>
      </c>
      <c r="S515" s="21" t="str">
        <f aca="false">IF(AND(ISNUMBER(J515),ISNUMBER(K515),F515&lt;&gt;"Calentamiento",F515&lt;&gt;"Bilbo"),IF(AND(K515&gt;0,K515&lt;=12),ROUND(J515*(1+(K515+IF(ISNUMBER(L515),L515,0))/30),1),""),"")</f>
        <v/>
      </c>
      <c r="T515" s="21" t="str">
        <f aca="false">IF(AND(F515="Bilbo",ISNUMBER(J515),ISNUMBER(K515)),ROUND(J515*(1+K515/30),1),"")</f>
        <v/>
      </c>
      <c r="W515" s="22"/>
      <c r="X515" s="21" t="str">
        <f aca="false">IF(AND(F515="Bilbo",E515&lt;&gt;"",G515&lt;&gt;"",H515&lt;&gt;""),E515&amp;"|"&amp;G515&amp;"|"&amp;H515,"")</f>
        <v/>
      </c>
      <c r="Y515" s="21" t="str">
        <f aca="false">IF(B515="","",IF(B515&lt;&gt;B514,1,0))</f>
        <v/>
      </c>
    </row>
    <row r="516" customFormat="false" ht="15" hidden="false" customHeight="true" outlineLevel="0" collapsed="false">
      <c r="A516" s="21" t="str">
        <f aca="false">IF(B516="","",ROW()-4)</f>
        <v/>
      </c>
      <c r="B516" s="22"/>
      <c r="C516" s="21" t="str">
        <f aca="false">IF(B516="","",CHOOSE(WEEKDAY(B516,2),"LUNES","MARTES","MIÉRCOLES","JUEVES","VIERNES","SÁBADO","DOMINGO"))</f>
        <v/>
      </c>
      <c r="M516" s="23"/>
      <c r="Q516" s="21" t="str">
        <f aca="false">IF(OR(K516="",N516=""),"",K516-N516)</f>
        <v/>
      </c>
      <c r="R516" s="21" t="str">
        <f aca="false">IF(OR(J516="",K516=""),"",J516*K516)</f>
        <v/>
      </c>
      <c r="S516" s="21" t="str">
        <f aca="false">IF(AND(ISNUMBER(J516),ISNUMBER(K516),F516&lt;&gt;"Calentamiento",F516&lt;&gt;"Bilbo"),IF(AND(K516&gt;0,K516&lt;=12),ROUND(J516*(1+(K516+IF(ISNUMBER(L516),L516,0))/30),1),""),"")</f>
        <v/>
      </c>
      <c r="T516" s="21" t="str">
        <f aca="false">IF(AND(F516="Bilbo",ISNUMBER(J516),ISNUMBER(K516)),ROUND(J516*(1+K516/30),1),"")</f>
        <v/>
      </c>
      <c r="W516" s="22"/>
      <c r="X516" s="21" t="str">
        <f aca="false">IF(AND(F516="Bilbo",E516&lt;&gt;"",G516&lt;&gt;"",H516&lt;&gt;""),E516&amp;"|"&amp;G516&amp;"|"&amp;H516,"")</f>
        <v/>
      </c>
      <c r="Y516" s="21" t="str">
        <f aca="false">IF(B516="","",IF(B516&lt;&gt;B515,1,0))</f>
        <v/>
      </c>
    </row>
    <row r="517" customFormat="false" ht="15" hidden="false" customHeight="true" outlineLevel="0" collapsed="false">
      <c r="A517" s="21" t="str">
        <f aca="false">IF(B517="","",ROW()-4)</f>
        <v/>
      </c>
      <c r="B517" s="22"/>
      <c r="C517" s="21" t="str">
        <f aca="false">IF(B517="","",CHOOSE(WEEKDAY(B517,2),"LUNES","MARTES","MIÉRCOLES","JUEVES","VIERNES","SÁBADO","DOMINGO"))</f>
        <v/>
      </c>
      <c r="M517" s="23"/>
      <c r="Q517" s="21" t="str">
        <f aca="false">IF(OR(K517="",N517=""),"",K517-N517)</f>
        <v/>
      </c>
      <c r="R517" s="21" t="str">
        <f aca="false">IF(OR(J517="",K517=""),"",J517*K517)</f>
        <v/>
      </c>
      <c r="S517" s="21" t="str">
        <f aca="false">IF(AND(ISNUMBER(J517),ISNUMBER(K517),F517&lt;&gt;"Calentamiento",F517&lt;&gt;"Bilbo"),IF(AND(K517&gt;0,K517&lt;=12),ROUND(J517*(1+(K517+IF(ISNUMBER(L517),L517,0))/30),1),""),"")</f>
        <v/>
      </c>
      <c r="T517" s="21" t="str">
        <f aca="false">IF(AND(F517="Bilbo",ISNUMBER(J517),ISNUMBER(K517)),ROUND(J517*(1+K517/30),1),"")</f>
        <v/>
      </c>
      <c r="W517" s="22"/>
      <c r="X517" s="21" t="str">
        <f aca="false">IF(AND(F517="Bilbo",E517&lt;&gt;"",G517&lt;&gt;"",H517&lt;&gt;""),E517&amp;"|"&amp;G517&amp;"|"&amp;H517,"")</f>
        <v/>
      </c>
      <c r="Y517" s="21" t="str">
        <f aca="false">IF(B517="","",IF(B517&lt;&gt;B516,1,0))</f>
        <v/>
      </c>
    </row>
    <row r="518" customFormat="false" ht="15" hidden="false" customHeight="true" outlineLevel="0" collapsed="false">
      <c r="A518" s="21" t="str">
        <f aca="false">IF(B518="","",ROW()-4)</f>
        <v/>
      </c>
      <c r="B518" s="22"/>
      <c r="C518" s="21" t="str">
        <f aca="false">IF(B518="","",CHOOSE(WEEKDAY(B518,2),"LUNES","MARTES","MIÉRCOLES","JUEVES","VIERNES","SÁBADO","DOMINGO"))</f>
        <v/>
      </c>
      <c r="M518" s="23"/>
      <c r="Q518" s="21" t="str">
        <f aca="false">IF(OR(K518="",N518=""),"",K518-N518)</f>
        <v/>
      </c>
      <c r="R518" s="21" t="str">
        <f aca="false">IF(OR(J518="",K518=""),"",J518*K518)</f>
        <v/>
      </c>
      <c r="S518" s="21" t="str">
        <f aca="false">IF(AND(ISNUMBER(J518),ISNUMBER(K518),F518&lt;&gt;"Calentamiento",F518&lt;&gt;"Bilbo"),IF(AND(K518&gt;0,K518&lt;=12),ROUND(J518*(1+(K518+IF(ISNUMBER(L518),L518,0))/30),1),""),"")</f>
        <v/>
      </c>
      <c r="T518" s="21" t="str">
        <f aca="false">IF(AND(F518="Bilbo",ISNUMBER(J518),ISNUMBER(K518)),ROUND(J518*(1+K518/30),1),"")</f>
        <v/>
      </c>
      <c r="W518" s="22"/>
      <c r="X518" s="21" t="str">
        <f aca="false">IF(AND(F518="Bilbo",E518&lt;&gt;"",G518&lt;&gt;"",H518&lt;&gt;""),E518&amp;"|"&amp;G518&amp;"|"&amp;H518,"")</f>
        <v/>
      </c>
      <c r="Y518" s="21" t="str">
        <f aca="false">IF(B518="","",IF(B518&lt;&gt;B517,1,0))</f>
        <v/>
      </c>
    </row>
    <row r="519" customFormat="false" ht="15" hidden="false" customHeight="true" outlineLevel="0" collapsed="false">
      <c r="A519" s="21" t="str">
        <f aca="false">IF(B519="","",ROW()-4)</f>
        <v/>
      </c>
      <c r="B519" s="22"/>
      <c r="C519" s="21" t="str">
        <f aca="false">IF(B519="","",CHOOSE(WEEKDAY(B519,2),"LUNES","MARTES","MIÉRCOLES","JUEVES","VIERNES","SÁBADO","DOMINGO"))</f>
        <v/>
      </c>
      <c r="M519" s="23"/>
      <c r="Q519" s="21" t="str">
        <f aca="false">IF(OR(K519="",N519=""),"",K519-N519)</f>
        <v/>
      </c>
      <c r="R519" s="21" t="str">
        <f aca="false">IF(OR(J519="",K519=""),"",J519*K519)</f>
        <v/>
      </c>
      <c r="S519" s="21" t="str">
        <f aca="false">IF(AND(ISNUMBER(J519),ISNUMBER(K519),F519&lt;&gt;"Calentamiento",F519&lt;&gt;"Bilbo"),IF(AND(K519&gt;0,K519&lt;=12),ROUND(J519*(1+(K519+IF(ISNUMBER(L519),L519,0))/30),1),""),"")</f>
        <v/>
      </c>
      <c r="T519" s="21" t="str">
        <f aca="false">IF(AND(F519="Bilbo",ISNUMBER(J519),ISNUMBER(K519)),ROUND(J519*(1+K519/30),1),"")</f>
        <v/>
      </c>
      <c r="W519" s="22"/>
      <c r="X519" s="21" t="str">
        <f aca="false">IF(AND(F519="Bilbo",E519&lt;&gt;"",G519&lt;&gt;"",H519&lt;&gt;""),E519&amp;"|"&amp;G519&amp;"|"&amp;H519,"")</f>
        <v/>
      </c>
      <c r="Y519" s="21" t="str">
        <f aca="false">IF(B519="","",IF(B519&lt;&gt;B518,1,0))</f>
        <v/>
      </c>
    </row>
    <row r="520" customFormat="false" ht="15" hidden="false" customHeight="true" outlineLevel="0" collapsed="false">
      <c r="A520" s="21" t="str">
        <f aca="false">IF(B520="","",ROW()-4)</f>
        <v/>
      </c>
      <c r="B520" s="22"/>
      <c r="C520" s="21" t="str">
        <f aca="false">IF(B520="","",CHOOSE(WEEKDAY(B520,2),"LUNES","MARTES","MIÉRCOLES","JUEVES","VIERNES","SÁBADO","DOMINGO"))</f>
        <v/>
      </c>
      <c r="M520" s="23"/>
      <c r="Q520" s="21" t="str">
        <f aca="false">IF(OR(K520="",N520=""),"",K520-N520)</f>
        <v/>
      </c>
      <c r="R520" s="21" t="str">
        <f aca="false">IF(OR(J520="",K520=""),"",J520*K520)</f>
        <v/>
      </c>
      <c r="S520" s="21" t="str">
        <f aca="false">IF(AND(ISNUMBER(J520),ISNUMBER(K520),F520&lt;&gt;"Calentamiento",F520&lt;&gt;"Bilbo"),IF(AND(K520&gt;0,K520&lt;=12),ROUND(J520*(1+(K520+IF(ISNUMBER(L520),L520,0))/30),1),""),"")</f>
        <v/>
      </c>
      <c r="T520" s="21" t="str">
        <f aca="false">IF(AND(F520="Bilbo",ISNUMBER(J520),ISNUMBER(K520)),ROUND(J520*(1+K520/30),1),"")</f>
        <v/>
      </c>
      <c r="W520" s="22"/>
      <c r="X520" s="21" t="str">
        <f aca="false">IF(AND(F520="Bilbo",E520&lt;&gt;"",G520&lt;&gt;"",H520&lt;&gt;""),E520&amp;"|"&amp;G520&amp;"|"&amp;H520,"")</f>
        <v/>
      </c>
      <c r="Y520" s="21" t="str">
        <f aca="false">IF(B520="","",IF(B520&lt;&gt;B519,1,0))</f>
        <v/>
      </c>
    </row>
    <row r="521" customFormat="false" ht="15" hidden="false" customHeight="true" outlineLevel="0" collapsed="false">
      <c r="A521" s="21" t="str">
        <f aca="false">IF(B521="","",ROW()-4)</f>
        <v/>
      </c>
      <c r="B521" s="22"/>
      <c r="C521" s="21" t="str">
        <f aca="false">IF(B521="","",CHOOSE(WEEKDAY(B521,2),"LUNES","MARTES","MIÉRCOLES","JUEVES","VIERNES","SÁBADO","DOMINGO"))</f>
        <v/>
      </c>
      <c r="M521" s="23"/>
      <c r="Q521" s="21" t="str">
        <f aca="false">IF(OR(K521="",N521=""),"",K521-N521)</f>
        <v/>
      </c>
      <c r="R521" s="21" t="str">
        <f aca="false">IF(OR(J521="",K521=""),"",J521*K521)</f>
        <v/>
      </c>
      <c r="S521" s="21" t="str">
        <f aca="false">IF(AND(ISNUMBER(J521),ISNUMBER(K521),F521&lt;&gt;"Calentamiento",F521&lt;&gt;"Bilbo"),IF(AND(K521&gt;0,K521&lt;=12),ROUND(J521*(1+(K521+IF(ISNUMBER(L521),L521,0))/30),1),""),"")</f>
        <v/>
      </c>
      <c r="T521" s="21" t="str">
        <f aca="false">IF(AND(F521="Bilbo",ISNUMBER(J521),ISNUMBER(K521)),ROUND(J521*(1+K521/30),1),"")</f>
        <v/>
      </c>
      <c r="W521" s="22"/>
      <c r="X521" s="21" t="str">
        <f aca="false">IF(AND(F521="Bilbo",E521&lt;&gt;"",G521&lt;&gt;"",H521&lt;&gt;""),E521&amp;"|"&amp;G521&amp;"|"&amp;H521,"")</f>
        <v/>
      </c>
      <c r="Y521" s="21" t="str">
        <f aca="false">IF(B521="","",IF(B521&lt;&gt;B520,1,0))</f>
        <v/>
      </c>
    </row>
    <row r="522" customFormat="false" ht="15" hidden="false" customHeight="true" outlineLevel="0" collapsed="false">
      <c r="A522" s="21" t="str">
        <f aca="false">IF(B522="","",ROW()-4)</f>
        <v/>
      </c>
      <c r="B522" s="22"/>
      <c r="C522" s="21" t="str">
        <f aca="false">IF(B522="","",CHOOSE(WEEKDAY(B522,2),"LUNES","MARTES","MIÉRCOLES","JUEVES","VIERNES","SÁBADO","DOMINGO"))</f>
        <v/>
      </c>
      <c r="M522" s="23"/>
      <c r="Q522" s="21" t="str">
        <f aca="false">IF(OR(K522="",N522=""),"",K522-N522)</f>
        <v/>
      </c>
      <c r="R522" s="21" t="str">
        <f aca="false">IF(OR(J522="",K522=""),"",J522*K522)</f>
        <v/>
      </c>
      <c r="S522" s="21" t="str">
        <f aca="false">IF(AND(ISNUMBER(J522),ISNUMBER(K522),F522&lt;&gt;"Calentamiento",F522&lt;&gt;"Bilbo"),IF(AND(K522&gt;0,K522&lt;=12),ROUND(J522*(1+(K522+IF(ISNUMBER(L522),L522,0))/30),1),""),"")</f>
        <v/>
      </c>
      <c r="T522" s="21" t="str">
        <f aca="false">IF(AND(F522="Bilbo",ISNUMBER(J522),ISNUMBER(K522)),ROUND(J522*(1+K522/30),1),"")</f>
        <v/>
      </c>
      <c r="W522" s="22"/>
      <c r="X522" s="21" t="str">
        <f aca="false">IF(AND(F522="Bilbo",E522&lt;&gt;"",G522&lt;&gt;"",H522&lt;&gt;""),E522&amp;"|"&amp;G522&amp;"|"&amp;H522,"")</f>
        <v/>
      </c>
      <c r="Y522" s="21" t="str">
        <f aca="false">IF(B522="","",IF(B522&lt;&gt;B521,1,0))</f>
        <v/>
      </c>
    </row>
    <row r="523" customFormat="false" ht="15" hidden="false" customHeight="true" outlineLevel="0" collapsed="false">
      <c r="A523" s="21" t="str">
        <f aca="false">IF(B523="","",ROW()-4)</f>
        <v/>
      </c>
      <c r="B523" s="22"/>
      <c r="C523" s="21" t="str">
        <f aca="false">IF(B523="","",CHOOSE(WEEKDAY(B523,2),"LUNES","MARTES","MIÉRCOLES","JUEVES","VIERNES","SÁBADO","DOMINGO"))</f>
        <v/>
      </c>
      <c r="M523" s="23"/>
      <c r="Q523" s="21" t="str">
        <f aca="false">IF(OR(K523="",N523=""),"",K523-N523)</f>
        <v/>
      </c>
      <c r="R523" s="21" t="str">
        <f aca="false">IF(OR(J523="",K523=""),"",J523*K523)</f>
        <v/>
      </c>
      <c r="S523" s="21" t="str">
        <f aca="false">IF(AND(ISNUMBER(J523),ISNUMBER(K523),F523&lt;&gt;"Calentamiento",F523&lt;&gt;"Bilbo"),IF(AND(K523&gt;0,K523&lt;=12),ROUND(J523*(1+(K523+IF(ISNUMBER(L523),L523,0))/30),1),""),"")</f>
        <v/>
      </c>
      <c r="T523" s="21" t="str">
        <f aca="false">IF(AND(F523="Bilbo",ISNUMBER(J523),ISNUMBER(K523)),ROUND(J523*(1+K523/30),1),"")</f>
        <v/>
      </c>
      <c r="W523" s="22"/>
      <c r="X523" s="21" t="str">
        <f aca="false">IF(AND(F523="Bilbo",E523&lt;&gt;"",G523&lt;&gt;"",H523&lt;&gt;""),E523&amp;"|"&amp;G523&amp;"|"&amp;H523,"")</f>
        <v/>
      </c>
      <c r="Y523" s="21" t="str">
        <f aca="false">IF(B523="","",IF(B523&lt;&gt;B522,1,0))</f>
        <v/>
      </c>
    </row>
    <row r="524" customFormat="false" ht="15" hidden="false" customHeight="true" outlineLevel="0" collapsed="false">
      <c r="A524" s="21" t="str">
        <f aca="false">IF(B524="","",ROW()-4)</f>
        <v/>
      </c>
      <c r="B524" s="22"/>
      <c r="C524" s="21" t="str">
        <f aca="false">IF(B524="","",CHOOSE(WEEKDAY(B524,2),"LUNES","MARTES","MIÉRCOLES","JUEVES","VIERNES","SÁBADO","DOMINGO"))</f>
        <v/>
      </c>
      <c r="M524" s="23"/>
      <c r="Q524" s="21" t="str">
        <f aca="false">IF(OR(K524="",N524=""),"",K524-N524)</f>
        <v/>
      </c>
      <c r="R524" s="21" t="str">
        <f aca="false">IF(OR(J524="",K524=""),"",J524*K524)</f>
        <v/>
      </c>
      <c r="S524" s="21" t="str">
        <f aca="false">IF(AND(ISNUMBER(J524),ISNUMBER(K524),F524&lt;&gt;"Calentamiento",F524&lt;&gt;"Bilbo"),IF(AND(K524&gt;0,K524&lt;=12),ROUND(J524*(1+(K524+IF(ISNUMBER(L524),L524,0))/30),1),""),"")</f>
        <v/>
      </c>
      <c r="T524" s="21" t="str">
        <f aca="false">IF(AND(F524="Bilbo",ISNUMBER(J524),ISNUMBER(K524)),ROUND(J524*(1+K524/30),1),"")</f>
        <v/>
      </c>
      <c r="W524" s="22"/>
      <c r="X524" s="21" t="str">
        <f aca="false">IF(AND(F524="Bilbo",E524&lt;&gt;"",G524&lt;&gt;"",H524&lt;&gt;""),E524&amp;"|"&amp;G524&amp;"|"&amp;H524,"")</f>
        <v/>
      </c>
      <c r="Y524" s="21" t="str">
        <f aca="false">IF(B524="","",IF(B524&lt;&gt;B523,1,0))</f>
        <v/>
      </c>
    </row>
    <row r="525" customFormat="false" ht="15" hidden="false" customHeight="true" outlineLevel="0" collapsed="false">
      <c r="A525" s="21" t="str">
        <f aca="false">IF(B525="","",ROW()-4)</f>
        <v/>
      </c>
      <c r="B525" s="22"/>
      <c r="C525" s="21" t="str">
        <f aca="false">IF(B525="","",CHOOSE(WEEKDAY(B525,2),"LUNES","MARTES","MIÉRCOLES","JUEVES","VIERNES","SÁBADO","DOMINGO"))</f>
        <v/>
      </c>
      <c r="M525" s="23"/>
      <c r="Q525" s="21" t="str">
        <f aca="false">IF(OR(K525="",N525=""),"",K525-N525)</f>
        <v/>
      </c>
      <c r="R525" s="21" t="str">
        <f aca="false">IF(OR(J525="",K525=""),"",J525*K525)</f>
        <v/>
      </c>
      <c r="S525" s="21" t="str">
        <f aca="false">IF(AND(ISNUMBER(J525),ISNUMBER(K525),F525&lt;&gt;"Calentamiento",F525&lt;&gt;"Bilbo"),IF(AND(K525&gt;0,K525&lt;=12),ROUND(J525*(1+(K525+IF(ISNUMBER(L525),L525,0))/30),1),""),"")</f>
        <v/>
      </c>
      <c r="T525" s="21" t="str">
        <f aca="false">IF(AND(F525="Bilbo",ISNUMBER(J525),ISNUMBER(K525)),ROUND(J525*(1+K525/30),1),"")</f>
        <v/>
      </c>
      <c r="W525" s="22"/>
      <c r="X525" s="21" t="str">
        <f aca="false">IF(AND(F525="Bilbo",E525&lt;&gt;"",G525&lt;&gt;"",H525&lt;&gt;""),E525&amp;"|"&amp;G525&amp;"|"&amp;H525,"")</f>
        <v/>
      </c>
      <c r="Y525" s="21" t="str">
        <f aca="false">IF(B525="","",IF(B525&lt;&gt;B524,1,0))</f>
        <v/>
      </c>
    </row>
    <row r="526" customFormat="false" ht="15" hidden="false" customHeight="true" outlineLevel="0" collapsed="false">
      <c r="A526" s="21" t="str">
        <f aca="false">IF(B526="","",ROW()-4)</f>
        <v/>
      </c>
      <c r="B526" s="22"/>
      <c r="C526" s="21" t="str">
        <f aca="false">IF(B526="","",CHOOSE(WEEKDAY(B526,2),"LUNES","MARTES","MIÉRCOLES","JUEVES","VIERNES","SÁBADO","DOMINGO"))</f>
        <v/>
      </c>
      <c r="M526" s="23"/>
      <c r="Q526" s="21" t="str">
        <f aca="false">IF(OR(K526="",N526=""),"",K526-N526)</f>
        <v/>
      </c>
      <c r="R526" s="21" t="str">
        <f aca="false">IF(OR(J526="",K526=""),"",J526*K526)</f>
        <v/>
      </c>
      <c r="S526" s="21" t="str">
        <f aca="false">IF(AND(ISNUMBER(J526),ISNUMBER(K526),F526&lt;&gt;"Calentamiento",F526&lt;&gt;"Bilbo"),IF(AND(K526&gt;0,K526&lt;=12),ROUND(J526*(1+(K526+IF(ISNUMBER(L526),L526,0))/30),1),""),"")</f>
        <v/>
      </c>
      <c r="T526" s="21" t="str">
        <f aca="false">IF(AND(F526="Bilbo",ISNUMBER(J526),ISNUMBER(K526)),ROUND(J526*(1+K526/30),1),"")</f>
        <v/>
      </c>
      <c r="W526" s="22"/>
      <c r="X526" s="21" t="str">
        <f aca="false">IF(AND(F526="Bilbo",E526&lt;&gt;"",G526&lt;&gt;"",H526&lt;&gt;""),E526&amp;"|"&amp;G526&amp;"|"&amp;H526,"")</f>
        <v/>
      </c>
      <c r="Y526" s="21" t="str">
        <f aca="false">IF(B526="","",IF(B526&lt;&gt;B525,1,0))</f>
        <v/>
      </c>
    </row>
    <row r="527" customFormat="false" ht="15" hidden="false" customHeight="true" outlineLevel="0" collapsed="false">
      <c r="A527" s="21" t="str">
        <f aca="false">IF(B527="","",ROW()-4)</f>
        <v/>
      </c>
      <c r="B527" s="22"/>
      <c r="C527" s="21" t="str">
        <f aca="false">IF(B527="","",CHOOSE(WEEKDAY(B527,2),"LUNES","MARTES","MIÉRCOLES","JUEVES","VIERNES","SÁBADO","DOMINGO"))</f>
        <v/>
      </c>
      <c r="M527" s="23"/>
      <c r="Q527" s="21" t="str">
        <f aca="false">IF(OR(K527="",N527=""),"",K527-N527)</f>
        <v/>
      </c>
      <c r="R527" s="21" t="str">
        <f aca="false">IF(OR(J527="",K527=""),"",J527*K527)</f>
        <v/>
      </c>
      <c r="S527" s="21" t="str">
        <f aca="false">IF(AND(ISNUMBER(J527),ISNUMBER(K527),F527&lt;&gt;"Calentamiento",F527&lt;&gt;"Bilbo"),IF(AND(K527&gt;0,K527&lt;=12),ROUND(J527*(1+(K527+IF(ISNUMBER(L527),L527,0))/30),1),""),"")</f>
        <v/>
      </c>
      <c r="T527" s="21" t="str">
        <f aca="false">IF(AND(F527="Bilbo",ISNUMBER(J527),ISNUMBER(K527)),ROUND(J527*(1+K527/30),1),"")</f>
        <v/>
      </c>
      <c r="W527" s="22"/>
      <c r="X527" s="21" t="str">
        <f aca="false">IF(AND(F527="Bilbo",E527&lt;&gt;"",G527&lt;&gt;"",H527&lt;&gt;""),E527&amp;"|"&amp;G527&amp;"|"&amp;H527,"")</f>
        <v/>
      </c>
      <c r="Y527" s="21" t="str">
        <f aca="false">IF(B527="","",IF(B527&lt;&gt;B526,1,0))</f>
        <v/>
      </c>
    </row>
    <row r="528" customFormat="false" ht="15" hidden="false" customHeight="true" outlineLevel="0" collapsed="false">
      <c r="A528" s="21" t="str">
        <f aca="false">IF(B528="","",ROW()-4)</f>
        <v/>
      </c>
      <c r="B528" s="22"/>
      <c r="C528" s="21" t="str">
        <f aca="false">IF(B528="","",CHOOSE(WEEKDAY(B528,2),"LUNES","MARTES","MIÉRCOLES","JUEVES","VIERNES","SÁBADO","DOMINGO"))</f>
        <v/>
      </c>
      <c r="M528" s="23"/>
      <c r="Q528" s="21" t="str">
        <f aca="false">IF(OR(K528="",N528=""),"",K528-N528)</f>
        <v/>
      </c>
      <c r="R528" s="21" t="str">
        <f aca="false">IF(OR(J528="",K528=""),"",J528*K528)</f>
        <v/>
      </c>
      <c r="S528" s="21" t="str">
        <f aca="false">IF(AND(ISNUMBER(J528),ISNUMBER(K528),F528&lt;&gt;"Calentamiento",F528&lt;&gt;"Bilbo"),IF(AND(K528&gt;0,K528&lt;=12),ROUND(J528*(1+(K528+IF(ISNUMBER(L528),L528,0))/30),1),""),"")</f>
        <v/>
      </c>
      <c r="T528" s="21" t="str">
        <f aca="false">IF(AND(F528="Bilbo",ISNUMBER(J528),ISNUMBER(K528)),ROUND(J528*(1+K528/30),1),"")</f>
        <v/>
      </c>
      <c r="W528" s="22"/>
      <c r="X528" s="21" t="str">
        <f aca="false">IF(AND(F528="Bilbo",E528&lt;&gt;"",G528&lt;&gt;"",H528&lt;&gt;""),E528&amp;"|"&amp;G528&amp;"|"&amp;H528,"")</f>
        <v/>
      </c>
      <c r="Y528" s="21" t="str">
        <f aca="false">IF(B528="","",IF(B528&lt;&gt;B527,1,0))</f>
        <v/>
      </c>
    </row>
    <row r="529" customFormat="false" ht="15" hidden="false" customHeight="true" outlineLevel="0" collapsed="false">
      <c r="A529" s="21" t="str">
        <f aca="false">IF(B529="","",ROW()-4)</f>
        <v/>
      </c>
      <c r="B529" s="22"/>
      <c r="C529" s="21" t="str">
        <f aca="false">IF(B529="","",CHOOSE(WEEKDAY(B529,2),"LUNES","MARTES","MIÉRCOLES","JUEVES","VIERNES","SÁBADO","DOMINGO"))</f>
        <v/>
      </c>
      <c r="M529" s="23"/>
      <c r="Q529" s="21" t="str">
        <f aca="false">IF(OR(K529="",N529=""),"",K529-N529)</f>
        <v/>
      </c>
      <c r="R529" s="21" t="str">
        <f aca="false">IF(OR(J529="",K529=""),"",J529*K529)</f>
        <v/>
      </c>
      <c r="S529" s="21" t="str">
        <f aca="false">IF(AND(ISNUMBER(J529),ISNUMBER(K529),F529&lt;&gt;"Calentamiento",F529&lt;&gt;"Bilbo"),IF(AND(K529&gt;0,K529&lt;=12),ROUND(J529*(1+(K529+IF(ISNUMBER(L529),L529,0))/30),1),""),"")</f>
        <v/>
      </c>
      <c r="T529" s="21" t="str">
        <f aca="false">IF(AND(F529="Bilbo",ISNUMBER(J529),ISNUMBER(K529)),ROUND(J529*(1+K529/30),1),"")</f>
        <v/>
      </c>
      <c r="W529" s="22"/>
      <c r="X529" s="21" t="str">
        <f aca="false">IF(AND(F529="Bilbo",E529&lt;&gt;"",G529&lt;&gt;"",H529&lt;&gt;""),E529&amp;"|"&amp;G529&amp;"|"&amp;H529,"")</f>
        <v/>
      </c>
      <c r="Y529" s="21" t="str">
        <f aca="false">IF(B529="","",IF(B529&lt;&gt;B528,1,0))</f>
        <v/>
      </c>
    </row>
    <row r="530" customFormat="false" ht="15" hidden="false" customHeight="true" outlineLevel="0" collapsed="false">
      <c r="A530" s="21" t="str">
        <f aca="false">IF(B530="","",ROW()-4)</f>
        <v/>
      </c>
      <c r="B530" s="22"/>
      <c r="C530" s="21" t="str">
        <f aca="false">IF(B530="","",CHOOSE(WEEKDAY(B530,2),"LUNES","MARTES","MIÉRCOLES","JUEVES","VIERNES","SÁBADO","DOMINGO"))</f>
        <v/>
      </c>
      <c r="M530" s="23"/>
      <c r="Q530" s="21" t="str">
        <f aca="false">IF(OR(K530="",N530=""),"",K530-N530)</f>
        <v/>
      </c>
      <c r="R530" s="21" t="str">
        <f aca="false">IF(OR(J530="",K530=""),"",J530*K530)</f>
        <v/>
      </c>
      <c r="S530" s="21" t="str">
        <f aca="false">IF(AND(ISNUMBER(J530),ISNUMBER(K530),F530&lt;&gt;"Calentamiento",F530&lt;&gt;"Bilbo"),IF(AND(K530&gt;0,K530&lt;=12),ROUND(J530*(1+(K530+IF(ISNUMBER(L530),L530,0))/30),1),""),"")</f>
        <v/>
      </c>
      <c r="T530" s="21" t="str">
        <f aca="false">IF(AND(F530="Bilbo",ISNUMBER(J530),ISNUMBER(K530)),ROUND(J530*(1+K530/30),1),"")</f>
        <v/>
      </c>
      <c r="W530" s="22"/>
      <c r="X530" s="21" t="str">
        <f aca="false">IF(AND(F530="Bilbo",E530&lt;&gt;"",G530&lt;&gt;"",H530&lt;&gt;""),E530&amp;"|"&amp;G530&amp;"|"&amp;H530,"")</f>
        <v/>
      </c>
      <c r="Y530" s="21" t="str">
        <f aca="false">IF(B530="","",IF(B530&lt;&gt;B529,1,0))</f>
        <v/>
      </c>
    </row>
    <row r="531" customFormat="false" ht="15" hidden="false" customHeight="true" outlineLevel="0" collapsed="false">
      <c r="A531" s="21" t="str">
        <f aca="false">IF(B531="","",ROW()-4)</f>
        <v/>
      </c>
      <c r="B531" s="22"/>
      <c r="C531" s="21" t="str">
        <f aca="false">IF(B531="","",CHOOSE(WEEKDAY(B531,2),"LUNES","MARTES","MIÉRCOLES","JUEVES","VIERNES","SÁBADO","DOMINGO"))</f>
        <v/>
      </c>
      <c r="M531" s="23"/>
      <c r="Q531" s="21" t="str">
        <f aca="false">IF(OR(K531="",N531=""),"",K531-N531)</f>
        <v/>
      </c>
      <c r="R531" s="21" t="str">
        <f aca="false">IF(OR(J531="",K531=""),"",J531*K531)</f>
        <v/>
      </c>
      <c r="S531" s="21" t="str">
        <f aca="false">IF(AND(ISNUMBER(J531),ISNUMBER(K531),F531&lt;&gt;"Calentamiento",F531&lt;&gt;"Bilbo"),IF(AND(K531&gt;0,K531&lt;=12),ROUND(J531*(1+(K531+IF(ISNUMBER(L531),L531,0))/30),1),""),"")</f>
        <v/>
      </c>
      <c r="T531" s="21" t="str">
        <f aca="false">IF(AND(F531="Bilbo",ISNUMBER(J531),ISNUMBER(K531)),ROUND(J531*(1+K531/30),1),"")</f>
        <v/>
      </c>
      <c r="W531" s="22"/>
      <c r="X531" s="21" t="str">
        <f aca="false">IF(AND(F531="Bilbo",E531&lt;&gt;"",G531&lt;&gt;"",H531&lt;&gt;""),E531&amp;"|"&amp;G531&amp;"|"&amp;H531,"")</f>
        <v/>
      </c>
      <c r="Y531" s="21" t="str">
        <f aca="false">IF(B531="","",IF(B531&lt;&gt;B530,1,0))</f>
        <v/>
      </c>
    </row>
    <row r="532" customFormat="false" ht="15" hidden="false" customHeight="true" outlineLevel="0" collapsed="false">
      <c r="A532" s="21" t="str">
        <f aca="false">IF(B532="","",ROW()-4)</f>
        <v/>
      </c>
      <c r="B532" s="22"/>
      <c r="C532" s="21" t="str">
        <f aca="false">IF(B532="","",CHOOSE(WEEKDAY(B532,2),"LUNES","MARTES","MIÉRCOLES","JUEVES","VIERNES","SÁBADO","DOMINGO"))</f>
        <v/>
      </c>
      <c r="M532" s="23"/>
      <c r="Q532" s="21" t="str">
        <f aca="false">IF(OR(K532="",N532=""),"",K532-N532)</f>
        <v/>
      </c>
      <c r="R532" s="21" t="str">
        <f aca="false">IF(OR(J532="",K532=""),"",J532*K532)</f>
        <v/>
      </c>
      <c r="S532" s="21" t="str">
        <f aca="false">IF(AND(ISNUMBER(J532),ISNUMBER(K532),F532&lt;&gt;"Calentamiento",F532&lt;&gt;"Bilbo"),IF(AND(K532&gt;0,K532&lt;=12),ROUND(J532*(1+(K532+IF(ISNUMBER(L532),L532,0))/30),1),""),"")</f>
        <v/>
      </c>
      <c r="T532" s="21" t="str">
        <f aca="false">IF(AND(F532="Bilbo",ISNUMBER(J532),ISNUMBER(K532)),ROUND(J532*(1+K532/30),1),"")</f>
        <v/>
      </c>
      <c r="W532" s="22"/>
      <c r="X532" s="21" t="str">
        <f aca="false">IF(AND(F532="Bilbo",E532&lt;&gt;"",G532&lt;&gt;"",H532&lt;&gt;""),E532&amp;"|"&amp;G532&amp;"|"&amp;H532,"")</f>
        <v/>
      </c>
      <c r="Y532" s="21" t="str">
        <f aca="false">IF(B532="","",IF(B532&lt;&gt;B531,1,0))</f>
        <v/>
      </c>
    </row>
    <row r="533" customFormat="false" ht="15" hidden="false" customHeight="true" outlineLevel="0" collapsed="false">
      <c r="A533" s="21" t="str">
        <f aca="false">IF(B533="","",ROW()-4)</f>
        <v/>
      </c>
      <c r="B533" s="22"/>
      <c r="C533" s="21" t="str">
        <f aca="false">IF(B533="","",CHOOSE(WEEKDAY(B533,2),"LUNES","MARTES","MIÉRCOLES","JUEVES","VIERNES","SÁBADO","DOMINGO"))</f>
        <v/>
      </c>
      <c r="M533" s="23"/>
      <c r="Q533" s="21" t="str">
        <f aca="false">IF(OR(K533="",N533=""),"",K533-N533)</f>
        <v/>
      </c>
      <c r="R533" s="21" t="str">
        <f aca="false">IF(OR(J533="",K533=""),"",J533*K533)</f>
        <v/>
      </c>
      <c r="S533" s="21" t="str">
        <f aca="false">IF(AND(ISNUMBER(J533),ISNUMBER(K533),F533&lt;&gt;"Calentamiento",F533&lt;&gt;"Bilbo"),IF(AND(K533&gt;0,K533&lt;=12),ROUND(J533*(1+(K533+IF(ISNUMBER(L533),L533,0))/30),1),""),"")</f>
        <v/>
      </c>
      <c r="T533" s="21" t="str">
        <f aca="false">IF(AND(F533="Bilbo",ISNUMBER(J533),ISNUMBER(K533)),ROUND(J533*(1+K533/30),1),"")</f>
        <v/>
      </c>
      <c r="W533" s="22"/>
      <c r="X533" s="21" t="str">
        <f aca="false">IF(AND(F533="Bilbo",E533&lt;&gt;"",G533&lt;&gt;"",H533&lt;&gt;""),E533&amp;"|"&amp;G533&amp;"|"&amp;H533,"")</f>
        <v/>
      </c>
      <c r="Y533" s="21" t="str">
        <f aca="false">IF(B533="","",IF(B533&lt;&gt;B532,1,0))</f>
        <v/>
      </c>
    </row>
    <row r="534" customFormat="false" ht="15" hidden="false" customHeight="true" outlineLevel="0" collapsed="false">
      <c r="A534" s="21" t="str">
        <f aca="false">IF(B534="","",ROW()-4)</f>
        <v/>
      </c>
      <c r="B534" s="22"/>
      <c r="C534" s="21" t="str">
        <f aca="false">IF(B534="","",CHOOSE(WEEKDAY(B534,2),"LUNES","MARTES","MIÉRCOLES","JUEVES","VIERNES","SÁBADO","DOMINGO"))</f>
        <v/>
      </c>
      <c r="M534" s="23"/>
      <c r="Q534" s="21" t="str">
        <f aca="false">IF(OR(K534="",N534=""),"",K534-N534)</f>
        <v/>
      </c>
      <c r="R534" s="21" t="str">
        <f aca="false">IF(OR(J534="",K534=""),"",J534*K534)</f>
        <v/>
      </c>
      <c r="S534" s="21" t="str">
        <f aca="false">IF(AND(ISNUMBER(J534),ISNUMBER(K534),F534&lt;&gt;"Calentamiento",F534&lt;&gt;"Bilbo"),IF(AND(K534&gt;0,K534&lt;=12),ROUND(J534*(1+(K534+IF(ISNUMBER(L534),L534,0))/30),1),""),"")</f>
        <v/>
      </c>
      <c r="T534" s="21" t="str">
        <f aca="false">IF(AND(F534="Bilbo",ISNUMBER(J534),ISNUMBER(K534)),ROUND(J534*(1+K534/30),1),"")</f>
        <v/>
      </c>
      <c r="W534" s="22"/>
      <c r="X534" s="21" t="str">
        <f aca="false">IF(AND(F534="Bilbo",E534&lt;&gt;"",G534&lt;&gt;"",H534&lt;&gt;""),E534&amp;"|"&amp;G534&amp;"|"&amp;H534,"")</f>
        <v/>
      </c>
      <c r="Y534" s="21" t="str">
        <f aca="false">IF(B534="","",IF(B534&lt;&gt;B533,1,0))</f>
        <v/>
      </c>
    </row>
    <row r="535" customFormat="false" ht="15" hidden="false" customHeight="true" outlineLevel="0" collapsed="false">
      <c r="A535" s="21" t="str">
        <f aca="false">IF(B535="","",ROW()-4)</f>
        <v/>
      </c>
      <c r="B535" s="22"/>
      <c r="C535" s="21" t="str">
        <f aca="false">IF(B535="","",CHOOSE(WEEKDAY(B535,2),"LUNES","MARTES","MIÉRCOLES","JUEVES","VIERNES","SÁBADO","DOMINGO"))</f>
        <v/>
      </c>
      <c r="M535" s="23"/>
      <c r="Q535" s="21" t="str">
        <f aca="false">IF(OR(K535="",N535=""),"",K535-N535)</f>
        <v/>
      </c>
      <c r="R535" s="21" t="str">
        <f aca="false">IF(OR(J535="",K535=""),"",J535*K535)</f>
        <v/>
      </c>
      <c r="S535" s="21" t="str">
        <f aca="false">IF(AND(ISNUMBER(J535),ISNUMBER(K535),F535&lt;&gt;"Calentamiento",F535&lt;&gt;"Bilbo"),IF(AND(K535&gt;0,K535&lt;=12),ROUND(J535*(1+(K535+IF(ISNUMBER(L535),L535,0))/30),1),""),"")</f>
        <v/>
      </c>
      <c r="T535" s="21" t="str">
        <f aca="false">IF(AND(F535="Bilbo",ISNUMBER(J535),ISNUMBER(K535)),ROUND(J535*(1+K535/30),1),"")</f>
        <v/>
      </c>
      <c r="W535" s="22"/>
      <c r="X535" s="21" t="str">
        <f aca="false">IF(AND(F535="Bilbo",E535&lt;&gt;"",G535&lt;&gt;"",H535&lt;&gt;""),E535&amp;"|"&amp;G535&amp;"|"&amp;H535,"")</f>
        <v/>
      </c>
      <c r="Y535" s="21" t="str">
        <f aca="false">IF(B535="","",IF(B535&lt;&gt;B534,1,0))</f>
        <v/>
      </c>
    </row>
    <row r="536" customFormat="false" ht="15" hidden="false" customHeight="true" outlineLevel="0" collapsed="false">
      <c r="A536" s="21" t="str">
        <f aca="false">IF(B536="","",ROW()-4)</f>
        <v/>
      </c>
      <c r="B536" s="22"/>
      <c r="C536" s="21" t="str">
        <f aca="false">IF(B536="","",CHOOSE(WEEKDAY(B536,2),"LUNES","MARTES","MIÉRCOLES","JUEVES","VIERNES","SÁBADO","DOMINGO"))</f>
        <v/>
      </c>
      <c r="M536" s="23"/>
      <c r="Q536" s="21" t="str">
        <f aca="false">IF(OR(K536="",N536=""),"",K536-N536)</f>
        <v/>
      </c>
      <c r="R536" s="21" t="str">
        <f aca="false">IF(OR(J536="",K536=""),"",J536*K536)</f>
        <v/>
      </c>
      <c r="S536" s="21" t="str">
        <f aca="false">IF(AND(ISNUMBER(J536),ISNUMBER(K536),F536&lt;&gt;"Calentamiento",F536&lt;&gt;"Bilbo"),IF(AND(K536&gt;0,K536&lt;=12),ROUND(J536*(1+(K536+IF(ISNUMBER(L536),L536,0))/30),1),""),"")</f>
        <v/>
      </c>
      <c r="T536" s="21" t="str">
        <f aca="false">IF(AND(F536="Bilbo",ISNUMBER(J536),ISNUMBER(K536)),ROUND(J536*(1+K536/30),1),"")</f>
        <v/>
      </c>
      <c r="W536" s="22"/>
      <c r="X536" s="21" t="str">
        <f aca="false">IF(AND(F536="Bilbo",E536&lt;&gt;"",G536&lt;&gt;"",H536&lt;&gt;""),E536&amp;"|"&amp;G536&amp;"|"&amp;H536,"")</f>
        <v/>
      </c>
      <c r="Y536" s="21" t="str">
        <f aca="false">IF(B536="","",IF(B536&lt;&gt;B535,1,0))</f>
        <v/>
      </c>
    </row>
    <row r="537" customFormat="false" ht="15" hidden="false" customHeight="true" outlineLevel="0" collapsed="false">
      <c r="A537" s="21" t="str">
        <f aca="false">IF(B537="","",ROW()-4)</f>
        <v/>
      </c>
      <c r="B537" s="22"/>
      <c r="C537" s="21" t="str">
        <f aca="false">IF(B537="","",CHOOSE(WEEKDAY(B537,2),"LUNES","MARTES","MIÉRCOLES","JUEVES","VIERNES","SÁBADO","DOMINGO"))</f>
        <v/>
      </c>
      <c r="M537" s="23"/>
      <c r="Q537" s="21" t="str">
        <f aca="false">IF(OR(K537="",N537=""),"",K537-N537)</f>
        <v/>
      </c>
      <c r="R537" s="21" t="str">
        <f aca="false">IF(OR(J537="",K537=""),"",J537*K537)</f>
        <v/>
      </c>
      <c r="S537" s="21" t="str">
        <f aca="false">IF(AND(ISNUMBER(J537),ISNUMBER(K537),F537&lt;&gt;"Calentamiento",F537&lt;&gt;"Bilbo"),IF(AND(K537&gt;0,K537&lt;=12),ROUND(J537*(1+(K537+IF(ISNUMBER(L537),L537,0))/30),1),""),"")</f>
        <v/>
      </c>
      <c r="T537" s="21" t="str">
        <f aca="false">IF(AND(F537="Bilbo",ISNUMBER(J537),ISNUMBER(K537)),ROUND(J537*(1+K537/30),1),"")</f>
        <v/>
      </c>
      <c r="W537" s="22"/>
      <c r="X537" s="21" t="str">
        <f aca="false">IF(AND(F537="Bilbo",E537&lt;&gt;"",G537&lt;&gt;"",H537&lt;&gt;""),E537&amp;"|"&amp;G537&amp;"|"&amp;H537,"")</f>
        <v/>
      </c>
      <c r="Y537" s="21" t="str">
        <f aca="false">IF(B537="","",IF(B537&lt;&gt;B536,1,0))</f>
        <v/>
      </c>
    </row>
    <row r="538" customFormat="false" ht="15" hidden="false" customHeight="true" outlineLevel="0" collapsed="false">
      <c r="A538" s="21" t="str">
        <f aca="false">IF(B538="","",ROW()-4)</f>
        <v/>
      </c>
      <c r="B538" s="22"/>
      <c r="C538" s="21" t="str">
        <f aca="false">IF(B538="","",CHOOSE(WEEKDAY(B538,2),"LUNES","MARTES","MIÉRCOLES","JUEVES","VIERNES","SÁBADO","DOMINGO"))</f>
        <v/>
      </c>
      <c r="M538" s="23"/>
      <c r="Q538" s="21" t="str">
        <f aca="false">IF(OR(K538="",N538=""),"",K538-N538)</f>
        <v/>
      </c>
      <c r="R538" s="21" t="str">
        <f aca="false">IF(OR(J538="",K538=""),"",J538*K538)</f>
        <v/>
      </c>
      <c r="S538" s="21" t="str">
        <f aca="false">IF(AND(ISNUMBER(J538),ISNUMBER(K538),F538&lt;&gt;"Calentamiento",F538&lt;&gt;"Bilbo"),IF(AND(K538&gt;0,K538&lt;=12),ROUND(J538*(1+(K538+IF(ISNUMBER(L538),L538,0))/30),1),""),"")</f>
        <v/>
      </c>
      <c r="T538" s="21" t="str">
        <f aca="false">IF(AND(F538="Bilbo",ISNUMBER(J538),ISNUMBER(K538)),ROUND(J538*(1+K538/30),1),"")</f>
        <v/>
      </c>
      <c r="W538" s="22"/>
      <c r="X538" s="21" t="str">
        <f aca="false">IF(AND(F538="Bilbo",E538&lt;&gt;"",G538&lt;&gt;"",H538&lt;&gt;""),E538&amp;"|"&amp;G538&amp;"|"&amp;H538,"")</f>
        <v/>
      </c>
      <c r="Y538" s="21" t="str">
        <f aca="false">IF(B538="","",IF(B538&lt;&gt;B537,1,0))</f>
        <v/>
      </c>
    </row>
    <row r="539" customFormat="false" ht="15" hidden="false" customHeight="true" outlineLevel="0" collapsed="false">
      <c r="A539" s="21" t="str">
        <f aca="false">IF(B539="","",ROW()-4)</f>
        <v/>
      </c>
      <c r="B539" s="22"/>
      <c r="C539" s="21" t="str">
        <f aca="false">IF(B539="","",CHOOSE(WEEKDAY(B539,2),"LUNES","MARTES","MIÉRCOLES","JUEVES","VIERNES","SÁBADO","DOMINGO"))</f>
        <v/>
      </c>
      <c r="M539" s="23"/>
      <c r="Q539" s="21" t="str">
        <f aca="false">IF(OR(K539="",N539=""),"",K539-N539)</f>
        <v/>
      </c>
      <c r="R539" s="21" t="str">
        <f aca="false">IF(OR(J539="",K539=""),"",J539*K539)</f>
        <v/>
      </c>
      <c r="S539" s="21" t="str">
        <f aca="false">IF(AND(ISNUMBER(J539),ISNUMBER(K539),F539&lt;&gt;"Calentamiento",F539&lt;&gt;"Bilbo"),IF(AND(K539&gt;0,K539&lt;=12),ROUND(J539*(1+(K539+IF(ISNUMBER(L539),L539,0))/30),1),""),"")</f>
        <v/>
      </c>
      <c r="T539" s="21" t="str">
        <f aca="false">IF(AND(F539="Bilbo",ISNUMBER(J539),ISNUMBER(K539)),ROUND(J539*(1+K539/30),1),"")</f>
        <v/>
      </c>
      <c r="W539" s="22"/>
      <c r="X539" s="21" t="str">
        <f aca="false">IF(AND(F539="Bilbo",E539&lt;&gt;"",G539&lt;&gt;"",H539&lt;&gt;""),E539&amp;"|"&amp;G539&amp;"|"&amp;H539,"")</f>
        <v/>
      </c>
      <c r="Y539" s="21" t="str">
        <f aca="false">IF(B539="","",IF(B539&lt;&gt;B538,1,0))</f>
        <v/>
      </c>
    </row>
    <row r="540" customFormat="false" ht="15" hidden="false" customHeight="true" outlineLevel="0" collapsed="false">
      <c r="A540" s="21" t="str">
        <f aca="false">IF(B540="","",ROW()-4)</f>
        <v/>
      </c>
      <c r="B540" s="22"/>
      <c r="C540" s="21" t="str">
        <f aca="false">IF(B540="","",CHOOSE(WEEKDAY(B540,2),"LUNES","MARTES","MIÉRCOLES","JUEVES","VIERNES","SÁBADO","DOMINGO"))</f>
        <v/>
      </c>
      <c r="M540" s="23"/>
      <c r="Q540" s="21" t="str">
        <f aca="false">IF(OR(K540="",N540=""),"",K540-N540)</f>
        <v/>
      </c>
      <c r="R540" s="21" t="str">
        <f aca="false">IF(OR(J540="",K540=""),"",J540*K540)</f>
        <v/>
      </c>
      <c r="S540" s="21" t="str">
        <f aca="false">IF(AND(ISNUMBER(J540),ISNUMBER(K540),F540&lt;&gt;"Calentamiento",F540&lt;&gt;"Bilbo"),IF(AND(K540&gt;0,K540&lt;=12),ROUND(J540*(1+(K540+IF(ISNUMBER(L540),L540,0))/30),1),""),"")</f>
        <v/>
      </c>
      <c r="T540" s="21" t="str">
        <f aca="false">IF(AND(F540="Bilbo",ISNUMBER(J540),ISNUMBER(K540)),ROUND(J540*(1+K540/30),1),"")</f>
        <v/>
      </c>
      <c r="W540" s="22"/>
      <c r="X540" s="21" t="str">
        <f aca="false">IF(AND(F540="Bilbo",E540&lt;&gt;"",G540&lt;&gt;"",H540&lt;&gt;""),E540&amp;"|"&amp;G540&amp;"|"&amp;H540,"")</f>
        <v/>
      </c>
      <c r="Y540" s="21" t="str">
        <f aca="false">IF(B540="","",IF(B540&lt;&gt;B539,1,0))</f>
        <v/>
      </c>
    </row>
    <row r="541" customFormat="false" ht="15" hidden="false" customHeight="true" outlineLevel="0" collapsed="false">
      <c r="A541" s="21" t="str">
        <f aca="false">IF(B541="","",ROW()-4)</f>
        <v/>
      </c>
      <c r="B541" s="22"/>
      <c r="C541" s="21" t="str">
        <f aca="false">IF(B541="","",CHOOSE(WEEKDAY(B541,2),"LUNES","MARTES","MIÉRCOLES","JUEVES","VIERNES","SÁBADO","DOMINGO"))</f>
        <v/>
      </c>
      <c r="M541" s="23"/>
      <c r="Q541" s="21" t="str">
        <f aca="false">IF(OR(K541="",N541=""),"",K541-N541)</f>
        <v/>
      </c>
      <c r="R541" s="21" t="str">
        <f aca="false">IF(OR(J541="",K541=""),"",J541*K541)</f>
        <v/>
      </c>
      <c r="S541" s="21" t="str">
        <f aca="false">IF(AND(ISNUMBER(J541),ISNUMBER(K541),F541&lt;&gt;"Calentamiento",F541&lt;&gt;"Bilbo"),IF(AND(K541&gt;0,K541&lt;=12),ROUND(J541*(1+(K541+IF(ISNUMBER(L541),L541,0))/30),1),""),"")</f>
        <v/>
      </c>
      <c r="T541" s="21" t="str">
        <f aca="false">IF(AND(F541="Bilbo",ISNUMBER(J541),ISNUMBER(K541)),ROUND(J541*(1+K541/30),1),"")</f>
        <v/>
      </c>
      <c r="W541" s="22"/>
      <c r="X541" s="21" t="str">
        <f aca="false">IF(AND(F541="Bilbo",E541&lt;&gt;"",G541&lt;&gt;"",H541&lt;&gt;""),E541&amp;"|"&amp;G541&amp;"|"&amp;H541,"")</f>
        <v/>
      </c>
      <c r="Y541" s="21" t="str">
        <f aca="false">IF(B541="","",IF(B541&lt;&gt;B540,1,0))</f>
        <v/>
      </c>
    </row>
    <row r="542" customFormat="false" ht="15" hidden="false" customHeight="true" outlineLevel="0" collapsed="false">
      <c r="A542" s="21" t="str">
        <f aca="false">IF(B542="","",ROW()-4)</f>
        <v/>
      </c>
      <c r="B542" s="22"/>
      <c r="C542" s="21" t="str">
        <f aca="false">IF(B542="","",CHOOSE(WEEKDAY(B542,2),"LUNES","MARTES","MIÉRCOLES","JUEVES","VIERNES","SÁBADO","DOMINGO"))</f>
        <v/>
      </c>
      <c r="M542" s="23"/>
      <c r="Q542" s="21" t="str">
        <f aca="false">IF(OR(K542="",N542=""),"",K542-N542)</f>
        <v/>
      </c>
      <c r="R542" s="21" t="str">
        <f aca="false">IF(OR(J542="",K542=""),"",J542*K542)</f>
        <v/>
      </c>
      <c r="S542" s="21" t="str">
        <f aca="false">IF(AND(ISNUMBER(J542),ISNUMBER(K542),F542&lt;&gt;"Calentamiento",F542&lt;&gt;"Bilbo"),IF(AND(K542&gt;0,K542&lt;=12),ROUND(J542*(1+(K542+IF(ISNUMBER(L542),L542,0))/30),1),""),"")</f>
        <v/>
      </c>
      <c r="T542" s="21" t="str">
        <f aca="false">IF(AND(F542="Bilbo",ISNUMBER(J542),ISNUMBER(K542)),ROUND(J542*(1+K542/30),1),"")</f>
        <v/>
      </c>
      <c r="W542" s="22"/>
      <c r="X542" s="21" t="str">
        <f aca="false">IF(AND(F542="Bilbo",E542&lt;&gt;"",G542&lt;&gt;"",H542&lt;&gt;""),E542&amp;"|"&amp;G542&amp;"|"&amp;H542,"")</f>
        <v/>
      </c>
      <c r="Y542" s="21" t="str">
        <f aca="false">IF(B542="","",IF(B542&lt;&gt;B541,1,0))</f>
        <v/>
      </c>
    </row>
    <row r="543" customFormat="false" ht="15" hidden="false" customHeight="true" outlineLevel="0" collapsed="false">
      <c r="A543" s="21" t="str">
        <f aca="false">IF(B543="","",ROW()-4)</f>
        <v/>
      </c>
      <c r="B543" s="22"/>
      <c r="C543" s="21" t="str">
        <f aca="false">IF(B543="","",CHOOSE(WEEKDAY(B543,2),"LUNES","MARTES","MIÉRCOLES","JUEVES","VIERNES","SÁBADO","DOMINGO"))</f>
        <v/>
      </c>
      <c r="M543" s="23"/>
      <c r="Q543" s="21" t="str">
        <f aca="false">IF(OR(K543="",N543=""),"",K543-N543)</f>
        <v/>
      </c>
      <c r="R543" s="21" t="str">
        <f aca="false">IF(OR(J543="",K543=""),"",J543*K543)</f>
        <v/>
      </c>
      <c r="S543" s="21" t="str">
        <f aca="false">IF(AND(ISNUMBER(J543),ISNUMBER(K543),F543&lt;&gt;"Calentamiento",F543&lt;&gt;"Bilbo"),IF(AND(K543&gt;0,K543&lt;=12),ROUND(J543*(1+(K543+IF(ISNUMBER(L543),L543,0))/30),1),""),"")</f>
        <v/>
      </c>
      <c r="T543" s="21" t="str">
        <f aca="false">IF(AND(F543="Bilbo",ISNUMBER(J543),ISNUMBER(K543)),ROUND(J543*(1+K543/30),1),"")</f>
        <v/>
      </c>
      <c r="W543" s="22"/>
      <c r="X543" s="21" t="str">
        <f aca="false">IF(AND(F543="Bilbo",E543&lt;&gt;"",G543&lt;&gt;"",H543&lt;&gt;""),E543&amp;"|"&amp;G543&amp;"|"&amp;H543,"")</f>
        <v/>
      </c>
      <c r="Y543" s="21" t="str">
        <f aca="false">IF(B543="","",IF(B543&lt;&gt;B542,1,0))</f>
        <v/>
      </c>
    </row>
    <row r="544" customFormat="false" ht="15" hidden="false" customHeight="true" outlineLevel="0" collapsed="false">
      <c r="A544" s="21" t="str">
        <f aca="false">IF(B544="","",ROW()-4)</f>
        <v/>
      </c>
      <c r="B544" s="22"/>
      <c r="C544" s="21" t="str">
        <f aca="false">IF(B544="","",CHOOSE(WEEKDAY(B544,2),"LUNES","MARTES","MIÉRCOLES","JUEVES","VIERNES","SÁBADO","DOMINGO"))</f>
        <v/>
      </c>
      <c r="M544" s="23"/>
      <c r="Q544" s="21" t="str">
        <f aca="false">IF(OR(K544="",N544=""),"",K544-N544)</f>
        <v/>
      </c>
      <c r="R544" s="21" t="str">
        <f aca="false">IF(OR(J544="",K544=""),"",J544*K544)</f>
        <v/>
      </c>
      <c r="S544" s="21" t="str">
        <f aca="false">IF(AND(ISNUMBER(J544),ISNUMBER(K544),F544&lt;&gt;"Calentamiento",F544&lt;&gt;"Bilbo"),IF(AND(K544&gt;0,K544&lt;=12),ROUND(J544*(1+(K544+IF(ISNUMBER(L544),L544,0))/30),1),""),"")</f>
        <v/>
      </c>
      <c r="T544" s="21" t="str">
        <f aca="false">IF(AND(F544="Bilbo",ISNUMBER(J544),ISNUMBER(K544)),ROUND(J544*(1+K544/30),1),"")</f>
        <v/>
      </c>
      <c r="W544" s="22"/>
      <c r="X544" s="21" t="str">
        <f aca="false">IF(AND(F544="Bilbo",E544&lt;&gt;"",G544&lt;&gt;"",H544&lt;&gt;""),E544&amp;"|"&amp;G544&amp;"|"&amp;H544,"")</f>
        <v/>
      </c>
      <c r="Y544" s="21" t="str">
        <f aca="false">IF(B544="","",IF(B544&lt;&gt;B543,1,0))</f>
        <v/>
      </c>
    </row>
    <row r="545" customFormat="false" ht="15" hidden="false" customHeight="true" outlineLevel="0" collapsed="false">
      <c r="A545" s="21" t="str">
        <f aca="false">IF(B545="","",ROW()-4)</f>
        <v/>
      </c>
      <c r="B545" s="22"/>
      <c r="C545" s="21" t="str">
        <f aca="false">IF(B545="","",CHOOSE(WEEKDAY(B545,2),"LUNES","MARTES","MIÉRCOLES","JUEVES","VIERNES","SÁBADO","DOMINGO"))</f>
        <v/>
      </c>
      <c r="M545" s="23"/>
      <c r="Q545" s="21" t="str">
        <f aca="false">IF(OR(K545="",N545=""),"",K545-N545)</f>
        <v/>
      </c>
      <c r="R545" s="21" t="str">
        <f aca="false">IF(OR(J545="",K545=""),"",J545*K545)</f>
        <v/>
      </c>
      <c r="S545" s="21" t="str">
        <f aca="false">IF(AND(ISNUMBER(J545),ISNUMBER(K545),F545&lt;&gt;"Calentamiento",F545&lt;&gt;"Bilbo"),IF(AND(K545&gt;0,K545&lt;=12),ROUND(J545*(1+(K545+IF(ISNUMBER(L545),L545,0))/30),1),""),"")</f>
        <v/>
      </c>
      <c r="T545" s="21" t="str">
        <f aca="false">IF(AND(F545="Bilbo",ISNUMBER(J545),ISNUMBER(K545)),ROUND(J545*(1+K545/30),1),"")</f>
        <v/>
      </c>
      <c r="W545" s="22"/>
      <c r="X545" s="21" t="str">
        <f aca="false">IF(AND(F545="Bilbo",E545&lt;&gt;"",G545&lt;&gt;"",H545&lt;&gt;""),E545&amp;"|"&amp;G545&amp;"|"&amp;H545,"")</f>
        <v/>
      </c>
      <c r="Y545" s="21" t="str">
        <f aca="false">IF(B545="","",IF(B545&lt;&gt;B544,1,0))</f>
        <v/>
      </c>
    </row>
    <row r="546" customFormat="false" ht="15" hidden="false" customHeight="true" outlineLevel="0" collapsed="false">
      <c r="A546" s="21" t="str">
        <f aca="false">IF(B546="","",ROW()-4)</f>
        <v/>
      </c>
      <c r="B546" s="22"/>
      <c r="C546" s="21" t="str">
        <f aca="false">IF(B546="","",CHOOSE(WEEKDAY(B546,2),"LUNES","MARTES","MIÉRCOLES","JUEVES","VIERNES","SÁBADO","DOMINGO"))</f>
        <v/>
      </c>
      <c r="M546" s="23"/>
      <c r="Q546" s="21" t="str">
        <f aca="false">IF(OR(K546="",N546=""),"",K546-N546)</f>
        <v/>
      </c>
      <c r="R546" s="21" t="str">
        <f aca="false">IF(OR(J546="",K546=""),"",J546*K546)</f>
        <v/>
      </c>
      <c r="S546" s="21" t="str">
        <f aca="false">IF(AND(ISNUMBER(J546),ISNUMBER(K546),F546&lt;&gt;"Calentamiento",F546&lt;&gt;"Bilbo"),IF(AND(K546&gt;0,K546&lt;=12),ROUND(J546*(1+(K546+IF(ISNUMBER(L546),L546,0))/30),1),""),"")</f>
        <v/>
      </c>
      <c r="T546" s="21" t="str">
        <f aca="false">IF(AND(F546="Bilbo",ISNUMBER(J546),ISNUMBER(K546)),ROUND(J546*(1+K546/30),1),"")</f>
        <v/>
      </c>
      <c r="W546" s="22"/>
      <c r="X546" s="21" t="str">
        <f aca="false">IF(AND(F546="Bilbo",E546&lt;&gt;"",G546&lt;&gt;"",H546&lt;&gt;""),E546&amp;"|"&amp;G546&amp;"|"&amp;H546,"")</f>
        <v/>
      </c>
      <c r="Y546" s="21" t="str">
        <f aca="false">IF(B546="","",IF(B546&lt;&gt;B545,1,0))</f>
        <v/>
      </c>
    </row>
    <row r="547" customFormat="false" ht="15" hidden="false" customHeight="true" outlineLevel="0" collapsed="false">
      <c r="A547" s="21" t="str">
        <f aca="false">IF(B547="","",ROW()-4)</f>
        <v/>
      </c>
      <c r="B547" s="22"/>
      <c r="C547" s="21" t="str">
        <f aca="false">IF(B547="","",CHOOSE(WEEKDAY(B547,2),"LUNES","MARTES","MIÉRCOLES","JUEVES","VIERNES","SÁBADO","DOMINGO"))</f>
        <v/>
      </c>
      <c r="M547" s="23"/>
      <c r="Q547" s="21" t="str">
        <f aca="false">IF(OR(K547="",N547=""),"",K547-N547)</f>
        <v/>
      </c>
      <c r="R547" s="21" t="str">
        <f aca="false">IF(OR(J547="",K547=""),"",J547*K547)</f>
        <v/>
      </c>
      <c r="S547" s="21" t="str">
        <f aca="false">IF(AND(ISNUMBER(J547),ISNUMBER(K547),F547&lt;&gt;"Calentamiento",F547&lt;&gt;"Bilbo"),IF(AND(K547&gt;0,K547&lt;=12),ROUND(J547*(1+(K547+IF(ISNUMBER(L547),L547,0))/30),1),""),"")</f>
        <v/>
      </c>
      <c r="T547" s="21" t="str">
        <f aca="false">IF(AND(F547="Bilbo",ISNUMBER(J547),ISNUMBER(K547)),ROUND(J547*(1+K547/30),1),"")</f>
        <v/>
      </c>
      <c r="W547" s="22"/>
      <c r="X547" s="21" t="str">
        <f aca="false">IF(AND(F547="Bilbo",E547&lt;&gt;"",G547&lt;&gt;"",H547&lt;&gt;""),E547&amp;"|"&amp;G547&amp;"|"&amp;H547,"")</f>
        <v/>
      </c>
      <c r="Y547" s="21" t="str">
        <f aca="false">IF(B547="","",IF(B547&lt;&gt;B546,1,0))</f>
        <v/>
      </c>
    </row>
    <row r="548" customFormat="false" ht="15" hidden="false" customHeight="true" outlineLevel="0" collapsed="false">
      <c r="A548" s="21" t="str">
        <f aca="false">IF(B548="","",ROW()-4)</f>
        <v/>
      </c>
      <c r="B548" s="22"/>
      <c r="C548" s="21" t="str">
        <f aca="false">IF(B548="","",CHOOSE(WEEKDAY(B548,2),"LUNES","MARTES","MIÉRCOLES","JUEVES","VIERNES","SÁBADO","DOMINGO"))</f>
        <v/>
      </c>
      <c r="M548" s="23"/>
      <c r="Q548" s="21" t="str">
        <f aca="false">IF(OR(K548="",N548=""),"",K548-N548)</f>
        <v/>
      </c>
      <c r="R548" s="21" t="str">
        <f aca="false">IF(OR(J548="",K548=""),"",J548*K548)</f>
        <v/>
      </c>
      <c r="S548" s="21" t="str">
        <f aca="false">IF(AND(ISNUMBER(J548),ISNUMBER(K548),F548&lt;&gt;"Calentamiento",F548&lt;&gt;"Bilbo"),IF(AND(K548&gt;0,K548&lt;=12),ROUND(J548*(1+(K548+IF(ISNUMBER(L548),L548,0))/30),1),""),"")</f>
        <v/>
      </c>
      <c r="T548" s="21" t="str">
        <f aca="false">IF(AND(F548="Bilbo",ISNUMBER(J548),ISNUMBER(K548)),ROUND(J548*(1+K548/30),1),"")</f>
        <v/>
      </c>
      <c r="W548" s="22"/>
      <c r="X548" s="21" t="str">
        <f aca="false">IF(AND(F548="Bilbo",E548&lt;&gt;"",G548&lt;&gt;"",H548&lt;&gt;""),E548&amp;"|"&amp;G548&amp;"|"&amp;H548,"")</f>
        <v/>
      </c>
      <c r="Y548" s="21" t="str">
        <f aca="false">IF(B548="","",IF(B548&lt;&gt;B547,1,0))</f>
        <v/>
      </c>
    </row>
    <row r="549" customFormat="false" ht="15" hidden="false" customHeight="true" outlineLevel="0" collapsed="false">
      <c r="A549" s="21" t="str">
        <f aca="false">IF(B549="","",ROW()-4)</f>
        <v/>
      </c>
      <c r="B549" s="22"/>
      <c r="C549" s="21" t="str">
        <f aca="false">IF(B549="","",CHOOSE(WEEKDAY(B549,2),"LUNES","MARTES","MIÉRCOLES","JUEVES","VIERNES","SÁBADO","DOMINGO"))</f>
        <v/>
      </c>
      <c r="M549" s="23"/>
      <c r="Q549" s="21" t="str">
        <f aca="false">IF(OR(K549="",N549=""),"",K549-N549)</f>
        <v/>
      </c>
      <c r="R549" s="21" t="str">
        <f aca="false">IF(OR(J549="",K549=""),"",J549*K549)</f>
        <v/>
      </c>
      <c r="S549" s="21" t="str">
        <f aca="false">IF(AND(ISNUMBER(J549),ISNUMBER(K549),F549&lt;&gt;"Calentamiento",F549&lt;&gt;"Bilbo"),IF(AND(K549&gt;0,K549&lt;=12),ROUND(J549*(1+(K549+IF(ISNUMBER(L549),L549,0))/30),1),""),"")</f>
        <v/>
      </c>
      <c r="T549" s="21" t="str">
        <f aca="false">IF(AND(F549="Bilbo",ISNUMBER(J549),ISNUMBER(K549)),ROUND(J549*(1+K549/30),1),"")</f>
        <v/>
      </c>
      <c r="W549" s="22"/>
      <c r="X549" s="21" t="str">
        <f aca="false">IF(AND(F549="Bilbo",E549&lt;&gt;"",G549&lt;&gt;"",H549&lt;&gt;""),E549&amp;"|"&amp;G549&amp;"|"&amp;H549,"")</f>
        <v/>
      </c>
      <c r="Y549" s="21" t="str">
        <f aca="false">IF(B549="","",IF(B549&lt;&gt;B548,1,0))</f>
        <v/>
      </c>
    </row>
    <row r="550" customFormat="false" ht="15" hidden="false" customHeight="true" outlineLevel="0" collapsed="false">
      <c r="A550" s="21" t="str">
        <f aca="false">IF(B550="","",ROW()-4)</f>
        <v/>
      </c>
      <c r="B550" s="22"/>
      <c r="C550" s="21" t="str">
        <f aca="false">IF(B550="","",CHOOSE(WEEKDAY(B550,2),"LUNES","MARTES","MIÉRCOLES","JUEVES","VIERNES","SÁBADO","DOMINGO"))</f>
        <v/>
      </c>
      <c r="M550" s="23"/>
      <c r="Q550" s="21" t="str">
        <f aca="false">IF(OR(K550="",N550=""),"",K550-N550)</f>
        <v/>
      </c>
      <c r="R550" s="21" t="str">
        <f aca="false">IF(OR(J550="",K550=""),"",J550*K550)</f>
        <v/>
      </c>
      <c r="S550" s="21" t="str">
        <f aca="false">IF(AND(ISNUMBER(J550),ISNUMBER(K550),F550&lt;&gt;"Calentamiento",F550&lt;&gt;"Bilbo"),IF(AND(K550&gt;0,K550&lt;=12),ROUND(J550*(1+(K550+IF(ISNUMBER(L550),L550,0))/30),1),""),"")</f>
        <v/>
      </c>
      <c r="T550" s="21" t="str">
        <f aca="false">IF(AND(F550="Bilbo",ISNUMBER(J550),ISNUMBER(K550)),ROUND(J550*(1+K550/30),1),"")</f>
        <v/>
      </c>
      <c r="W550" s="22"/>
      <c r="X550" s="21" t="str">
        <f aca="false">IF(AND(F550="Bilbo",E550&lt;&gt;"",G550&lt;&gt;"",H550&lt;&gt;""),E550&amp;"|"&amp;G550&amp;"|"&amp;H550,"")</f>
        <v/>
      </c>
      <c r="Y550" s="21" t="str">
        <f aca="false">IF(B550="","",IF(B550&lt;&gt;B549,1,0))</f>
        <v/>
      </c>
    </row>
    <row r="551" customFormat="false" ht="15" hidden="false" customHeight="true" outlineLevel="0" collapsed="false">
      <c r="A551" s="21" t="str">
        <f aca="false">IF(B551="","",ROW()-4)</f>
        <v/>
      </c>
      <c r="B551" s="22"/>
      <c r="C551" s="21" t="str">
        <f aca="false">IF(B551="","",CHOOSE(WEEKDAY(B551,2),"LUNES","MARTES","MIÉRCOLES","JUEVES","VIERNES","SÁBADO","DOMINGO"))</f>
        <v/>
      </c>
      <c r="M551" s="23"/>
      <c r="Q551" s="21" t="str">
        <f aca="false">IF(OR(K551="",N551=""),"",K551-N551)</f>
        <v/>
      </c>
      <c r="R551" s="21" t="str">
        <f aca="false">IF(OR(J551="",K551=""),"",J551*K551)</f>
        <v/>
      </c>
      <c r="S551" s="21" t="str">
        <f aca="false">IF(AND(ISNUMBER(J551),ISNUMBER(K551),F551&lt;&gt;"Calentamiento",F551&lt;&gt;"Bilbo"),IF(AND(K551&gt;0,K551&lt;=12),ROUND(J551*(1+(K551+IF(ISNUMBER(L551),L551,0))/30),1),""),"")</f>
        <v/>
      </c>
      <c r="T551" s="21" t="str">
        <f aca="false">IF(AND(F551="Bilbo",ISNUMBER(J551),ISNUMBER(K551)),ROUND(J551*(1+K551/30),1),"")</f>
        <v/>
      </c>
      <c r="W551" s="22"/>
      <c r="X551" s="21" t="str">
        <f aca="false">IF(AND(F551="Bilbo",E551&lt;&gt;"",G551&lt;&gt;"",H551&lt;&gt;""),E551&amp;"|"&amp;G551&amp;"|"&amp;H551,"")</f>
        <v/>
      </c>
      <c r="Y551" s="21" t="str">
        <f aca="false">IF(B551="","",IF(B551&lt;&gt;B550,1,0))</f>
        <v/>
      </c>
    </row>
    <row r="552" customFormat="false" ht="15" hidden="false" customHeight="true" outlineLevel="0" collapsed="false">
      <c r="A552" s="21" t="str">
        <f aca="false">IF(B552="","",ROW()-4)</f>
        <v/>
      </c>
      <c r="B552" s="22"/>
      <c r="C552" s="21" t="str">
        <f aca="false">IF(B552="","",CHOOSE(WEEKDAY(B552,2),"LUNES","MARTES","MIÉRCOLES","JUEVES","VIERNES","SÁBADO","DOMINGO"))</f>
        <v/>
      </c>
      <c r="M552" s="23"/>
      <c r="Q552" s="21" t="str">
        <f aca="false">IF(OR(K552="",N552=""),"",K552-N552)</f>
        <v/>
      </c>
      <c r="R552" s="21" t="str">
        <f aca="false">IF(OR(J552="",K552=""),"",J552*K552)</f>
        <v/>
      </c>
      <c r="S552" s="21" t="str">
        <f aca="false">IF(AND(ISNUMBER(J552),ISNUMBER(K552),F552&lt;&gt;"Calentamiento",F552&lt;&gt;"Bilbo"),IF(AND(K552&gt;0,K552&lt;=12),ROUND(J552*(1+(K552+IF(ISNUMBER(L552),L552,0))/30),1),""),"")</f>
        <v/>
      </c>
      <c r="T552" s="21" t="str">
        <f aca="false">IF(AND(F552="Bilbo",ISNUMBER(J552),ISNUMBER(K552)),ROUND(J552*(1+K552/30),1),"")</f>
        <v/>
      </c>
      <c r="W552" s="22"/>
      <c r="X552" s="21" t="str">
        <f aca="false">IF(AND(F552="Bilbo",E552&lt;&gt;"",G552&lt;&gt;"",H552&lt;&gt;""),E552&amp;"|"&amp;G552&amp;"|"&amp;H552,"")</f>
        <v/>
      </c>
      <c r="Y552" s="21" t="str">
        <f aca="false">IF(B552="","",IF(B552&lt;&gt;B551,1,0))</f>
        <v/>
      </c>
    </row>
    <row r="553" customFormat="false" ht="15" hidden="false" customHeight="true" outlineLevel="0" collapsed="false">
      <c r="A553" s="21" t="str">
        <f aca="false">IF(B553="","",ROW()-4)</f>
        <v/>
      </c>
      <c r="B553" s="22"/>
      <c r="C553" s="21" t="str">
        <f aca="false">IF(B553="","",CHOOSE(WEEKDAY(B553,2),"LUNES","MARTES","MIÉRCOLES","JUEVES","VIERNES","SÁBADO","DOMINGO"))</f>
        <v/>
      </c>
      <c r="M553" s="23"/>
      <c r="Q553" s="21" t="str">
        <f aca="false">IF(OR(K553="",N553=""),"",K553-N553)</f>
        <v/>
      </c>
      <c r="R553" s="21" t="str">
        <f aca="false">IF(OR(J553="",K553=""),"",J553*K553)</f>
        <v/>
      </c>
      <c r="S553" s="21" t="str">
        <f aca="false">IF(AND(ISNUMBER(J553),ISNUMBER(K553),F553&lt;&gt;"Calentamiento",F553&lt;&gt;"Bilbo"),IF(AND(K553&gt;0,K553&lt;=12),ROUND(J553*(1+(K553+IF(ISNUMBER(L553),L553,0))/30),1),""),"")</f>
        <v/>
      </c>
      <c r="T553" s="21" t="str">
        <f aca="false">IF(AND(F553="Bilbo",ISNUMBER(J553),ISNUMBER(K553)),ROUND(J553*(1+K553/30),1),"")</f>
        <v/>
      </c>
      <c r="W553" s="22"/>
      <c r="X553" s="21" t="str">
        <f aca="false">IF(AND(F553="Bilbo",E553&lt;&gt;"",G553&lt;&gt;"",H553&lt;&gt;""),E553&amp;"|"&amp;G553&amp;"|"&amp;H553,"")</f>
        <v/>
      </c>
      <c r="Y553" s="21" t="str">
        <f aca="false">IF(B553="","",IF(B553&lt;&gt;B552,1,0))</f>
        <v/>
      </c>
    </row>
    <row r="554" customFormat="false" ht="15" hidden="false" customHeight="true" outlineLevel="0" collapsed="false">
      <c r="A554" s="21" t="str">
        <f aca="false">IF(B554="","",ROW()-4)</f>
        <v/>
      </c>
      <c r="B554" s="22"/>
      <c r="C554" s="21" t="str">
        <f aca="false">IF(B554="","",CHOOSE(WEEKDAY(B554,2),"LUNES","MARTES","MIÉRCOLES","JUEVES","VIERNES","SÁBADO","DOMINGO"))</f>
        <v/>
      </c>
      <c r="M554" s="23"/>
      <c r="Q554" s="21" t="str">
        <f aca="false">IF(OR(K554="",N554=""),"",K554-N554)</f>
        <v/>
      </c>
      <c r="R554" s="21" t="str">
        <f aca="false">IF(OR(J554="",K554=""),"",J554*K554)</f>
        <v/>
      </c>
      <c r="S554" s="21" t="str">
        <f aca="false">IF(AND(ISNUMBER(J554),ISNUMBER(K554),F554&lt;&gt;"Calentamiento",F554&lt;&gt;"Bilbo"),IF(AND(K554&gt;0,K554&lt;=12),ROUND(J554*(1+(K554+IF(ISNUMBER(L554),L554,0))/30),1),""),"")</f>
        <v/>
      </c>
      <c r="T554" s="21" t="str">
        <f aca="false">IF(AND(F554="Bilbo",ISNUMBER(J554),ISNUMBER(K554)),ROUND(J554*(1+K554/30),1),"")</f>
        <v/>
      </c>
      <c r="W554" s="22"/>
      <c r="X554" s="21" t="str">
        <f aca="false">IF(AND(F554="Bilbo",E554&lt;&gt;"",G554&lt;&gt;"",H554&lt;&gt;""),E554&amp;"|"&amp;G554&amp;"|"&amp;H554,"")</f>
        <v/>
      </c>
      <c r="Y554" s="21" t="str">
        <f aca="false">IF(B554="","",IF(B554&lt;&gt;B553,1,0))</f>
        <v/>
      </c>
    </row>
    <row r="555" customFormat="false" ht="15" hidden="false" customHeight="true" outlineLevel="0" collapsed="false">
      <c r="A555" s="21" t="str">
        <f aca="false">IF(B555="","",ROW()-4)</f>
        <v/>
      </c>
      <c r="B555" s="22"/>
      <c r="C555" s="21" t="str">
        <f aca="false">IF(B555="","",CHOOSE(WEEKDAY(B555,2),"LUNES","MARTES","MIÉRCOLES","JUEVES","VIERNES","SÁBADO","DOMINGO"))</f>
        <v/>
      </c>
      <c r="M555" s="23"/>
      <c r="Q555" s="21" t="str">
        <f aca="false">IF(OR(K555="",N555=""),"",K555-N555)</f>
        <v/>
      </c>
      <c r="R555" s="21" t="str">
        <f aca="false">IF(OR(J555="",K555=""),"",J555*K555)</f>
        <v/>
      </c>
      <c r="S555" s="21" t="str">
        <f aca="false">IF(AND(ISNUMBER(J555),ISNUMBER(K555),F555&lt;&gt;"Calentamiento",F555&lt;&gt;"Bilbo"),IF(AND(K555&gt;0,K555&lt;=12),ROUND(J555*(1+(K555+IF(ISNUMBER(L555),L555,0))/30),1),""),"")</f>
        <v/>
      </c>
      <c r="T555" s="21" t="str">
        <f aca="false">IF(AND(F555="Bilbo",ISNUMBER(J555),ISNUMBER(K555)),ROUND(J555*(1+K555/30),1),"")</f>
        <v/>
      </c>
      <c r="W555" s="22"/>
      <c r="X555" s="21" t="str">
        <f aca="false">IF(AND(F555="Bilbo",E555&lt;&gt;"",G555&lt;&gt;"",H555&lt;&gt;""),E555&amp;"|"&amp;G555&amp;"|"&amp;H555,"")</f>
        <v/>
      </c>
      <c r="Y555" s="21" t="str">
        <f aca="false">IF(B555="","",IF(B555&lt;&gt;B554,1,0))</f>
        <v/>
      </c>
    </row>
    <row r="556" customFormat="false" ht="15" hidden="false" customHeight="true" outlineLevel="0" collapsed="false">
      <c r="A556" s="21" t="str">
        <f aca="false">IF(B556="","",ROW()-4)</f>
        <v/>
      </c>
      <c r="B556" s="22"/>
      <c r="C556" s="21" t="str">
        <f aca="false">IF(B556="","",CHOOSE(WEEKDAY(B556,2),"LUNES","MARTES","MIÉRCOLES","JUEVES","VIERNES","SÁBADO","DOMINGO"))</f>
        <v/>
      </c>
      <c r="M556" s="23"/>
      <c r="Q556" s="21" t="str">
        <f aca="false">IF(OR(K556="",N556=""),"",K556-N556)</f>
        <v/>
      </c>
      <c r="R556" s="21" t="str">
        <f aca="false">IF(OR(J556="",K556=""),"",J556*K556)</f>
        <v/>
      </c>
      <c r="S556" s="21" t="str">
        <f aca="false">IF(AND(ISNUMBER(J556),ISNUMBER(K556),F556&lt;&gt;"Calentamiento",F556&lt;&gt;"Bilbo"),IF(AND(K556&gt;0,K556&lt;=12),ROUND(J556*(1+(K556+IF(ISNUMBER(L556),L556,0))/30),1),""),"")</f>
        <v/>
      </c>
      <c r="T556" s="21" t="str">
        <f aca="false">IF(AND(F556="Bilbo",ISNUMBER(J556),ISNUMBER(K556)),ROUND(J556*(1+K556/30),1),"")</f>
        <v/>
      </c>
      <c r="W556" s="22"/>
      <c r="X556" s="21" t="str">
        <f aca="false">IF(AND(F556="Bilbo",E556&lt;&gt;"",G556&lt;&gt;"",H556&lt;&gt;""),E556&amp;"|"&amp;G556&amp;"|"&amp;H556,"")</f>
        <v/>
      </c>
      <c r="Y556" s="21" t="str">
        <f aca="false">IF(B556="","",IF(B556&lt;&gt;B555,1,0))</f>
        <v/>
      </c>
    </row>
    <row r="557" customFormat="false" ht="15" hidden="false" customHeight="true" outlineLevel="0" collapsed="false">
      <c r="A557" s="21" t="str">
        <f aca="false">IF(B557="","",ROW()-4)</f>
        <v/>
      </c>
      <c r="B557" s="22"/>
      <c r="C557" s="21" t="str">
        <f aca="false">IF(B557="","",CHOOSE(WEEKDAY(B557,2),"LUNES","MARTES","MIÉRCOLES","JUEVES","VIERNES","SÁBADO","DOMINGO"))</f>
        <v/>
      </c>
      <c r="M557" s="23"/>
      <c r="Q557" s="21" t="str">
        <f aca="false">IF(OR(K557="",N557=""),"",K557-N557)</f>
        <v/>
      </c>
      <c r="R557" s="21" t="str">
        <f aca="false">IF(OR(J557="",K557=""),"",J557*K557)</f>
        <v/>
      </c>
      <c r="S557" s="21" t="str">
        <f aca="false">IF(AND(ISNUMBER(J557),ISNUMBER(K557),F557&lt;&gt;"Calentamiento",F557&lt;&gt;"Bilbo"),IF(AND(K557&gt;0,K557&lt;=12),ROUND(J557*(1+(K557+IF(ISNUMBER(L557),L557,0))/30),1),""),"")</f>
        <v/>
      </c>
      <c r="T557" s="21" t="str">
        <f aca="false">IF(AND(F557="Bilbo",ISNUMBER(J557),ISNUMBER(K557)),ROUND(J557*(1+K557/30),1),"")</f>
        <v/>
      </c>
      <c r="W557" s="22"/>
      <c r="X557" s="21" t="str">
        <f aca="false">IF(AND(F557="Bilbo",E557&lt;&gt;"",G557&lt;&gt;"",H557&lt;&gt;""),E557&amp;"|"&amp;G557&amp;"|"&amp;H557,"")</f>
        <v/>
      </c>
      <c r="Y557" s="21" t="str">
        <f aca="false">IF(B557="","",IF(B557&lt;&gt;B556,1,0))</f>
        <v/>
      </c>
    </row>
    <row r="558" customFormat="false" ht="15" hidden="false" customHeight="true" outlineLevel="0" collapsed="false">
      <c r="A558" s="21" t="str">
        <f aca="false">IF(B558="","",ROW()-4)</f>
        <v/>
      </c>
      <c r="B558" s="22"/>
      <c r="C558" s="21" t="str">
        <f aca="false">IF(B558="","",CHOOSE(WEEKDAY(B558,2),"LUNES","MARTES","MIÉRCOLES","JUEVES","VIERNES","SÁBADO","DOMINGO"))</f>
        <v/>
      </c>
      <c r="M558" s="23"/>
      <c r="Q558" s="21" t="str">
        <f aca="false">IF(OR(K558="",N558=""),"",K558-N558)</f>
        <v/>
      </c>
      <c r="R558" s="21" t="str">
        <f aca="false">IF(OR(J558="",K558=""),"",J558*K558)</f>
        <v/>
      </c>
      <c r="S558" s="21" t="str">
        <f aca="false">IF(AND(ISNUMBER(J558),ISNUMBER(K558),F558&lt;&gt;"Calentamiento",F558&lt;&gt;"Bilbo"),IF(AND(K558&gt;0,K558&lt;=12),ROUND(J558*(1+(K558+IF(ISNUMBER(L558),L558,0))/30),1),""),"")</f>
        <v/>
      </c>
      <c r="T558" s="21" t="str">
        <f aca="false">IF(AND(F558="Bilbo",ISNUMBER(J558),ISNUMBER(K558)),ROUND(J558*(1+K558/30),1),"")</f>
        <v/>
      </c>
      <c r="W558" s="22"/>
      <c r="X558" s="21" t="str">
        <f aca="false">IF(AND(F558="Bilbo",E558&lt;&gt;"",G558&lt;&gt;"",H558&lt;&gt;""),E558&amp;"|"&amp;G558&amp;"|"&amp;H558,"")</f>
        <v/>
      </c>
      <c r="Y558" s="21" t="str">
        <f aca="false">IF(B558="","",IF(B558&lt;&gt;B557,1,0))</f>
        <v/>
      </c>
    </row>
    <row r="559" customFormat="false" ht="15" hidden="false" customHeight="true" outlineLevel="0" collapsed="false">
      <c r="A559" s="21" t="str">
        <f aca="false">IF(B559="","",ROW()-4)</f>
        <v/>
      </c>
      <c r="B559" s="22"/>
      <c r="C559" s="21" t="str">
        <f aca="false">IF(B559="","",CHOOSE(WEEKDAY(B559,2),"LUNES","MARTES","MIÉRCOLES","JUEVES","VIERNES","SÁBADO","DOMINGO"))</f>
        <v/>
      </c>
      <c r="M559" s="23"/>
      <c r="Q559" s="21" t="str">
        <f aca="false">IF(OR(K559="",N559=""),"",K559-N559)</f>
        <v/>
      </c>
      <c r="R559" s="21" t="str">
        <f aca="false">IF(OR(J559="",K559=""),"",J559*K559)</f>
        <v/>
      </c>
      <c r="S559" s="21" t="str">
        <f aca="false">IF(AND(ISNUMBER(J559),ISNUMBER(K559),F559&lt;&gt;"Calentamiento",F559&lt;&gt;"Bilbo"),IF(AND(K559&gt;0,K559&lt;=12),ROUND(J559*(1+(K559+IF(ISNUMBER(L559),L559,0))/30),1),""),"")</f>
        <v/>
      </c>
      <c r="T559" s="21" t="str">
        <f aca="false">IF(AND(F559="Bilbo",ISNUMBER(J559),ISNUMBER(K559)),ROUND(J559*(1+K559/30),1),"")</f>
        <v/>
      </c>
      <c r="W559" s="22"/>
      <c r="X559" s="21" t="str">
        <f aca="false">IF(AND(F559="Bilbo",E559&lt;&gt;"",G559&lt;&gt;"",H559&lt;&gt;""),E559&amp;"|"&amp;G559&amp;"|"&amp;H559,"")</f>
        <v/>
      </c>
      <c r="Y559" s="21" t="str">
        <f aca="false">IF(B559="","",IF(B559&lt;&gt;B558,1,0))</f>
        <v/>
      </c>
    </row>
    <row r="560" customFormat="false" ht="15" hidden="false" customHeight="true" outlineLevel="0" collapsed="false">
      <c r="A560" s="21" t="str">
        <f aca="false">IF(B560="","",ROW()-4)</f>
        <v/>
      </c>
      <c r="B560" s="22"/>
      <c r="C560" s="21" t="str">
        <f aca="false">IF(B560="","",CHOOSE(WEEKDAY(B560,2),"LUNES","MARTES","MIÉRCOLES","JUEVES","VIERNES","SÁBADO","DOMINGO"))</f>
        <v/>
      </c>
      <c r="M560" s="23"/>
      <c r="Q560" s="21" t="str">
        <f aca="false">IF(OR(K560="",N560=""),"",K560-N560)</f>
        <v/>
      </c>
      <c r="R560" s="21" t="str">
        <f aca="false">IF(OR(J560="",K560=""),"",J560*K560)</f>
        <v/>
      </c>
      <c r="S560" s="21" t="str">
        <f aca="false">IF(AND(ISNUMBER(J560),ISNUMBER(K560),F560&lt;&gt;"Calentamiento",F560&lt;&gt;"Bilbo"),IF(AND(K560&gt;0,K560&lt;=12),ROUND(J560*(1+(K560+IF(ISNUMBER(L560),L560,0))/30),1),""),"")</f>
        <v/>
      </c>
      <c r="T560" s="21" t="str">
        <f aca="false">IF(AND(F560="Bilbo",ISNUMBER(J560),ISNUMBER(K560)),ROUND(J560*(1+K560/30),1),"")</f>
        <v/>
      </c>
      <c r="W560" s="22"/>
      <c r="X560" s="21" t="str">
        <f aca="false">IF(AND(F560="Bilbo",E560&lt;&gt;"",G560&lt;&gt;"",H560&lt;&gt;""),E560&amp;"|"&amp;G560&amp;"|"&amp;H560,"")</f>
        <v/>
      </c>
      <c r="Y560" s="21" t="str">
        <f aca="false">IF(B560="","",IF(B560&lt;&gt;B559,1,0))</f>
        <v/>
      </c>
    </row>
    <row r="561" customFormat="false" ht="15" hidden="false" customHeight="true" outlineLevel="0" collapsed="false">
      <c r="A561" s="21" t="str">
        <f aca="false">IF(B561="","",ROW()-4)</f>
        <v/>
      </c>
      <c r="B561" s="22"/>
      <c r="C561" s="21" t="str">
        <f aca="false">IF(B561="","",CHOOSE(WEEKDAY(B561,2),"LUNES","MARTES","MIÉRCOLES","JUEVES","VIERNES","SÁBADO","DOMINGO"))</f>
        <v/>
      </c>
      <c r="M561" s="23"/>
      <c r="Q561" s="21" t="str">
        <f aca="false">IF(OR(K561="",N561=""),"",K561-N561)</f>
        <v/>
      </c>
      <c r="R561" s="21" t="str">
        <f aca="false">IF(OR(J561="",K561=""),"",J561*K561)</f>
        <v/>
      </c>
      <c r="S561" s="21" t="str">
        <f aca="false">IF(AND(ISNUMBER(J561),ISNUMBER(K561),F561&lt;&gt;"Calentamiento",F561&lt;&gt;"Bilbo"),IF(AND(K561&gt;0,K561&lt;=12),ROUND(J561*(1+(K561+IF(ISNUMBER(L561),L561,0))/30),1),""),"")</f>
        <v/>
      </c>
      <c r="T561" s="21" t="str">
        <f aca="false">IF(AND(F561="Bilbo",ISNUMBER(J561),ISNUMBER(K561)),ROUND(J561*(1+K561/30),1),"")</f>
        <v/>
      </c>
      <c r="W561" s="22"/>
      <c r="X561" s="21" t="str">
        <f aca="false">IF(AND(F561="Bilbo",E561&lt;&gt;"",G561&lt;&gt;"",H561&lt;&gt;""),E561&amp;"|"&amp;G561&amp;"|"&amp;H561,"")</f>
        <v/>
      </c>
      <c r="Y561" s="21" t="str">
        <f aca="false">IF(B561="","",IF(B561&lt;&gt;B560,1,0))</f>
        <v/>
      </c>
    </row>
    <row r="562" customFormat="false" ht="15" hidden="false" customHeight="true" outlineLevel="0" collapsed="false">
      <c r="A562" s="21" t="str">
        <f aca="false">IF(B562="","",ROW()-4)</f>
        <v/>
      </c>
      <c r="B562" s="22"/>
      <c r="C562" s="21" t="str">
        <f aca="false">IF(B562="","",CHOOSE(WEEKDAY(B562,2),"LUNES","MARTES","MIÉRCOLES","JUEVES","VIERNES","SÁBADO","DOMINGO"))</f>
        <v/>
      </c>
      <c r="M562" s="23"/>
      <c r="Q562" s="21" t="str">
        <f aca="false">IF(OR(K562="",N562=""),"",K562-N562)</f>
        <v/>
      </c>
      <c r="R562" s="21" t="str">
        <f aca="false">IF(OR(J562="",K562=""),"",J562*K562)</f>
        <v/>
      </c>
      <c r="S562" s="21" t="str">
        <f aca="false">IF(AND(ISNUMBER(J562),ISNUMBER(K562),F562&lt;&gt;"Calentamiento",F562&lt;&gt;"Bilbo"),IF(AND(K562&gt;0,K562&lt;=12),ROUND(J562*(1+(K562+IF(ISNUMBER(L562),L562,0))/30),1),""),"")</f>
        <v/>
      </c>
      <c r="T562" s="21" t="str">
        <f aca="false">IF(AND(F562="Bilbo",ISNUMBER(J562),ISNUMBER(K562)),ROUND(J562*(1+K562/30),1),"")</f>
        <v/>
      </c>
      <c r="W562" s="22"/>
      <c r="X562" s="21" t="str">
        <f aca="false">IF(AND(F562="Bilbo",E562&lt;&gt;"",G562&lt;&gt;"",H562&lt;&gt;""),E562&amp;"|"&amp;G562&amp;"|"&amp;H562,"")</f>
        <v/>
      </c>
      <c r="Y562" s="21" t="str">
        <f aca="false">IF(B562="","",IF(B562&lt;&gt;B561,1,0))</f>
        <v/>
      </c>
    </row>
    <row r="563" customFormat="false" ht="15" hidden="false" customHeight="true" outlineLevel="0" collapsed="false">
      <c r="A563" s="21" t="str">
        <f aca="false">IF(B563="","",ROW()-4)</f>
        <v/>
      </c>
      <c r="B563" s="22"/>
      <c r="C563" s="21" t="str">
        <f aca="false">IF(B563="","",CHOOSE(WEEKDAY(B563,2),"LUNES","MARTES","MIÉRCOLES","JUEVES","VIERNES","SÁBADO","DOMINGO"))</f>
        <v/>
      </c>
      <c r="M563" s="23"/>
      <c r="Q563" s="21" t="str">
        <f aca="false">IF(OR(K563="",N563=""),"",K563-N563)</f>
        <v/>
      </c>
      <c r="R563" s="21" t="str">
        <f aca="false">IF(OR(J563="",K563=""),"",J563*K563)</f>
        <v/>
      </c>
      <c r="S563" s="21" t="str">
        <f aca="false">IF(AND(ISNUMBER(J563),ISNUMBER(K563),F563&lt;&gt;"Calentamiento",F563&lt;&gt;"Bilbo"),IF(AND(K563&gt;0,K563&lt;=12),ROUND(J563*(1+(K563+IF(ISNUMBER(L563),L563,0))/30),1),""),"")</f>
        <v/>
      </c>
      <c r="T563" s="21" t="str">
        <f aca="false">IF(AND(F563="Bilbo",ISNUMBER(J563),ISNUMBER(K563)),ROUND(J563*(1+K563/30),1),"")</f>
        <v/>
      </c>
      <c r="W563" s="22"/>
      <c r="X563" s="21" t="str">
        <f aca="false">IF(AND(F563="Bilbo",E563&lt;&gt;"",G563&lt;&gt;"",H563&lt;&gt;""),E563&amp;"|"&amp;G563&amp;"|"&amp;H563,"")</f>
        <v/>
      </c>
      <c r="Y563" s="21" t="str">
        <f aca="false">IF(B563="","",IF(B563&lt;&gt;B562,1,0))</f>
        <v/>
      </c>
    </row>
    <row r="564" customFormat="false" ht="15" hidden="false" customHeight="true" outlineLevel="0" collapsed="false">
      <c r="A564" s="21" t="str">
        <f aca="false">IF(B564="","",ROW()-4)</f>
        <v/>
      </c>
      <c r="B564" s="22"/>
      <c r="C564" s="21" t="str">
        <f aca="false">IF(B564="","",CHOOSE(WEEKDAY(B564,2),"LUNES","MARTES","MIÉRCOLES","JUEVES","VIERNES","SÁBADO","DOMINGO"))</f>
        <v/>
      </c>
      <c r="M564" s="23"/>
      <c r="Q564" s="21" t="str">
        <f aca="false">IF(OR(K564="",N564=""),"",K564-N564)</f>
        <v/>
      </c>
      <c r="R564" s="21" t="str">
        <f aca="false">IF(OR(J564="",K564=""),"",J564*K564)</f>
        <v/>
      </c>
      <c r="S564" s="21" t="str">
        <f aca="false">IF(AND(ISNUMBER(J564),ISNUMBER(K564),F564&lt;&gt;"Calentamiento",F564&lt;&gt;"Bilbo"),IF(AND(K564&gt;0,K564&lt;=12),ROUND(J564*(1+(K564+IF(ISNUMBER(L564),L564,0))/30),1),""),"")</f>
        <v/>
      </c>
      <c r="T564" s="21" t="str">
        <f aca="false">IF(AND(F564="Bilbo",ISNUMBER(J564),ISNUMBER(K564)),ROUND(J564*(1+K564/30),1),"")</f>
        <v/>
      </c>
      <c r="W564" s="22"/>
      <c r="X564" s="21" t="str">
        <f aca="false">IF(AND(F564="Bilbo",E564&lt;&gt;"",G564&lt;&gt;"",H564&lt;&gt;""),E564&amp;"|"&amp;G564&amp;"|"&amp;H564,"")</f>
        <v/>
      </c>
      <c r="Y564" s="21" t="str">
        <f aca="false">IF(B564="","",IF(B564&lt;&gt;B563,1,0))</f>
        <v/>
      </c>
    </row>
    <row r="565" customFormat="false" ht="15" hidden="false" customHeight="true" outlineLevel="0" collapsed="false">
      <c r="A565" s="21" t="str">
        <f aca="false">IF(B565="","",ROW()-4)</f>
        <v/>
      </c>
      <c r="B565" s="22"/>
      <c r="C565" s="21" t="str">
        <f aca="false">IF(B565="","",CHOOSE(WEEKDAY(B565,2),"LUNES","MARTES","MIÉRCOLES","JUEVES","VIERNES","SÁBADO","DOMINGO"))</f>
        <v/>
      </c>
      <c r="M565" s="23"/>
      <c r="Q565" s="21" t="str">
        <f aca="false">IF(OR(K565="",N565=""),"",K565-N565)</f>
        <v/>
      </c>
      <c r="R565" s="21" t="str">
        <f aca="false">IF(OR(J565="",K565=""),"",J565*K565)</f>
        <v/>
      </c>
      <c r="S565" s="21" t="str">
        <f aca="false">IF(AND(ISNUMBER(J565),ISNUMBER(K565),F565&lt;&gt;"Calentamiento",F565&lt;&gt;"Bilbo"),IF(AND(K565&gt;0,K565&lt;=12),ROUND(J565*(1+(K565+IF(ISNUMBER(L565),L565,0))/30),1),""),"")</f>
        <v/>
      </c>
      <c r="T565" s="21" t="str">
        <f aca="false">IF(AND(F565="Bilbo",ISNUMBER(J565),ISNUMBER(K565)),ROUND(J565*(1+K565/30),1),"")</f>
        <v/>
      </c>
      <c r="W565" s="22"/>
      <c r="X565" s="21" t="str">
        <f aca="false">IF(AND(F565="Bilbo",E565&lt;&gt;"",G565&lt;&gt;"",H565&lt;&gt;""),E565&amp;"|"&amp;G565&amp;"|"&amp;H565,"")</f>
        <v/>
      </c>
      <c r="Y565" s="21" t="str">
        <f aca="false">IF(B565="","",IF(B565&lt;&gt;B564,1,0))</f>
        <v/>
      </c>
    </row>
    <row r="566" customFormat="false" ht="15" hidden="false" customHeight="true" outlineLevel="0" collapsed="false">
      <c r="A566" s="21" t="str">
        <f aca="false">IF(B566="","",ROW()-4)</f>
        <v/>
      </c>
      <c r="B566" s="22"/>
      <c r="C566" s="21" t="str">
        <f aca="false">IF(B566="","",CHOOSE(WEEKDAY(B566,2),"LUNES","MARTES","MIÉRCOLES","JUEVES","VIERNES","SÁBADO","DOMINGO"))</f>
        <v/>
      </c>
      <c r="M566" s="23"/>
      <c r="Q566" s="21" t="str">
        <f aca="false">IF(OR(K566="",N566=""),"",K566-N566)</f>
        <v/>
      </c>
      <c r="R566" s="21" t="str">
        <f aca="false">IF(OR(J566="",K566=""),"",J566*K566)</f>
        <v/>
      </c>
      <c r="S566" s="21" t="str">
        <f aca="false">IF(AND(ISNUMBER(J566),ISNUMBER(K566),F566&lt;&gt;"Calentamiento",F566&lt;&gt;"Bilbo"),IF(AND(K566&gt;0,K566&lt;=12),ROUND(J566*(1+(K566+IF(ISNUMBER(L566),L566,0))/30),1),""),"")</f>
        <v/>
      </c>
      <c r="T566" s="21" t="str">
        <f aca="false">IF(AND(F566="Bilbo",ISNUMBER(J566),ISNUMBER(K566)),ROUND(J566*(1+K566/30),1),"")</f>
        <v/>
      </c>
      <c r="W566" s="22"/>
      <c r="X566" s="21" t="str">
        <f aca="false">IF(AND(F566="Bilbo",E566&lt;&gt;"",G566&lt;&gt;"",H566&lt;&gt;""),E566&amp;"|"&amp;G566&amp;"|"&amp;H566,"")</f>
        <v/>
      </c>
      <c r="Y566" s="21" t="str">
        <f aca="false">IF(B566="","",IF(B566&lt;&gt;B565,1,0))</f>
        <v/>
      </c>
    </row>
    <row r="567" customFormat="false" ht="15" hidden="false" customHeight="true" outlineLevel="0" collapsed="false">
      <c r="A567" s="21" t="str">
        <f aca="false">IF(B567="","",ROW()-4)</f>
        <v/>
      </c>
      <c r="B567" s="22"/>
      <c r="C567" s="21" t="str">
        <f aca="false">IF(B567="","",CHOOSE(WEEKDAY(B567,2),"LUNES","MARTES","MIÉRCOLES","JUEVES","VIERNES","SÁBADO","DOMINGO"))</f>
        <v/>
      </c>
      <c r="M567" s="23"/>
      <c r="Q567" s="21" t="str">
        <f aca="false">IF(OR(K567="",N567=""),"",K567-N567)</f>
        <v/>
      </c>
      <c r="R567" s="21" t="str">
        <f aca="false">IF(OR(J567="",K567=""),"",J567*K567)</f>
        <v/>
      </c>
      <c r="S567" s="21" t="str">
        <f aca="false">IF(AND(ISNUMBER(J567),ISNUMBER(K567),F567&lt;&gt;"Calentamiento",F567&lt;&gt;"Bilbo"),IF(AND(K567&gt;0,K567&lt;=12),ROUND(J567*(1+(K567+IF(ISNUMBER(L567),L567,0))/30),1),""),"")</f>
        <v/>
      </c>
      <c r="T567" s="21" t="str">
        <f aca="false">IF(AND(F567="Bilbo",ISNUMBER(J567),ISNUMBER(K567)),ROUND(J567*(1+K567/30),1),"")</f>
        <v/>
      </c>
      <c r="W567" s="22"/>
      <c r="X567" s="21" t="str">
        <f aca="false">IF(AND(F567="Bilbo",E567&lt;&gt;"",G567&lt;&gt;"",H567&lt;&gt;""),E567&amp;"|"&amp;G567&amp;"|"&amp;H567,"")</f>
        <v/>
      </c>
      <c r="Y567" s="21" t="str">
        <f aca="false">IF(B567="","",IF(B567&lt;&gt;B566,1,0))</f>
        <v/>
      </c>
    </row>
    <row r="568" customFormat="false" ht="15" hidden="false" customHeight="true" outlineLevel="0" collapsed="false">
      <c r="A568" s="21" t="str">
        <f aca="false">IF(B568="","",ROW()-4)</f>
        <v/>
      </c>
      <c r="B568" s="22"/>
      <c r="C568" s="21" t="str">
        <f aca="false">IF(B568="","",CHOOSE(WEEKDAY(B568,2),"LUNES","MARTES","MIÉRCOLES","JUEVES","VIERNES","SÁBADO","DOMINGO"))</f>
        <v/>
      </c>
      <c r="M568" s="23"/>
      <c r="Q568" s="21" t="str">
        <f aca="false">IF(OR(K568="",N568=""),"",K568-N568)</f>
        <v/>
      </c>
      <c r="R568" s="21" t="str">
        <f aca="false">IF(OR(J568="",K568=""),"",J568*K568)</f>
        <v/>
      </c>
      <c r="S568" s="21" t="str">
        <f aca="false">IF(AND(ISNUMBER(J568),ISNUMBER(K568),F568&lt;&gt;"Calentamiento",F568&lt;&gt;"Bilbo"),IF(AND(K568&gt;0,K568&lt;=12),ROUND(J568*(1+(K568+IF(ISNUMBER(L568),L568,0))/30),1),""),"")</f>
        <v/>
      </c>
      <c r="T568" s="21" t="str">
        <f aca="false">IF(AND(F568="Bilbo",ISNUMBER(J568),ISNUMBER(K568)),ROUND(J568*(1+K568/30),1),"")</f>
        <v/>
      </c>
      <c r="W568" s="22"/>
      <c r="X568" s="21" t="str">
        <f aca="false">IF(AND(F568="Bilbo",E568&lt;&gt;"",G568&lt;&gt;"",H568&lt;&gt;""),E568&amp;"|"&amp;G568&amp;"|"&amp;H568,"")</f>
        <v/>
      </c>
      <c r="Y568" s="21" t="str">
        <f aca="false">IF(B568="","",IF(B568&lt;&gt;B567,1,0))</f>
        <v/>
      </c>
    </row>
    <row r="569" customFormat="false" ht="15" hidden="false" customHeight="true" outlineLevel="0" collapsed="false">
      <c r="A569" s="21" t="str">
        <f aca="false">IF(B569="","",ROW()-4)</f>
        <v/>
      </c>
      <c r="B569" s="22"/>
      <c r="C569" s="21" t="str">
        <f aca="false">IF(B569="","",CHOOSE(WEEKDAY(B569,2),"LUNES","MARTES","MIÉRCOLES","JUEVES","VIERNES","SÁBADO","DOMINGO"))</f>
        <v/>
      </c>
      <c r="M569" s="23"/>
      <c r="Q569" s="21" t="str">
        <f aca="false">IF(OR(K569="",N569=""),"",K569-N569)</f>
        <v/>
      </c>
      <c r="R569" s="21" t="str">
        <f aca="false">IF(OR(J569="",K569=""),"",J569*K569)</f>
        <v/>
      </c>
      <c r="S569" s="21" t="str">
        <f aca="false">IF(AND(ISNUMBER(J569),ISNUMBER(K569),F569&lt;&gt;"Calentamiento",F569&lt;&gt;"Bilbo"),IF(AND(K569&gt;0,K569&lt;=12),ROUND(J569*(1+(K569+IF(ISNUMBER(L569),L569,0))/30),1),""),"")</f>
        <v/>
      </c>
      <c r="T569" s="21" t="str">
        <f aca="false">IF(AND(F569="Bilbo",ISNUMBER(J569),ISNUMBER(K569)),ROUND(J569*(1+K569/30),1),"")</f>
        <v/>
      </c>
      <c r="W569" s="22"/>
      <c r="X569" s="21" t="str">
        <f aca="false">IF(AND(F569="Bilbo",E569&lt;&gt;"",G569&lt;&gt;"",H569&lt;&gt;""),E569&amp;"|"&amp;G569&amp;"|"&amp;H569,"")</f>
        <v/>
      </c>
      <c r="Y569" s="21" t="str">
        <f aca="false">IF(B569="","",IF(B569&lt;&gt;B568,1,0))</f>
        <v/>
      </c>
    </row>
    <row r="570" customFormat="false" ht="15" hidden="false" customHeight="true" outlineLevel="0" collapsed="false">
      <c r="A570" s="21" t="str">
        <f aca="false">IF(B570="","",ROW()-4)</f>
        <v/>
      </c>
      <c r="B570" s="22"/>
      <c r="C570" s="21" t="str">
        <f aca="false">IF(B570="","",CHOOSE(WEEKDAY(B570,2),"LUNES","MARTES","MIÉRCOLES","JUEVES","VIERNES","SÁBADO","DOMINGO"))</f>
        <v/>
      </c>
      <c r="M570" s="23"/>
      <c r="Q570" s="21" t="str">
        <f aca="false">IF(OR(K570="",N570=""),"",K570-N570)</f>
        <v/>
      </c>
      <c r="R570" s="21" t="str">
        <f aca="false">IF(OR(J570="",K570=""),"",J570*K570)</f>
        <v/>
      </c>
      <c r="S570" s="21" t="str">
        <f aca="false">IF(AND(ISNUMBER(J570),ISNUMBER(K570),F570&lt;&gt;"Calentamiento",F570&lt;&gt;"Bilbo"),IF(AND(K570&gt;0,K570&lt;=12),ROUND(J570*(1+(K570+IF(ISNUMBER(L570),L570,0))/30),1),""),"")</f>
        <v/>
      </c>
      <c r="T570" s="21" t="str">
        <f aca="false">IF(AND(F570="Bilbo",ISNUMBER(J570),ISNUMBER(K570)),ROUND(J570*(1+K570/30),1),"")</f>
        <v/>
      </c>
      <c r="W570" s="22"/>
      <c r="X570" s="21" t="str">
        <f aca="false">IF(AND(F570="Bilbo",E570&lt;&gt;"",G570&lt;&gt;"",H570&lt;&gt;""),E570&amp;"|"&amp;G570&amp;"|"&amp;H570,"")</f>
        <v/>
      </c>
      <c r="Y570" s="21" t="str">
        <f aca="false">IF(B570="","",IF(B570&lt;&gt;B569,1,0))</f>
        <v/>
      </c>
    </row>
    <row r="571" customFormat="false" ht="15" hidden="false" customHeight="true" outlineLevel="0" collapsed="false">
      <c r="A571" s="21" t="str">
        <f aca="false">IF(B571="","",ROW()-4)</f>
        <v/>
      </c>
      <c r="B571" s="22"/>
      <c r="C571" s="21" t="str">
        <f aca="false">IF(B571="","",CHOOSE(WEEKDAY(B571,2),"LUNES","MARTES","MIÉRCOLES","JUEVES","VIERNES","SÁBADO","DOMINGO"))</f>
        <v/>
      </c>
      <c r="M571" s="23"/>
      <c r="Q571" s="21" t="str">
        <f aca="false">IF(OR(K571="",N571=""),"",K571-N571)</f>
        <v/>
      </c>
      <c r="R571" s="21" t="str">
        <f aca="false">IF(OR(J571="",K571=""),"",J571*K571)</f>
        <v/>
      </c>
      <c r="S571" s="21" t="str">
        <f aca="false">IF(AND(ISNUMBER(J571),ISNUMBER(K571),F571&lt;&gt;"Calentamiento",F571&lt;&gt;"Bilbo"),IF(AND(K571&gt;0,K571&lt;=12),ROUND(J571*(1+(K571+IF(ISNUMBER(L571),L571,0))/30),1),""),"")</f>
        <v/>
      </c>
      <c r="T571" s="21" t="str">
        <f aca="false">IF(AND(F571="Bilbo",ISNUMBER(J571),ISNUMBER(K571)),ROUND(J571*(1+K571/30),1),"")</f>
        <v/>
      </c>
      <c r="W571" s="22"/>
      <c r="X571" s="21" t="str">
        <f aca="false">IF(AND(F571="Bilbo",E571&lt;&gt;"",G571&lt;&gt;"",H571&lt;&gt;""),E571&amp;"|"&amp;G571&amp;"|"&amp;H571,"")</f>
        <v/>
      </c>
      <c r="Y571" s="21" t="str">
        <f aca="false">IF(B571="","",IF(B571&lt;&gt;B570,1,0))</f>
        <v/>
      </c>
    </row>
    <row r="572" customFormat="false" ht="15" hidden="false" customHeight="true" outlineLevel="0" collapsed="false">
      <c r="A572" s="21" t="str">
        <f aca="false">IF(B572="","",ROW()-4)</f>
        <v/>
      </c>
      <c r="B572" s="22"/>
      <c r="C572" s="21" t="str">
        <f aca="false">IF(B572="","",CHOOSE(WEEKDAY(B572,2),"LUNES","MARTES","MIÉRCOLES","JUEVES","VIERNES","SÁBADO","DOMINGO"))</f>
        <v/>
      </c>
      <c r="M572" s="23"/>
      <c r="Q572" s="21" t="str">
        <f aca="false">IF(OR(K572="",N572=""),"",K572-N572)</f>
        <v/>
      </c>
      <c r="R572" s="21" t="str">
        <f aca="false">IF(OR(J572="",K572=""),"",J572*K572)</f>
        <v/>
      </c>
      <c r="S572" s="21" t="str">
        <f aca="false">IF(AND(ISNUMBER(J572),ISNUMBER(K572),F572&lt;&gt;"Calentamiento",F572&lt;&gt;"Bilbo"),IF(AND(K572&gt;0,K572&lt;=12),ROUND(J572*(1+(K572+IF(ISNUMBER(L572),L572,0))/30),1),""),"")</f>
        <v/>
      </c>
      <c r="T572" s="21" t="str">
        <f aca="false">IF(AND(F572="Bilbo",ISNUMBER(J572),ISNUMBER(K572)),ROUND(J572*(1+K572/30),1),"")</f>
        <v/>
      </c>
      <c r="W572" s="22"/>
      <c r="X572" s="21" t="str">
        <f aca="false">IF(AND(F572="Bilbo",E572&lt;&gt;"",G572&lt;&gt;"",H572&lt;&gt;""),E572&amp;"|"&amp;G572&amp;"|"&amp;H572,"")</f>
        <v/>
      </c>
      <c r="Y572" s="21" t="str">
        <f aca="false">IF(B572="","",IF(B572&lt;&gt;B571,1,0))</f>
        <v/>
      </c>
    </row>
    <row r="573" customFormat="false" ht="15" hidden="false" customHeight="true" outlineLevel="0" collapsed="false">
      <c r="A573" s="21" t="str">
        <f aca="false">IF(B573="","",ROW()-4)</f>
        <v/>
      </c>
      <c r="B573" s="22"/>
      <c r="C573" s="21" t="str">
        <f aca="false">IF(B573="","",CHOOSE(WEEKDAY(B573,2),"LUNES","MARTES","MIÉRCOLES","JUEVES","VIERNES","SÁBADO","DOMINGO"))</f>
        <v/>
      </c>
      <c r="M573" s="23"/>
      <c r="Q573" s="21" t="str">
        <f aca="false">IF(OR(K573="",N573=""),"",K573-N573)</f>
        <v/>
      </c>
      <c r="R573" s="21" t="str">
        <f aca="false">IF(OR(J573="",K573=""),"",J573*K573)</f>
        <v/>
      </c>
      <c r="S573" s="21" t="str">
        <f aca="false">IF(AND(ISNUMBER(J573),ISNUMBER(K573),F573&lt;&gt;"Calentamiento",F573&lt;&gt;"Bilbo"),IF(AND(K573&gt;0,K573&lt;=12),ROUND(J573*(1+(K573+IF(ISNUMBER(L573),L573,0))/30),1),""),"")</f>
        <v/>
      </c>
      <c r="T573" s="21" t="str">
        <f aca="false">IF(AND(F573="Bilbo",ISNUMBER(J573),ISNUMBER(K573)),ROUND(J573*(1+K573/30),1),"")</f>
        <v/>
      </c>
      <c r="W573" s="22"/>
      <c r="X573" s="21" t="str">
        <f aca="false">IF(AND(F573="Bilbo",E573&lt;&gt;"",G573&lt;&gt;"",H573&lt;&gt;""),E573&amp;"|"&amp;G573&amp;"|"&amp;H573,"")</f>
        <v/>
      </c>
      <c r="Y573" s="21" t="str">
        <f aca="false">IF(B573="","",IF(B573&lt;&gt;B572,1,0))</f>
        <v/>
      </c>
    </row>
    <row r="574" customFormat="false" ht="15" hidden="false" customHeight="true" outlineLevel="0" collapsed="false">
      <c r="A574" s="21" t="str">
        <f aca="false">IF(B574="","",ROW()-4)</f>
        <v/>
      </c>
      <c r="B574" s="22"/>
      <c r="C574" s="21" t="str">
        <f aca="false">IF(B574="","",CHOOSE(WEEKDAY(B574,2),"LUNES","MARTES","MIÉRCOLES","JUEVES","VIERNES","SÁBADO","DOMINGO"))</f>
        <v/>
      </c>
      <c r="M574" s="23"/>
      <c r="Q574" s="21" t="str">
        <f aca="false">IF(OR(K574="",N574=""),"",K574-N574)</f>
        <v/>
      </c>
      <c r="R574" s="21" t="str">
        <f aca="false">IF(OR(J574="",K574=""),"",J574*K574)</f>
        <v/>
      </c>
      <c r="S574" s="21" t="str">
        <f aca="false">IF(AND(ISNUMBER(J574),ISNUMBER(K574),F574&lt;&gt;"Calentamiento",F574&lt;&gt;"Bilbo"),IF(AND(K574&gt;0,K574&lt;=12),ROUND(J574*(1+(K574+IF(ISNUMBER(L574),L574,0))/30),1),""),"")</f>
        <v/>
      </c>
      <c r="T574" s="21" t="str">
        <f aca="false">IF(AND(F574="Bilbo",ISNUMBER(J574),ISNUMBER(K574)),ROUND(J574*(1+K574/30),1),"")</f>
        <v/>
      </c>
      <c r="W574" s="22"/>
      <c r="X574" s="21" t="str">
        <f aca="false">IF(AND(F574="Bilbo",E574&lt;&gt;"",G574&lt;&gt;"",H574&lt;&gt;""),E574&amp;"|"&amp;G574&amp;"|"&amp;H574,"")</f>
        <v/>
      </c>
      <c r="Y574" s="21" t="str">
        <f aca="false">IF(B574="","",IF(B574&lt;&gt;B573,1,0))</f>
        <v/>
      </c>
    </row>
    <row r="575" customFormat="false" ht="15" hidden="false" customHeight="true" outlineLevel="0" collapsed="false">
      <c r="A575" s="21" t="str">
        <f aca="false">IF(B575="","",ROW()-4)</f>
        <v/>
      </c>
      <c r="B575" s="22"/>
      <c r="C575" s="21" t="str">
        <f aca="false">IF(B575="","",CHOOSE(WEEKDAY(B575,2),"LUNES","MARTES","MIÉRCOLES","JUEVES","VIERNES","SÁBADO","DOMINGO"))</f>
        <v/>
      </c>
      <c r="M575" s="23"/>
      <c r="Q575" s="21" t="str">
        <f aca="false">IF(OR(K575="",N575=""),"",K575-N575)</f>
        <v/>
      </c>
      <c r="R575" s="21" t="str">
        <f aca="false">IF(OR(J575="",K575=""),"",J575*K575)</f>
        <v/>
      </c>
      <c r="S575" s="21" t="str">
        <f aca="false">IF(AND(ISNUMBER(J575),ISNUMBER(K575),F575&lt;&gt;"Calentamiento",F575&lt;&gt;"Bilbo"),IF(AND(K575&gt;0,K575&lt;=12),ROUND(J575*(1+(K575+IF(ISNUMBER(L575),L575,0))/30),1),""),"")</f>
        <v/>
      </c>
      <c r="T575" s="21" t="str">
        <f aca="false">IF(AND(F575="Bilbo",ISNUMBER(J575),ISNUMBER(K575)),ROUND(J575*(1+K575/30),1),"")</f>
        <v/>
      </c>
      <c r="W575" s="22"/>
      <c r="X575" s="21" t="str">
        <f aca="false">IF(AND(F575="Bilbo",E575&lt;&gt;"",G575&lt;&gt;"",H575&lt;&gt;""),E575&amp;"|"&amp;G575&amp;"|"&amp;H575,"")</f>
        <v/>
      </c>
      <c r="Y575" s="21" t="str">
        <f aca="false">IF(B575="","",IF(B575&lt;&gt;B574,1,0))</f>
        <v/>
      </c>
    </row>
    <row r="576" customFormat="false" ht="15" hidden="false" customHeight="true" outlineLevel="0" collapsed="false">
      <c r="A576" s="21" t="str">
        <f aca="false">IF(B576="","",ROW()-4)</f>
        <v/>
      </c>
      <c r="B576" s="22"/>
      <c r="C576" s="21" t="str">
        <f aca="false">IF(B576="","",CHOOSE(WEEKDAY(B576,2),"LUNES","MARTES","MIÉRCOLES","JUEVES","VIERNES","SÁBADO","DOMINGO"))</f>
        <v/>
      </c>
      <c r="M576" s="23"/>
      <c r="Q576" s="21" t="str">
        <f aca="false">IF(OR(K576="",N576=""),"",K576-N576)</f>
        <v/>
      </c>
      <c r="R576" s="21" t="str">
        <f aca="false">IF(OR(J576="",K576=""),"",J576*K576)</f>
        <v/>
      </c>
      <c r="S576" s="21" t="str">
        <f aca="false">IF(AND(ISNUMBER(J576),ISNUMBER(K576),F576&lt;&gt;"Calentamiento",F576&lt;&gt;"Bilbo"),IF(AND(K576&gt;0,K576&lt;=12),ROUND(J576*(1+(K576+IF(ISNUMBER(L576),L576,0))/30),1),""),"")</f>
        <v/>
      </c>
      <c r="T576" s="21" t="str">
        <f aca="false">IF(AND(F576="Bilbo",ISNUMBER(J576),ISNUMBER(K576)),ROUND(J576*(1+K576/30),1),"")</f>
        <v/>
      </c>
      <c r="W576" s="22"/>
      <c r="X576" s="21" t="str">
        <f aca="false">IF(AND(F576="Bilbo",E576&lt;&gt;"",G576&lt;&gt;"",H576&lt;&gt;""),E576&amp;"|"&amp;G576&amp;"|"&amp;H576,"")</f>
        <v/>
      </c>
      <c r="Y576" s="21" t="str">
        <f aca="false">IF(B576="","",IF(B576&lt;&gt;B575,1,0))</f>
        <v/>
      </c>
    </row>
    <row r="577" customFormat="false" ht="15" hidden="false" customHeight="true" outlineLevel="0" collapsed="false">
      <c r="A577" s="21" t="str">
        <f aca="false">IF(B577="","",ROW()-4)</f>
        <v/>
      </c>
      <c r="B577" s="22"/>
      <c r="C577" s="21" t="str">
        <f aca="false">IF(B577="","",CHOOSE(WEEKDAY(B577,2),"LUNES","MARTES","MIÉRCOLES","JUEVES","VIERNES","SÁBADO","DOMINGO"))</f>
        <v/>
      </c>
      <c r="M577" s="23"/>
      <c r="Q577" s="21" t="str">
        <f aca="false">IF(OR(K577="",N577=""),"",K577-N577)</f>
        <v/>
      </c>
      <c r="R577" s="21" t="str">
        <f aca="false">IF(OR(J577="",K577=""),"",J577*K577)</f>
        <v/>
      </c>
      <c r="S577" s="21" t="str">
        <f aca="false">IF(AND(ISNUMBER(J577),ISNUMBER(K577),F577&lt;&gt;"Calentamiento",F577&lt;&gt;"Bilbo"),IF(AND(K577&gt;0,K577&lt;=12),ROUND(J577*(1+(K577+IF(ISNUMBER(L577),L577,0))/30),1),""),"")</f>
        <v/>
      </c>
      <c r="T577" s="21" t="str">
        <f aca="false">IF(AND(F577="Bilbo",ISNUMBER(J577),ISNUMBER(K577)),ROUND(J577*(1+K577/30),1),"")</f>
        <v/>
      </c>
      <c r="W577" s="22"/>
      <c r="X577" s="21" t="str">
        <f aca="false">IF(AND(F577="Bilbo",E577&lt;&gt;"",G577&lt;&gt;"",H577&lt;&gt;""),E577&amp;"|"&amp;G577&amp;"|"&amp;H577,"")</f>
        <v/>
      </c>
      <c r="Y577" s="21" t="str">
        <f aca="false">IF(B577="","",IF(B577&lt;&gt;B576,1,0))</f>
        <v/>
      </c>
    </row>
    <row r="578" customFormat="false" ht="15" hidden="false" customHeight="true" outlineLevel="0" collapsed="false">
      <c r="A578" s="21" t="str">
        <f aca="false">IF(B578="","",ROW()-4)</f>
        <v/>
      </c>
      <c r="B578" s="22"/>
      <c r="C578" s="21" t="str">
        <f aca="false">IF(B578="","",CHOOSE(WEEKDAY(B578,2),"LUNES","MARTES","MIÉRCOLES","JUEVES","VIERNES","SÁBADO","DOMINGO"))</f>
        <v/>
      </c>
      <c r="M578" s="23"/>
      <c r="Q578" s="21" t="str">
        <f aca="false">IF(OR(K578="",N578=""),"",K578-N578)</f>
        <v/>
      </c>
      <c r="R578" s="21" t="str">
        <f aca="false">IF(OR(J578="",K578=""),"",J578*K578)</f>
        <v/>
      </c>
      <c r="S578" s="21" t="str">
        <f aca="false">IF(AND(ISNUMBER(J578),ISNUMBER(K578),F578&lt;&gt;"Calentamiento",F578&lt;&gt;"Bilbo"),IF(AND(K578&gt;0,K578&lt;=12),ROUND(J578*(1+(K578+IF(ISNUMBER(L578),L578,0))/30),1),""),"")</f>
        <v/>
      </c>
      <c r="T578" s="21" t="str">
        <f aca="false">IF(AND(F578="Bilbo",ISNUMBER(J578),ISNUMBER(K578)),ROUND(J578*(1+K578/30),1),"")</f>
        <v/>
      </c>
      <c r="W578" s="22"/>
      <c r="X578" s="21" t="str">
        <f aca="false">IF(AND(F578="Bilbo",E578&lt;&gt;"",G578&lt;&gt;"",H578&lt;&gt;""),E578&amp;"|"&amp;G578&amp;"|"&amp;H578,"")</f>
        <v/>
      </c>
      <c r="Y578" s="21" t="str">
        <f aca="false">IF(B578="","",IF(B578&lt;&gt;B577,1,0))</f>
        <v/>
      </c>
    </row>
    <row r="579" customFormat="false" ht="15" hidden="false" customHeight="true" outlineLevel="0" collapsed="false">
      <c r="A579" s="21" t="str">
        <f aca="false">IF(B579="","",ROW()-4)</f>
        <v/>
      </c>
      <c r="B579" s="22"/>
      <c r="C579" s="21" t="str">
        <f aca="false">IF(B579="","",CHOOSE(WEEKDAY(B579,2),"LUNES","MARTES","MIÉRCOLES","JUEVES","VIERNES","SÁBADO","DOMINGO"))</f>
        <v/>
      </c>
      <c r="M579" s="23"/>
      <c r="Q579" s="21" t="str">
        <f aca="false">IF(OR(K579="",N579=""),"",K579-N579)</f>
        <v/>
      </c>
      <c r="R579" s="21" t="str">
        <f aca="false">IF(OR(J579="",K579=""),"",J579*K579)</f>
        <v/>
      </c>
      <c r="S579" s="21" t="str">
        <f aca="false">IF(AND(ISNUMBER(J579),ISNUMBER(K579),F579&lt;&gt;"Calentamiento",F579&lt;&gt;"Bilbo"),IF(AND(K579&gt;0,K579&lt;=12),ROUND(J579*(1+(K579+IF(ISNUMBER(L579),L579,0))/30),1),""),"")</f>
        <v/>
      </c>
      <c r="T579" s="21" t="str">
        <f aca="false">IF(AND(F579="Bilbo",ISNUMBER(J579),ISNUMBER(K579)),ROUND(J579*(1+K579/30),1),"")</f>
        <v/>
      </c>
      <c r="W579" s="22"/>
      <c r="X579" s="21" t="str">
        <f aca="false">IF(AND(F579="Bilbo",E579&lt;&gt;"",G579&lt;&gt;"",H579&lt;&gt;""),E579&amp;"|"&amp;G579&amp;"|"&amp;H579,"")</f>
        <v/>
      </c>
      <c r="Y579" s="21" t="str">
        <f aca="false">IF(B579="","",IF(B579&lt;&gt;B578,1,0))</f>
        <v/>
      </c>
    </row>
    <row r="580" customFormat="false" ht="15" hidden="false" customHeight="true" outlineLevel="0" collapsed="false">
      <c r="A580" s="21" t="str">
        <f aca="false">IF(B580="","",ROW()-4)</f>
        <v/>
      </c>
      <c r="B580" s="22"/>
      <c r="C580" s="21" t="str">
        <f aca="false">IF(B580="","",CHOOSE(WEEKDAY(B580,2),"LUNES","MARTES","MIÉRCOLES","JUEVES","VIERNES","SÁBADO","DOMINGO"))</f>
        <v/>
      </c>
      <c r="M580" s="23"/>
      <c r="Q580" s="21" t="str">
        <f aca="false">IF(OR(K580="",N580=""),"",K580-N580)</f>
        <v/>
      </c>
      <c r="R580" s="21" t="str">
        <f aca="false">IF(OR(J580="",K580=""),"",J580*K580)</f>
        <v/>
      </c>
      <c r="S580" s="21" t="str">
        <f aca="false">IF(AND(ISNUMBER(J580),ISNUMBER(K580),F580&lt;&gt;"Calentamiento",F580&lt;&gt;"Bilbo"),IF(AND(K580&gt;0,K580&lt;=12),ROUND(J580*(1+(K580+IF(ISNUMBER(L580),L580,0))/30),1),""),"")</f>
        <v/>
      </c>
      <c r="T580" s="21" t="str">
        <f aca="false">IF(AND(F580="Bilbo",ISNUMBER(J580),ISNUMBER(K580)),ROUND(J580*(1+K580/30),1),"")</f>
        <v/>
      </c>
      <c r="W580" s="22"/>
      <c r="X580" s="21" t="str">
        <f aca="false">IF(AND(F580="Bilbo",E580&lt;&gt;"",G580&lt;&gt;"",H580&lt;&gt;""),E580&amp;"|"&amp;G580&amp;"|"&amp;H580,"")</f>
        <v/>
      </c>
      <c r="Y580" s="21" t="str">
        <f aca="false">IF(B580="","",IF(B580&lt;&gt;B579,1,0))</f>
        <v/>
      </c>
    </row>
    <row r="581" customFormat="false" ht="15" hidden="false" customHeight="true" outlineLevel="0" collapsed="false">
      <c r="A581" s="21" t="str">
        <f aca="false">IF(B581="","",ROW()-4)</f>
        <v/>
      </c>
      <c r="B581" s="22"/>
      <c r="C581" s="21" t="str">
        <f aca="false">IF(B581="","",CHOOSE(WEEKDAY(B581,2),"LUNES","MARTES","MIÉRCOLES","JUEVES","VIERNES","SÁBADO","DOMINGO"))</f>
        <v/>
      </c>
      <c r="M581" s="23"/>
      <c r="Q581" s="21" t="str">
        <f aca="false">IF(OR(K581="",N581=""),"",K581-N581)</f>
        <v/>
      </c>
      <c r="R581" s="21" t="str">
        <f aca="false">IF(OR(J581="",K581=""),"",J581*K581)</f>
        <v/>
      </c>
      <c r="S581" s="21" t="str">
        <f aca="false">IF(AND(ISNUMBER(J581),ISNUMBER(K581),F581&lt;&gt;"Calentamiento",F581&lt;&gt;"Bilbo"),IF(AND(K581&gt;0,K581&lt;=12),ROUND(J581*(1+(K581+IF(ISNUMBER(L581),L581,0))/30),1),""),"")</f>
        <v/>
      </c>
      <c r="T581" s="21" t="str">
        <f aca="false">IF(AND(F581="Bilbo",ISNUMBER(J581),ISNUMBER(K581)),ROUND(J581*(1+K581/30),1),"")</f>
        <v/>
      </c>
      <c r="W581" s="22"/>
      <c r="X581" s="21" t="str">
        <f aca="false">IF(AND(F581="Bilbo",E581&lt;&gt;"",G581&lt;&gt;"",H581&lt;&gt;""),E581&amp;"|"&amp;G581&amp;"|"&amp;H581,"")</f>
        <v/>
      </c>
      <c r="Y581" s="21" t="str">
        <f aca="false">IF(B581="","",IF(B581&lt;&gt;B580,1,0))</f>
        <v/>
      </c>
    </row>
    <row r="582" customFormat="false" ht="15" hidden="false" customHeight="true" outlineLevel="0" collapsed="false">
      <c r="A582" s="21" t="str">
        <f aca="false">IF(B582="","",ROW()-4)</f>
        <v/>
      </c>
      <c r="B582" s="22"/>
      <c r="C582" s="21" t="str">
        <f aca="false">IF(B582="","",CHOOSE(WEEKDAY(B582,2),"LUNES","MARTES","MIÉRCOLES","JUEVES","VIERNES","SÁBADO","DOMINGO"))</f>
        <v/>
      </c>
      <c r="M582" s="23"/>
      <c r="Q582" s="21" t="str">
        <f aca="false">IF(OR(K582="",N582=""),"",K582-N582)</f>
        <v/>
      </c>
      <c r="R582" s="21" t="str">
        <f aca="false">IF(OR(J582="",K582=""),"",J582*K582)</f>
        <v/>
      </c>
      <c r="S582" s="21" t="str">
        <f aca="false">IF(AND(ISNUMBER(J582),ISNUMBER(K582),F582&lt;&gt;"Calentamiento",F582&lt;&gt;"Bilbo"),IF(AND(K582&gt;0,K582&lt;=12),ROUND(J582*(1+(K582+IF(ISNUMBER(L582),L582,0))/30),1),""),"")</f>
        <v/>
      </c>
      <c r="T582" s="21" t="str">
        <f aca="false">IF(AND(F582="Bilbo",ISNUMBER(J582),ISNUMBER(K582)),ROUND(J582*(1+K582/30),1),"")</f>
        <v/>
      </c>
      <c r="W582" s="22"/>
      <c r="X582" s="21" t="str">
        <f aca="false">IF(AND(F582="Bilbo",E582&lt;&gt;"",G582&lt;&gt;"",H582&lt;&gt;""),E582&amp;"|"&amp;G582&amp;"|"&amp;H582,"")</f>
        <v/>
      </c>
      <c r="Y582" s="21" t="str">
        <f aca="false">IF(B582="","",IF(B582&lt;&gt;B581,1,0))</f>
        <v/>
      </c>
    </row>
    <row r="583" customFormat="false" ht="15" hidden="false" customHeight="true" outlineLevel="0" collapsed="false">
      <c r="A583" s="21" t="str">
        <f aca="false">IF(B583="","",ROW()-4)</f>
        <v/>
      </c>
      <c r="B583" s="22"/>
      <c r="C583" s="21" t="str">
        <f aca="false">IF(B583="","",CHOOSE(WEEKDAY(B583,2),"LUNES","MARTES","MIÉRCOLES","JUEVES","VIERNES","SÁBADO","DOMINGO"))</f>
        <v/>
      </c>
      <c r="M583" s="23"/>
      <c r="Q583" s="21" t="str">
        <f aca="false">IF(OR(K583="",N583=""),"",K583-N583)</f>
        <v/>
      </c>
      <c r="R583" s="21" t="str">
        <f aca="false">IF(OR(J583="",K583=""),"",J583*K583)</f>
        <v/>
      </c>
      <c r="S583" s="21" t="str">
        <f aca="false">IF(AND(ISNUMBER(J583),ISNUMBER(K583),F583&lt;&gt;"Calentamiento",F583&lt;&gt;"Bilbo"),IF(AND(K583&gt;0,K583&lt;=12),ROUND(J583*(1+(K583+IF(ISNUMBER(L583),L583,0))/30),1),""),"")</f>
        <v/>
      </c>
      <c r="T583" s="21" t="str">
        <f aca="false">IF(AND(F583="Bilbo",ISNUMBER(J583),ISNUMBER(K583)),ROUND(J583*(1+K583/30),1),"")</f>
        <v/>
      </c>
      <c r="W583" s="22"/>
      <c r="X583" s="21" t="str">
        <f aca="false">IF(AND(F583="Bilbo",E583&lt;&gt;"",G583&lt;&gt;"",H583&lt;&gt;""),E583&amp;"|"&amp;G583&amp;"|"&amp;H583,"")</f>
        <v/>
      </c>
      <c r="Y583" s="21" t="str">
        <f aca="false">IF(B583="","",IF(B583&lt;&gt;B582,1,0))</f>
        <v/>
      </c>
    </row>
    <row r="584" customFormat="false" ht="15" hidden="false" customHeight="true" outlineLevel="0" collapsed="false">
      <c r="A584" s="21" t="str">
        <f aca="false">IF(B584="","",ROW()-4)</f>
        <v/>
      </c>
      <c r="B584" s="22"/>
      <c r="C584" s="21" t="str">
        <f aca="false">IF(B584="","",CHOOSE(WEEKDAY(B584,2),"LUNES","MARTES","MIÉRCOLES","JUEVES","VIERNES","SÁBADO","DOMINGO"))</f>
        <v/>
      </c>
      <c r="M584" s="23"/>
      <c r="Q584" s="21" t="str">
        <f aca="false">IF(OR(K584="",N584=""),"",K584-N584)</f>
        <v/>
      </c>
      <c r="R584" s="21" t="str">
        <f aca="false">IF(OR(J584="",K584=""),"",J584*K584)</f>
        <v/>
      </c>
      <c r="S584" s="21" t="str">
        <f aca="false">IF(AND(ISNUMBER(J584),ISNUMBER(K584),F584&lt;&gt;"Calentamiento",F584&lt;&gt;"Bilbo"),IF(AND(K584&gt;0,K584&lt;=12),ROUND(J584*(1+(K584+IF(ISNUMBER(L584),L584,0))/30),1),""),"")</f>
        <v/>
      </c>
      <c r="T584" s="21" t="str">
        <f aca="false">IF(AND(F584="Bilbo",ISNUMBER(J584),ISNUMBER(K584)),ROUND(J584*(1+K584/30),1),"")</f>
        <v/>
      </c>
      <c r="W584" s="22"/>
      <c r="X584" s="21" t="str">
        <f aca="false">IF(AND(F584="Bilbo",E584&lt;&gt;"",G584&lt;&gt;"",H584&lt;&gt;""),E584&amp;"|"&amp;G584&amp;"|"&amp;H584,"")</f>
        <v/>
      </c>
      <c r="Y584" s="21" t="str">
        <f aca="false">IF(B584="","",IF(B584&lt;&gt;B583,1,0))</f>
        <v/>
      </c>
    </row>
    <row r="585" customFormat="false" ht="15" hidden="false" customHeight="true" outlineLevel="0" collapsed="false">
      <c r="A585" s="21" t="str">
        <f aca="false">IF(B585="","",ROW()-4)</f>
        <v/>
      </c>
      <c r="B585" s="22"/>
      <c r="C585" s="21" t="str">
        <f aca="false">IF(B585="","",CHOOSE(WEEKDAY(B585,2),"LUNES","MARTES","MIÉRCOLES","JUEVES","VIERNES","SÁBADO","DOMINGO"))</f>
        <v/>
      </c>
      <c r="M585" s="23"/>
      <c r="Q585" s="21" t="str">
        <f aca="false">IF(OR(K585="",N585=""),"",K585-N585)</f>
        <v/>
      </c>
      <c r="R585" s="21" t="str">
        <f aca="false">IF(OR(J585="",K585=""),"",J585*K585)</f>
        <v/>
      </c>
      <c r="S585" s="21" t="str">
        <f aca="false">IF(AND(ISNUMBER(J585),ISNUMBER(K585),F585&lt;&gt;"Calentamiento",F585&lt;&gt;"Bilbo"),IF(AND(K585&gt;0,K585&lt;=12),ROUND(J585*(1+(K585+IF(ISNUMBER(L585),L585,0))/30),1),""),"")</f>
        <v/>
      </c>
      <c r="T585" s="21" t="str">
        <f aca="false">IF(AND(F585="Bilbo",ISNUMBER(J585),ISNUMBER(K585)),ROUND(J585*(1+K585/30),1),"")</f>
        <v/>
      </c>
      <c r="W585" s="22"/>
      <c r="X585" s="21" t="str">
        <f aca="false">IF(AND(F585="Bilbo",E585&lt;&gt;"",G585&lt;&gt;"",H585&lt;&gt;""),E585&amp;"|"&amp;G585&amp;"|"&amp;H585,"")</f>
        <v/>
      </c>
      <c r="Y585" s="21" t="str">
        <f aca="false">IF(B585="","",IF(B585&lt;&gt;B584,1,0))</f>
        <v/>
      </c>
    </row>
    <row r="586" customFormat="false" ht="15" hidden="false" customHeight="true" outlineLevel="0" collapsed="false">
      <c r="A586" s="21" t="str">
        <f aca="false">IF(B586="","",ROW()-4)</f>
        <v/>
      </c>
      <c r="B586" s="22"/>
      <c r="C586" s="21" t="str">
        <f aca="false">IF(B586="","",CHOOSE(WEEKDAY(B586,2),"LUNES","MARTES","MIÉRCOLES","JUEVES","VIERNES","SÁBADO","DOMINGO"))</f>
        <v/>
      </c>
      <c r="M586" s="23"/>
      <c r="Q586" s="21" t="str">
        <f aca="false">IF(OR(K586="",N586=""),"",K586-N586)</f>
        <v/>
      </c>
      <c r="R586" s="21" t="str">
        <f aca="false">IF(OR(J586="",K586=""),"",J586*K586)</f>
        <v/>
      </c>
      <c r="S586" s="21" t="str">
        <f aca="false">IF(AND(ISNUMBER(J586),ISNUMBER(K586),F586&lt;&gt;"Calentamiento",F586&lt;&gt;"Bilbo"),IF(AND(K586&gt;0,K586&lt;=12),ROUND(J586*(1+(K586+IF(ISNUMBER(L586),L586,0))/30),1),""),"")</f>
        <v/>
      </c>
      <c r="T586" s="21" t="str">
        <f aca="false">IF(AND(F586="Bilbo",ISNUMBER(J586),ISNUMBER(K586)),ROUND(J586*(1+K586/30),1),"")</f>
        <v/>
      </c>
      <c r="W586" s="22"/>
      <c r="X586" s="21" t="str">
        <f aca="false">IF(AND(F586="Bilbo",E586&lt;&gt;"",G586&lt;&gt;"",H586&lt;&gt;""),E586&amp;"|"&amp;G586&amp;"|"&amp;H586,"")</f>
        <v/>
      </c>
      <c r="Y586" s="21" t="str">
        <f aca="false">IF(B586="","",IF(B586&lt;&gt;B585,1,0))</f>
        <v/>
      </c>
    </row>
    <row r="587" customFormat="false" ht="15" hidden="false" customHeight="true" outlineLevel="0" collapsed="false">
      <c r="A587" s="21" t="str">
        <f aca="false">IF(B587="","",ROW()-4)</f>
        <v/>
      </c>
      <c r="B587" s="22"/>
      <c r="C587" s="21" t="str">
        <f aca="false">IF(B587="","",CHOOSE(WEEKDAY(B587,2),"LUNES","MARTES","MIÉRCOLES","JUEVES","VIERNES","SÁBADO","DOMINGO"))</f>
        <v/>
      </c>
      <c r="M587" s="23"/>
      <c r="Q587" s="21" t="str">
        <f aca="false">IF(OR(K587="",N587=""),"",K587-N587)</f>
        <v/>
      </c>
      <c r="R587" s="21" t="str">
        <f aca="false">IF(OR(J587="",K587=""),"",J587*K587)</f>
        <v/>
      </c>
      <c r="S587" s="21" t="str">
        <f aca="false">IF(AND(ISNUMBER(J587),ISNUMBER(K587),F587&lt;&gt;"Calentamiento",F587&lt;&gt;"Bilbo"),IF(AND(K587&gt;0,K587&lt;=12),ROUND(J587*(1+(K587+IF(ISNUMBER(L587),L587,0))/30),1),""),"")</f>
        <v/>
      </c>
      <c r="T587" s="21" t="str">
        <f aca="false">IF(AND(F587="Bilbo",ISNUMBER(J587),ISNUMBER(K587)),ROUND(J587*(1+K587/30),1),"")</f>
        <v/>
      </c>
      <c r="W587" s="22"/>
      <c r="X587" s="21" t="str">
        <f aca="false">IF(AND(F587="Bilbo",E587&lt;&gt;"",G587&lt;&gt;"",H587&lt;&gt;""),E587&amp;"|"&amp;G587&amp;"|"&amp;H587,"")</f>
        <v/>
      </c>
      <c r="Y587" s="21" t="str">
        <f aca="false">IF(B587="","",IF(B587&lt;&gt;B586,1,0))</f>
        <v/>
      </c>
    </row>
    <row r="588" customFormat="false" ht="15" hidden="false" customHeight="true" outlineLevel="0" collapsed="false">
      <c r="A588" s="21" t="str">
        <f aca="false">IF(B588="","",ROW()-4)</f>
        <v/>
      </c>
      <c r="B588" s="22"/>
      <c r="C588" s="21" t="str">
        <f aca="false">IF(B588="","",CHOOSE(WEEKDAY(B588,2),"LUNES","MARTES","MIÉRCOLES","JUEVES","VIERNES","SÁBADO","DOMINGO"))</f>
        <v/>
      </c>
      <c r="M588" s="23"/>
      <c r="Q588" s="21" t="str">
        <f aca="false">IF(OR(K588="",N588=""),"",K588-N588)</f>
        <v/>
      </c>
      <c r="R588" s="21" t="str">
        <f aca="false">IF(OR(J588="",K588=""),"",J588*K588)</f>
        <v/>
      </c>
      <c r="S588" s="21" t="str">
        <f aca="false">IF(AND(ISNUMBER(J588),ISNUMBER(K588),F588&lt;&gt;"Calentamiento",F588&lt;&gt;"Bilbo"),IF(AND(K588&gt;0,K588&lt;=12),ROUND(J588*(1+(K588+IF(ISNUMBER(L588),L588,0))/30),1),""),"")</f>
        <v/>
      </c>
      <c r="T588" s="21" t="str">
        <f aca="false">IF(AND(F588="Bilbo",ISNUMBER(J588),ISNUMBER(K588)),ROUND(J588*(1+K588/30),1),"")</f>
        <v/>
      </c>
      <c r="W588" s="22"/>
      <c r="X588" s="21" t="str">
        <f aca="false">IF(AND(F588="Bilbo",E588&lt;&gt;"",G588&lt;&gt;"",H588&lt;&gt;""),E588&amp;"|"&amp;G588&amp;"|"&amp;H588,"")</f>
        <v/>
      </c>
      <c r="Y588" s="21" t="str">
        <f aca="false">IF(B588="","",IF(B588&lt;&gt;B587,1,0))</f>
        <v/>
      </c>
    </row>
    <row r="589" customFormat="false" ht="15" hidden="false" customHeight="true" outlineLevel="0" collapsed="false">
      <c r="A589" s="21" t="str">
        <f aca="false">IF(B589="","",ROW()-4)</f>
        <v/>
      </c>
      <c r="B589" s="22"/>
      <c r="C589" s="21" t="str">
        <f aca="false">IF(B589="","",CHOOSE(WEEKDAY(B589,2),"LUNES","MARTES","MIÉRCOLES","JUEVES","VIERNES","SÁBADO","DOMINGO"))</f>
        <v/>
      </c>
      <c r="M589" s="23"/>
      <c r="Q589" s="21" t="str">
        <f aca="false">IF(OR(K589="",N589=""),"",K589-N589)</f>
        <v/>
      </c>
      <c r="R589" s="21" t="str">
        <f aca="false">IF(OR(J589="",K589=""),"",J589*K589)</f>
        <v/>
      </c>
      <c r="S589" s="21" t="str">
        <f aca="false">IF(AND(ISNUMBER(J589),ISNUMBER(K589),F589&lt;&gt;"Calentamiento",F589&lt;&gt;"Bilbo"),IF(AND(K589&gt;0,K589&lt;=12),ROUND(J589*(1+(K589+IF(ISNUMBER(L589),L589,0))/30),1),""),"")</f>
        <v/>
      </c>
      <c r="T589" s="21" t="str">
        <f aca="false">IF(AND(F589="Bilbo",ISNUMBER(J589),ISNUMBER(K589)),ROUND(J589*(1+K589/30),1),"")</f>
        <v/>
      </c>
      <c r="W589" s="22"/>
      <c r="X589" s="21" t="str">
        <f aca="false">IF(AND(F589="Bilbo",E589&lt;&gt;"",G589&lt;&gt;"",H589&lt;&gt;""),E589&amp;"|"&amp;G589&amp;"|"&amp;H589,"")</f>
        <v/>
      </c>
      <c r="Y589" s="21" t="str">
        <f aca="false">IF(B589="","",IF(B589&lt;&gt;B588,1,0))</f>
        <v/>
      </c>
    </row>
    <row r="590" customFormat="false" ht="15" hidden="false" customHeight="true" outlineLevel="0" collapsed="false">
      <c r="A590" s="21" t="str">
        <f aca="false">IF(B590="","",ROW()-4)</f>
        <v/>
      </c>
      <c r="B590" s="22"/>
      <c r="C590" s="21" t="str">
        <f aca="false">IF(B590="","",CHOOSE(WEEKDAY(B590,2),"LUNES","MARTES","MIÉRCOLES","JUEVES","VIERNES","SÁBADO","DOMINGO"))</f>
        <v/>
      </c>
      <c r="M590" s="23"/>
      <c r="Q590" s="21" t="str">
        <f aca="false">IF(OR(K590="",N590=""),"",K590-N590)</f>
        <v/>
      </c>
      <c r="R590" s="21" t="str">
        <f aca="false">IF(OR(J590="",K590=""),"",J590*K590)</f>
        <v/>
      </c>
      <c r="S590" s="21" t="str">
        <f aca="false">IF(AND(ISNUMBER(J590),ISNUMBER(K590),F590&lt;&gt;"Calentamiento",F590&lt;&gt;"Bilbo"),IF(AND(K590&gt;0,K590&lt;=12),ROUND(J590*(1+(K590+IF(ISNUMBER(L590),L590,0))/30),1),""),"")</f>
        <v/>
      </c>
      <c r="T590" s="21" t="str">
        <f aca="false">IF(AND(F590="Bilbo",ISNUMBER(J590),ISNUMBER(K590)),ROUND(J590*(1+K590/30),1),"")</f>
        <v/>
      </c>
      <c r="W590" s="22"/>
      <c r="X590" s="21" t="str">
        <f aca="false">IF(AND(F590="Bilbo",E590&lt;&gt;"",G590&lt;&gt;"",H590&lt;&gt;""),E590&amp;"|"&amp;G590&amp;"|"&amp;H590,"")</f>
        <v/>
      </c>
      <c r="Y590" s="21" t="str">
        <f aca="false">IF(B590="","",IF(B590&lt;&gt;B589,1,0))</f>
        <v/>
      </c>
    </row>
    <row r="591" customFormat="false" ht="15" hidden="false" customHeight="true" outlineLevel="0" collapsed="false">
      <c r="A591" s="21" t="str">
        <f aca="false">IF(B591="","",ROW()-4)</f>
        <v/>
      </c>
      <c r="B591" s="22"/>
      <c r="C591" s="21" t="str">
        <f aca="false">IF(B591="","",CHOOSE(WEEKDAY(B591,2),"LUNES","MARTES","MIÉRCOLES","JUEVES","VIERNES","SÁBADO","DOMINGO"))</f>
        <v/>
      </c>
      <c r="M591" s="23"/>
      <c r="Q591" s="21" t="str">
        <f aca="false">IF(OR(K591="",N591=""),"",K591-N591)</f>
        <v/>
      </c>
      <c r="R591" s="21" t="str">
        <f aca="false">IF(OR(J591="",K591=""),"",J591*K591)</f>
        <v/>
      </c>
      <c r="S591" s="21" t="str">
        <f aca="false">IF(AND(ISNUMBER(J591),ISNUMBER(K591),F591&lt;&gt;"Calentamiento",F591&lt;&gt;"Bilbo"),IF(AND(K591&gt;0,K591&lt;=12),ROUND(J591*(1+(K591+IF(ISNUMBER(L591),L591,0))/30),1),""),"")</f>
        <v/>
      </c>
      <c r="T591" s="21" t="str">
        <f aca="false">IF(AND(F591="Bilbo",ISNUMBER(J591),ISNUMBER(K591)),ROUND(J591*(1+K591/30),1),"")</f>
        <v/>
      </c>
      <c r="W591" s="22"/>
      <c r="X591" s="21" t="str">
        <f aca="false">IF(AND(F591="Bilbo",E591&lt;&gt;"",G591&lt;&gt;"",H591&lt;&gt;""),E591&amp;"|"&amp;G591&amp;"|"&amp;H591,"")</f>
        <v/>
      </c>
      <c r="Y591" s="21" t="str">
        <f aca="false">IF(B591="","",IF(B591&lt;&gt;B590,1,0))</f>
        <v/>
      </c>
    </row>
    <row r="592" customFormat="false" ht="15" hidden="false" customHeight="true" outlineLevel="0" collapsed="false">
      <c r="A592" s="21" t="str">
        <f aca="false">IF(B592="","",ROW()-4)</f>
        <v/>
      </c>
      <c r="B592" s="22"/>
      <c r="C592" s="21" t="str">
        <f aca="false">IF(B592="","",CHOOSE(WEEKDAY(B592,2),"LUNES","MARTES","MIÉRCOLES","JUEVES","VIERNES","SÁBADO","DOMINGO"))</f>
        <v/>
      </c>
      <c r="M592" s="23"/>
      <c r="Q592" s="21" t="str">
        <f aca="false">IF(OR(K592="",N592=""),"",K592-N592)</f>
        <v/>
      </c>
      <c r="R592" s="21" t="str">
        <f aca="false">IF(OR(J592="",K592=""),"",J592*K592)</f>
        <v/>
      </c>
      <c r="S592" s="21" t="str">
        <f aca="false">IF(AND(ISNUMBER(J592),ISNUMBER(K592),F592&lt;&gt;"Calentamiento",F592&lt;&gt;"Bilbo"),IF(AND(K592&gt;0,K592&lt;=12),ROUND(J592*(1+(K592+IF(ISNUMBER(L592),L592,0))/30),1),""),"")</f>
        <v/>
      </c>
      <c r="T592" s="21" t="str">
        <f aca="false">IF(AND(F592="Bilbo",ISNUMBER(J592),ISNUMBER(K592)),ROUND(J592*(1+K592/30),1),"")</f>
        <v/>
      </c>
      <c r="W592" s="22"/>
      <c r="X592" s="21" t="str">
        <f aca="false">IF(AND(F592="Bilbo",E592&lt;&gt;"",G592&lt;&gt;"",H592&lt;&gt;""),E592&amp;"|"&amp;G592&amp;"|"&amp;H592,"")</f>
        <v/>
      </c>
      <c r="Y592" s="21" t="str">
        <f aca="false">IF(B592="","",IF(B592&lt;&gt;B591,1,0))</f>
        <v/>
      </c>
    </row>
    <row r="593" customFormat="false" ht="15" hidden="false" customHeight="true" outlineLevel="0" collapsed="false">
      <c r="A593" s="21" t="str">
        <f aca="false">IF(B593="","",ROW()-4)</f>
        <v/>
      </c>
      <c r="B593" s="22"/>
      <c r="C593" s="21" t="str">
        <f aca="false">IF(B593="","",CHOOSE(WEEKDAY(B593,2),"LUNES","MARTES","MIÉRCOLES","JUEVES","VIERNES","SÁBADO","DOMINGO"))</f>
        <v/>
      </c>
      <c r="M593" s="23"/>
      <c r="Q593" s="21" t="str">
        <f aca="false">IF(OR(K593="",N593=""),"",K593-N593)</f>
        <v/>
      </c>
      <c r="R593" s="21" t="str">
        <f aca="false">IF(OR(J593="",K593=""),"",J593*K593)</f>
        <v/>
      </c>
      <c r="S593" s="21" t="str">
        <f aca="false">IF(AND(ISNUMBER(J593),ISNUMBER(K593),F593&lt;&gt;"Calentamiento",F593&lt;&gt;"Bilbo"),IF(AND(K593&gt;0,K593&lt;=12),ROUND(J593*(1+(K593+IF(ISNUMBER(L593),L593,0))/30),1),""),"")</f>
        <v/>
      </c>
      <c r="T593" s="21" t="str">
        <f aca="false">IF(AND(F593="Bilbo",ISNUMBER(J593),ISNUMBER(K593)),ROUND(J593*(1+K593/30),1),"")</f>
        <v/>
      </c>
      <c r="W593" s="22"/>
      <c r="X593" s="21" t="str">
        <f aca="false">IF(AND(F593="Bilbo",E593&lt;&gt;"",G593&lt;&gt;"",H593&lt;&gt;""),E593&amp;"|"&amp;G593&amp;"|"&amp;H593,"")</f>
        <v/>
      </c>
      <c r="Y593" s="21" t="str">
        <f aca="false">IF(B593="","",IF(B593&lt;&gt;B592,1,0))</f>
        <v/>
      </c>
    </row>
    <row r="594" customFormat="false" ht="15" hidden="false" customHeight="true" outlineLevel="0" collapsed="false">
      <c r="A594" s="21" t="str">
        <f aca="false">IF(B594="","",ROW()-4)</f>
        <v/>
      </c>
      <c r="B594" s="22"/>
      <c r="C594" s="21" t="str">
        <f aca="false">IF(B594="","",CHOOSE(WEEKDAY(B594,2),"LUNES","MARTES","MIÉRCOLES","JUEVES","VIERNES","SÁBADO","DOMINGO"))</f>
        <v/>
      </c>
      <c r="M594" s="23"/>
      <c r="Q594" s="21" t="str">
        <f aca="false">IF(OR(K594="",N594=""),"",K594-N594)</f>
        <v/>
      </c>
      <c r="R594" s="21" t="str">
        <f aca="false">IF(OR(J594="",K594=""),"",J594*K594)</f>
        <v/>
      </c>
      <c r="S594" s="21" t="str">
        <f aca="false">IF(AND(ISNUMBER(J594),ISNUMBER(K594),F594&lt;&gt;"Calentamiento",F594&lt;&gt;"Bilbo"),IF(AND(K594&gt;0,K594&lt;=12),ROUND(J594*(1+(K594+IF(ISNUMBER(L594),L594,0))/30),1),""),"")</f>
        <v/>
      </c>
      <c r="T594" s="21" t="str">
        <f aca="false">IF(AND(F594="Bilbo",ISNUMBER(J594),ISNUMBER(K594)),ROUND(J594*(1+K594/30),1),"")</f>
        <v/>
      </c>
      <c r="W594" s="22"/>
      <c r="X594" s="21" t="str">
        <f aca="false">IF(AND(F594="Bilbo",E594&lt;&gt;"",G594&lt;&gt;"",H594&lt;&gt;""),E594&amp;"|"&amp;G594&amp;"|"&amp;H594,"")</f>
        <v/>
      </c>
      <c r="Y594" s="21" t="str">
        <f aca="false">IF(B594="","",IF(B594&lt;&gt;B593,1,0))</f>
        <v/>
      </c>
    </row>
    <row r="595" customFormat="false" ht="15" hidden="false" customHeight="true" outlineLevel="0" collapsed="false">
      <c r="A595" s="21" t="str">
        <f aca="false">IF(B595="","",ROW()-4)</f>
        <v/>
      </c>
      <c r="B595" s="22"/>
      <c r="C595" s="21" t="str">
        <f aca="false">IF(B595="","",CHOOSE(WEEKDAY(B595,2),"LUNES","MARTES","MIÉRCOLES","JUEVES","VIERNES","SÁBADO","DOMINGO"))</f>
        <v/>
      </c>
      <c r="M595" s="23"/>
      <c r="Q595" s="21" t="str">
        <f aca="false">IF(OR(K595="",N595=""),"",K595-N595)</f>
        <v/>
      </c>
      <c r="R595" s="21" t="str">
        <f aca="false">IF(OR(J595="",K595=""),"",J595*K595)</f>
        <v/>
      </c>
      <c r="S595" s="21" t="str">
        <f aca="false">IF(AND(ISNUMBER(J595),ISNUMBER(K595),F595&lt;&gt;"Calentamiento",F595&lt;&gt;"Bilbo"),IF(AND(K595&gt;0,K595&lt;=12),ROUND(J595*(1+(K595+IF(ISNUMBER(L595),L595,0))/30),1),""),"")</f>
        <v/>
      </c>
      <c r="T595" s="21" t="str">
        <f aca="false">IF(AND(F595="Bilbo",ISNUMBER(J595),ISNUMBER(K595)),ROUND(J595*(1+K595/30),1),"")</f>
        <v/>
      </c>
      <c r="W595" s="22"/>
      <c r="X595" s="21" t="str">
        <f aca="false">IF(AND(F595="Bilbo",E595&lt;&gt;"",G595&lt;&gt;"",H595&lt;&gt;""),E595&amp;"|"&amp;G595&amp;"|"&amp;H595,"")</f>
        <v/>
      </c>
      <c r="Y595" s="21" t="str">
        <f aca="false">IF(B595="","",IF(B595&lt;&gt;B594,1,0))</f>
        <v/>
      </c>
    </row>
    <row r="596" customFormat="false" ht="15" hidden="false" customHeight="true" outlineLevel="0" collapsed="false">
      <c r="A596" s="21" t="str">
        <f aca="false">IF(B596="","",ROW()-4)</f>
        <v/>
      </c>
      <c r="B596" s="22"/>
      <c r="C596" s="21" t="str">
        <f aca="false">IF(B596="","",CHOOSE(WEEKDAY(B596,2),"LUNES","MARTES","MIÉRCOLES","JUEVES","VIERNES","SÁBADO","DOMINGO"))</f>
        <v/>
      </c>
      <c r="M596" s="23"/>
      <c r="Q596" s="21" t="str">
        <f aca="false">IF(OR(K596="",N596=""),"",K596-N596)</f>
        <v/>
      </c>
      <c r="R596" s="21" t="str">
        <f aca="false">IF(OR(J596="",K596=""),"",J596*K596)</f>
        <v/>
      </c>
      <c r="S596" s="21" t="str">
        <f aca="false">IF(AND(ISNUMBER(J596),ISNUMBER(K596),F596&lt;&gt;"Calentamiento",F596&lt;&gt;"Bilbo"),IF(AND(K596&gt;0,K596&lt;=12),ROUND(J596*(1+(K596+IF(ISNUMBER(L596),L596,0))/30),1),""),"")</f>
        <v/>
      </c>
      <c r="T596" s="21" t="str">
        <f aca="false">IF(AND(F596="Bilbo",ISNUMBER(J596),ISNUMBER(K596)),ROUND(J596*(1+K596/30),1),"")</f>
        <v/>
      </c>
      <c r="W596" s="22"/>
      <c r="X596" s="21" t="str">
        <f aca="false">IF(AND(F596="Bilbo",E596&lt;&gt;"",G596&lt;&gt;"",H596&lt;&gt;""),E596&amp;"|"&amp;G596&amp;"|"&amp;H596,"")</f>
        <v/>
      </c>
      <c r="Y596" s="21" t="str">
        <f aca="false">IF(B596="","",IF(B596&lt;&gt;B595,1,0))</f>
        <v/>
      </c>
    </row>
    <row r="597" customFormat="false" ht="15" hidden="false" customHeight="true" outlineLevel="0" collapsed="false">
      <c r="A597" s="21" t="str">
        <f aca="false">IF(B597="","",ROW()-4)</f>
        <v/>
      </c>
      <c r="B597" s="22"/>
      <c r="C597" s="21" t="str">
        <f aca="false">IF(B597="","",CHOOSE(WEEKDAY(B597,2),"LUNES","MARTES","MIÉRCOLES","JUEVES","VIERNES","SÁBADO","DOMINGO"))</f>
        <v/>
      </c>
      <c r="M597" s="23"/>
      <c r="Q597" s="21" t="str">
        <f aca="false">IF(OR(K597="",N597=""),"",K597-N597)</f>
        <v/>
      </c>
      <c r="R597" s="21" t="str">
        <f aca="false">IF(OR(J597="",K597=""),"",J597*K597)</f>
        <v/>
      </c>
      <c r="S597" s="21" t="str">
        <f aca="false">IF(AND(ISNUMBER(J597),ISNUMBER(K597),F597&lt;&gt;"Calentamiento",F597&lt;&gt;"Bilbo"),IF(AND(K597&gt;0,K597&lt;=12),ROUND(J597*(1+(K597+IF(ISNUMBER(L597),L597,0))/30),1),""),"")</f>
        <v/>
      </c>
      <c r="T597" s="21" t="str">
        <f aca="false">IF(AND(F597="Bilbo",ISNUMBER(J597),ISNUMBER(K597)),ROUND(J597*(1+K597/30),1),"")</f>
        <v/>
      </c>
      <c r="W597" s="22"/>
      <c r="X597" s="21" t="str">
        <f aca="false">IF(AND(F597="Bilbo",E597&lt;&gt;"",G597&lt;&gt;"",H597&lt;&gt;""),E597&amp;"|"&amp;G597&amp;"|"&amp;H597,"")</f>
        <v/>
      </c>
      <c r="Y597" s="21" t="str">
        <f aca="false">IF(B597="","",IF(B597&lt;&gt;B596,1,0))</f>
        <v/>
      </c>
    </row>
    <row r="598" customFormat="false" ht="15" hidden="false" customHeight="true" outlineLevel="0" collapsed="false">
      <c r="A598" s="21" t="str">
        <f aca="false">IF(B598="","",ROW()-4)</f>
        <v/>
      </c>
      <c r="B598" s="22"/>
      <c r="C598" s="21" t="str">
        <f aca="false">IF(B598="","",CHOOSE(WEEKDAY(B598,2),"LUNES","MARTES","MIÉRCOLES","JUEVES","VIERNES","SÁBADO","DOMINGO"))</f>
        <v/>
      </c>
      <c r="M598" s="23"/>
      <c r="Q598" s="21" t="str">
        <f aca="false">IF(OR(K598="",N598=""),"",K598-N598)</f>
        <v/>
      </c>
      <c r="R598" s="21" t="str">
        <f aca="false">IF(OR(J598="",K598=""),"",J598*K598)</f>
        <v/>
      </c>
      <c r="S598" s="21" t="str">
        <f aca="false">IF(AND(ISNUMBER(J598),ISNUMBER(K598),F598&lt;&gt;"Calentamiento",F598&lt;&gt;"Bilbo"),IF(AND(K598&gt;0,K598&lt;=12),ROUND(J598*(1+(K598+IF(ISNUMBER(L598),L598,0))/30),1),""),"")</f>
        <v/>
      </c>
      <c r="T598" s="21" t="str">
        <f aca="false">IF(AND(F598="Bilbo",ISNUMBER(J598),ISNUMBER(K598)),ROUND(J598*(1+K598/30),1),"")</f>
        <v/>
      </c>
      <c r="W598" s="22"/>
      <c r="X598" s="21" t="str">
        <f aca="false">IF(AND(F598="Bilbo",E598&lt;&gt;"",G598&lt;&gt;"",H598&lt;&gt;""),E598&amp;"|"&amp;G598&amp;"|"&amp;H598,"")</f>
        <v/>
      </c>
      <c r="Y598" s="21" t="str">
        <f aca="false">IF(B598="","",IF(B598&lt;&gt;B597,1,0))</f>
        <v/>
      </c>
    </row>
    <row r="599" customFormat="false" ht="15" hidden="false" customHeight="true" outlineLevel="0" collapsed="false">
      <c r="A599" s="21" t="str">
        <f aca="false">IF(B599="","",ROW()-4)</f>
        <v/>
      </c>
      <c r="B599" s="22"/>
      <c r="C599" s="21" t="str">
        <f aca="false">IF(B599="","",CHOOSE(WEEKDAY(B599,2),"LUNES","MARTES","MIÉRCOLES","JUEVES","VIERNES","SÁBADO","DOMINGO"))</f>
        <v/>
      </c>
      <c r="M599" s="23"/>
      <c r="Q599" s="21" t="str">
        <f aca="false">IF(OR(K599="",N599=""),"",K599-N599)</f>
        <v/>
      </c>
      <c r="R599" s="21" t="str">
        <f aca="false">IF(OR(J599="",K599=""),"",J599*K599)</f>
        <v/>
      </c>
      <c r="S599" s="21" t="str">
        <f aca="false">IF(AND(ISNUMBER(J599),ISNUMBER(K599),F599&lt;&gt;"Calentamiento",F599&lt;&gt;"Bilbo"),IF(AND(K599&gt;0,K599&lt;=12),ROUND(J599*(1+(K599+IF(ISNUMBER(L599),L599,0))/30),1),""),"")</f>
        <v/>
      </c>
      <c r="T599" s="21" t="str">
        <f aca="false">IF(AND(F599="Bilbo",ISNUMBER(J599),ISNUMBER(K599)),ROUND(J599*(1+K599/30),1),"")</f>
        <v/>
      </c>
      <c r="W599" s="22"/>
      <c r="X599" s="21" t="str">
        <f aca="false">IF(AND(F599="Bilbo",E599&lt;&gt;"",G599&lt;&gt;"",H599&lt;&gt;""),E599&amp;"|"&amp;G599&amp;"|"&amp;H599,"")</f>
        <v/>
      </c>
      <c r="Y599" s="21" t="str">
        <f aca="false">IF(B599="","",IF(B599&lt;&gt;B598,1,0))</f>
        <v/>
      </c>
    </row>
    <row r="600" customFormat="false" ht="15" hidden="false" customHeight="true" outlineLevel="0" collapsed="false">
      <c r="A600" s="21" t="str">
        <f aca="false">IF(B600="","",ROW()-4)</f>
        <v/>
      </c>
      <c r="B600" s="22"/>
      <c r="C600" s="21" t="str">
        <f aca="false">IF(B600="","",CHOOSE(WEEKDAY(B600,2),"LUNES","MARTES","MIÉRCOLES","JUEVES","VIERNES","SÁBADO","DOMINGO"))</f>
        <v/>
      </c>
      <c r="M600" s="23"/>
      <c r="Q600" s="21" t="str">
        <f aca="false">IF(OR(K600="",N600=""),"",K600-N600)</f>
        <v/>
      </c>
      <c r="R600" s="21" t="str">
        <f aca="false">IF(OR(J600="",K600=""),"",J600*K600)</f>
        <v/>
      </c>
      <c r="S600" s="21" t="str">
        <f aca="false">IF(AND(ISNUMBER(J600),ISNUMBER(K600),F600&lt;&gt;"Calentamiento",F600&lt;&gt;"Bilbo"),IF(AND(K600&gt;0,K600&lt;=12),ROUND(J600*(1+(K600+IF(ISNUMBER(L600),L600,0))/30),1),""),"")</f>
        <v/>
      </c>
      <c r="T600" s="21" t="str">
        <f aca="false">IF(AND(F600="Bilbo",ISNUMBER(J600),ISNUMBER(K600)),ROUND(J600*(1+K600/30),1),"")</f>
        <v/>
      </c>
      <c r="W600" s="22"/>
      <c r="X600" s="21" t="str">
        <f aca="false">IF(AND(F600="Bilbo",E600&lt;&gt;"",G600&lt;&gt;"",H600&lt;&gt;""),E600&amp;"|"&amp;G600&amp;"|"&amp;H600,"")</f>
        <v/>
      </c>
      <c r="Y600" s="21" t="str">
        <f aca="false">IF(B600="","",IF(B600&lt;&gt;B599,1,0))</f>
        <v/>
      </c>
    </row>
    <row r="601" customFormat="false" ht="15" hidden="false" customHeight="true" outlineLevel="0" collapsed="false">
      <c r="A601" s="21" t="str">
        <f aca="false">IF(B601="","",ROW()-4)</f>
        <v/>
      </c>
      <c r="B601" s="22"/>
      <c r="C601" s="21" t="str">
        <f aca="false">IF(B601="","",CHOOSE(WEEKDAY(B601,2),"LUNES","MARTES","MIÉRCOLES","JUEVES","VIERNES","SÁBADO","DOMINGO"))</f>
        <v/>
      </c>
      <c r="M601" s="23"/>
      <c r="Q601" s="21" t="str">
        <f aca="false">IF(OR(K601="",N601=""),"",K601-N601)</f>
        <v/>
      </c>
      <c r="R601" s="21" t="str">
        <f aca="false">IF(OR(J601="",K601=""),"",J601*K601)</f>
        <v/>
      </c>
      <c r="S601" s="21" t="str">
        <f aca="false">IF(AND(ISNUMBER(J601),ISNUMBER(K601),F601&lt;&gt;"Calentamiento",F601&lt;&gt;"Bilbo"),IF(AND(K601&gt;0,K601&lt;=12),ROUND(J601*(1+(K601+IF(ISNUMBER(L601),L601,0))/30),1),""),"")</f>
        <v/>
      </c>
      <c r="T601" s="21" t="str">
        <f aca="false">IF(AND(F601="Bilbo",ISNUMBER(J601),ISNUMBER(K601)),ROUND(J601*(1+K601/30),1),"")</f>
        <v/>
      </c>
      <c r="W601" s="22"/>
      <c r="X601" s="21" t="str">
        <f aca="false">IF(AND(F601="Bilbo",E601&lt;&gt;"",G601&lt;&gt;"",H601&lt;&gt;""),E601&amp;"|"&amp;G601&amp;"|"&amp;H601,"")</f>
        <v/>
      </c>
      <c r="Y601" s="21" t="str">
        <f aca="false">IF(B601="","",IF(B601&lt;&gt;B600,1,0))</f>
        <v/>
      </c>
    </row>
    <row r="602" customFormat="false" ht="15" hidden="false" customHeight="true" outlineLevel="0" collapsed="false">
      <c r="A602" s="21" t="str">
        <f aca="false">IF(B602="","",ROW()-4)</f>
        <v/>
      </c>
      <c r="B602" s="22"/>
      <c r="C602" s="21" t="str">
        <f aca="false">IF(B602="","",CHOOSE(WEEKDAY(B602,2),"LUNES","MARTES","MIÉRCOLES","JUEVES","VIERNES","SÁBADO","DOMINGO"))</f>
        <v/>
      </c>
      <c r="M602" s="23"/>
      <c r="Q602" s="21" t="str">
        <f aca="false">IF(OR(K602="",N602=""),"",K602-N602)</f>
        <v/>
      </c>
      <c r="R602" s="21" t="str">
        <f aca="false">IF(OR(J602="",K602=""),"",J602*K602)</f>
        <v/>
      </c>
      <c r="S602" s="21" t="str">
        <f aca="false">IF(AND(ISNUMBER(J602),ISNUMBER(K602),F602&lt;&gt;"Calentamiento",F602&lt;&gt;"Bilbo"),IF(AND(K602&gt;0,K602&lt;=12),ROUND(J602*(1+(K602+IF(ISNUMBER(L602),L602,0))/30),1),""),"")</f>
        <v/>
      </c>
      <c r="T602" s="21" t="str">
        <f aca="false">IF(AND(F602="Bilbo",ISNUMBER(J602),ISNUMBER(K602)),ROUND(J602*(1+K602/30),1),"")</f>
        <v/>
      </c>
      <c r="W602" s="22"/>
      <c r="X602" s="21" t="str">
        <f aca="false">IF(AND(F602="Bilbo",E602&lt;&gt;"",G602&lt;&gt;"",H602&lt;&gt;""),E602&amp;"|"&amp;G602&amp;"|"&amp;H602,"")</f>
        <v/>
      </c>
      <c r="Y602" s="21" t="str">
        <f aca="false">IF(B602="","",IF(B602&lt;&gt;B601,1,0))</f>
        <v/>
      </c>
    </row>
    <row r="603" customFormat="false" ht="15" hidden="false" customHeight="true" outlineLevel="0" collapsed="false">
      <c r="A603" s="21" t="str">
        <f aca="false">IF(B603="","",ROW()-4)</f>
        <v/>
      </c>
      <c r="B603" s="22"/>
      <c r="C603" s="21" t="str">
        <f aca="false">IF(B603="","",CHOOSE(WEEKDAY(B603,2),"LUNES","MARTES","MIÉRCOLES","JUEVES","VIERNES","SÁBADO","DOMINGO"))</f>
        <v/>
      </c>
      <c r="M603" s="23"/>
      <c r="Q603" s="21" t="str">
        <f aca="false">IF(OR(K603="",N603=""),"",K603-N603)</f>
        <v/>
      </c>
      <c r="R603" s="21" t="str">
        <f aca="false">IF(OR(J603="",K603=""),"",J603*K603)</f>
        <v/>
      </c>
      <c r="S603" s="21" t="str">
        <f aca="false">IF(AND(ISNUMBER(J603),ISNUMBER(K603),F603&lt;&gt;"Calentamiento",F603&lt;&gt;"Bilbo"),IF(AND(K603&gt;0,K603&lt;=12),ROUND(J603*(1+(K603+IF(ISNUMBER(L603),L603,0))/30),1),""),"")</f>
        <v/>
      </c>
      <c r="T603" s="21" t="str">
        <f aca="false">IF(AND(F603="Bilbo",ISNUMBER(J603),ISNUMBER(K603)),ROUND(J603*(1+K603/30),1),"")</f>
        <v/>
      </c>
      <c r="W603" s="22"/>
      <c r="X603" s="21" t="str">
        <f aca="false">IF(AND(F603="Bilbo",E603&lt;&gt;"",G603&lt;&gt;"",H603&lt;&gt;""),E603&amp;"|"&amp;G603&amp;"|"&amp;H603,"")</f>
        <v/>
      </c>
      <c r="Y603" s="21" t="str">
        <f aca="false">IF(B603="","",IF(B603&lt;&gt;B602,1,0))</f>
        <v/>
      </c>
    </row>
    <row r="604" customFormat="false" ht="15" hidden="false" customHeight="true" outlineLevel="0" collapsed="false">
      <c r="A604" s="21" t="str">
        <f aca="false">IF(B604="","",ROW()-4)</f>
        <v/>
      </c>
      <c r="B604" s="22"/>
      <c r="C604" s="21" t="str">
        <f aca="false">IF(B604="","",CHOOSE(WEEKDAY(B604,2),"LUNES","MARTES","MIÉRCOLES","JUEVES","VIERNES","SÁBADO","DOMINGO"))</f>
        <v/>
      </c>
      <c r="M604" s="23"/>
      <c r="Q604" s="21" t="str">
        <f aca="false">IF(OR(K604="",N604=""),"",K604-N604)</f>
        <v/>
      </c>
      <c r="R604" s="21" t="str">
        <f aca="false">IF(OR(J604="",K604=""),"",J604*K604)</f>
        <v/>
      </c>
      <c r="S604" s="21" t="str">
        <f aca="false">IF(AND(ISNUMBER(J604),ISNUMBER(K604),F604&lt;&gt;"Calentamiento",F604&lt;&gt;"Bilbo"),IF(AND(K604&gt;0,K604&lt;=12),ROUND(J604*(1+(K604+IF(ISNUMBER(L604),L604,0))/30),1),""),"")</f>
        <v/>
      </c>
      <c r="T604" s="21" t="str">
        <f aca="false">IF(AND(F604="Bilbo",ISNUMBER(J604),ISNUMBER(K604)),ROUND(J604*(1+K604/30),1),"")</f>
        <v/>
      </c>
      <c r="W604" s="22"/>
      <c r="X604" s="21" t="str">
        <f aca="false">IF(AND(F604="Bilbo",E604&lt;&gt;"",G604&lt;&gt;"",H604&lt;&gt;""),E604&amp;"|"&amp;G604&amp;"|"&amp;H604,"")</f>
        <v/>
      </c>
      <c r="Y604" s="21" t="str">
        <f aca="false">IF(B604="","",IF(B604&lt;&gt;B603,1,0))</f>
        <v/>
      </c>
    </row>
    <row r="605" customFormat="false" ht="15" hidden="false" customHeight="true" outlineLevel="0" collapsed="false">
      <c r="A605" s="21" t="str">
        <f aca="false">IF(B605="","",ROW()-4)</f>
        <v/>
      </c>
      <c r="B605" s="22"/>
      <c r="C605" s="21" t="str">
        <f aca="false">IF(B605="","",CHOOSE(WEEKDAY(B605,2),"LUNES","MARTES","MIÉRCOLES","JUEVES","VIERNES","SÁBADO","DOMINGO"))</f>
        <v/>
      </c>
      <c r="M605" s="23"/>
      <c r="Q605" s="21" t="str">
        <f aca="false">IF(OR(K605="",N605=""),"",K605-N605)</f>
        <v/>
      </c>
      <c r="R605" s="21" t="str">
        <f aca="false">IF(OR(J605="",K605=""),"",J605*K605)</f>
        <v/>
      </c>
      <c r="S605" s="21" t="str">
        <f aca="false">IF(AND(ISNUMBER(J605),ISNUMBER(K605),F605&lt;&gt;"Calentamiento",F605&lt;&gt;"Bilbo"),IF(AND(K605&gt;0,K605&lt;=12),ROUND(J605*(1+(K605+IF(ISNUMBER(L605),L605,0))/30),1),""),"")</f>
        <v/>
      </c>
      <c r="T605" s="21" t="str">
        <f aca="false">IF(AND(F605="Bilbo",ISNUMBER(J605),ISNUMBER(K605)),ROUND(J605*(1+K605/30),1),"")</f>
        <v/>
      </c>
      <c r="W605" s="22"/>
      <c r="X605" s="21" t="str">
        <f aca="false">IF(AND(F605="Bilbo",E605&lt;&gt;"",G605&lt;&gt;"",H605&lt;&gt;""),E605&amp;"|"&amp;G605&amp;"|"&amp;H605,"")</f>
        <v/>
      </c>
      <c r="Y605" s="21" t="str">
        <f aca="false">IF(B605="","",IF(B605&lt;&gt;B604,1,0))</f>
        <v/>
      </c>
    </row>
    <row r="606" customFormat="false" ht="15" hidden="false" customHeight="true" outlineLevel="0" collapsed="false">
      <c r="A606" s="21" t="str">
        <f aca="false">IF(B606="","",ROW()-4)</f>
        <v/>
      </c>
      <c r="B606" s="22"/>
      <c r="C606" s="21" t="str">
        <f aca="false">IF(B606="","",CHOOSE(WEEKDAY(B606,2),"LUNES","MARTES","MIÉRCOLES","JUEVES","VIERNES","SÁBADO","DOMINGO"))</f>
        <v/>
      </c>
      <c r="M606" s="23"/>
      <c r="Q606" s="21" t="str">
        <f aca="false">IF(OR(K606="",N606=""),"",K606-N606)</f>
        <v/>
      </c>
      <c r="R606" s="21" t="str">
        <f aca="false">IF(OR(J606="",K606=""),"",J606*K606)</f>
        <v/>
      </c>
      <c r="S606" s="21" t="str">
        <f aca="false">IF(AND(ISNUMBER(J606),ISNUMBER(K606),F606&lt;&gt;"Calentamiento",F606&lt;&gt;"Bilbo"),IF(AND(K606&gt;0,K606&lt;=12),ROUND(J606*(1+(K606+IF(ISNUMBER(L606),L606,0))/30),1),""),"")</f>
        <v/>
      </c>
      <c r="T606" s="21" t="str">
        <f aca="false">IF(AND(F606="Bilbo",ISNUMBER(J606),ISNUMBER(K606)),ROUND(J606*(1+K606/30),1),"")</f>
        <v/>
      </c>
      <c r="W606" s="22"/>
      <c r="X606" s="21" t="str">
        <f aca="false">IF(AND(F606="Bilbo",E606&lt;&gt;"",G606&lt;&gt;"",H606&lt;&gt;""),E606&amp;"|"&amp;G606&amp;"|"&amp;H606,"")</f>
        <v/>
      </c>
      <c r="Y606" s="21" t="str">
        <f aca="false">IF(B606="","",IF(B606&lt;&gt;B605,1,0))</f>
        <v/>
      </c>
    </row>
    <row r="607" customFormat="false" ht="15" hidden="false" customHeight="true" outlineLevel="0" collapsed="false">
      <c r="A607" s="21" t="str">
        <f aca="false">IF(B607="","",ROW()-4)</f>
        <v/>
      </c>
      <c r="B607" s="22"/>
      <c r="C607" s="21" t="str">
        <f aca="false">IF(B607="","",CHOOSE(WEEKDAY(B607,2),"LUNES","MARTES","MIÉRCOLES","JUEVES","VIERNES","SÁBADO","DOMINGO"))</f>
        <v/>
      </c>
      <c r="M607" s="23"/>
      <c r="Q607" s="21" t="str">
        <f aca="false">IF(OR(K607="",N607=""),"",K607-N607)</f>
        <v/>
      </c>
      <c r="R607" s="21" t="str">
        <f aca="false">IF(OR(J607="",K607=""),"",J607*K607)</f>
        <v/>
      </c>
      <c r="S607" s="21" t="str">
        <f aca="false">IF(AND(ISNUMBER(J607),ISNUMBER(K607),F607&lt;&gt;"Calentamiento",F607&lt;&gt;"Bilbo"),IF(AND(K607&gt;0,K607&lt;=12),ROUND(J607*(1+(K607+IF(ISNUMBER(L607),L607,0))/30),1),""),"")</f>
        <v/>
      </c>
      <c r="T607" s="21" t="str">
        <f aca="false">IF(AND(F607="Bilbo",ISNUMBER(J607),ISNUMBER(K607)),ROUND(J607*(1+K607/30),1),"")</f>
        <v/>
      </c>
      <c r="W607" s="22"/>
      <c r="X607" s="21" t="str">
        <f aca="false">IF(AND(F607="Bilbo",E607&lt;&gt;"",G607&lt;&gt;"",H607&lt;&gt;""),E607&amp;"|"&amp;G607&amp;"|"&amp;H607,"")</f>
        <v/>
      </c>
      <c r="Y607" s="21" t="str">
        <f aca="false">IF(B607="","",IF(B607&lt;&gt;B606,1,0))</f>
        <v/>
      </c>
    </row>
    <row r="608" customFormat="false" ht="15" hidden="false" customHeight="true" outlineLevel="0" collapsed="false">
      <c r="A608" s="21" t="str">
        <f aca="false">IF(B608="","",ROW()-4)</f>
        <v/>
      </c>
      <c r="B608" s="22"/>
      <c r="C608" s="21" t="str">
        <f aca="false">IF(B608="","",CHOOSE(WEEKDAY(B608,2),"LUNES","MARTES","MIÉRCOLES","JUEVES","VIERNES","SÁBADO","DOMINGO"))</f>
        <v/>
      </c>
      <c r="M608" s="23"/>
      <c r="Q608" s="21" t="str">
        <f aca="false">IF(OR(K608="",N608=""),"",K608-N608)</f>
        <v/>
      </c>
      <c r="R608" s="21" t="str">
        <f aca="false">IF(OR(J608="",K608=""),"",J608*K608)</f>
        <v/>
      </c>
      <c r="S608" s="21" t="str">
        <f aca="false">IF(AND(ISNUMBER(J608),ISNUMBER(K608),F608&lt;&gt;"Calentamiento",F608&lt;&gt;"Bilbo"),IF(AND(K608&gt;0,K608&lt;=12),ROUND(J608*(1+(K608+IF(ISNUMBER(L608),L608,0))/30),1),""),"")</f>
        <v/>
      </c>
      <c r="T608" s="21" t="str">
        <f aca="false">IF(AND(F608="Bilbo",ISNUMBER(J608),ISNUMBER(K608)),ROUND(J608*(1+K608/30),1),"")</f>
        <v/>
      </c>
      <c r="W608" s="22"/>
      <c r="X608" s="21" t="str">
        <f aca="false">IF(AND(F608="Bilbo",E608&lt;&gt;"",G608&lt;&gt;"",H608&lt;&gt;""),E608&amp;"|"&amp;G608&amp;"|"&amp;H608,"")</f>
        <v/>
      </c>
      <c r="Y608" s="21" t="str">
        <f aca="false">IF(B608="","",IF(B608&lt;&gt;B607,1,0))</f>
        <v/>
      </c>
    </row>
    <row r="609" customFormat="false" ht="15" hidden="false" customHeight="true" outlineLevel="0" collapsed="false">
      <c r="A609" s="21" t="str">
        <f aca="false">IF(B609="","",ROW()-4)</f>
        <v/>
      </c>
      <c r="B609" s="22"/>
      <c r="C609" s="21" t="str">
        <f aca="false">IF(B609="","",CHOOSE(WEEKDAY(B609,2),"LUNES","MARTES","MIÉRCOLES","JUEVES","VIERNES","SÁBADO","DOMINGO"))</f>
        <v/>
      </c>
      <c r="M609" s="23"/>
      <c r="Q609" s="21" t="str">
        <f aca="false">IF(OR(K609="",N609=""),"",K609-N609)</f>
        <v/>
      </c>
      <c r="R609" s="21" t="str">
        <f aca="false">IF(OR(J609="",K609=""),"",J609*K609)</f>
        <v/>
      </c>
      <c r="S609" s="21" t="str">
        <f aca="false">IF(AND(ISNUMBER(J609),ISNUMBER(K609),F609&lt;&gt;"Calentamiento",F609&lt;&gt;"Bilbo"),IF(AND(K609&gt;0,K609&lt;=12),ROUND(J609*(1+(K609+IF(ISNUMBER(L609),L609,0))/30),1),""),"")</f>
        <v/>
      </c>
      <c r="T609" s="21" t="str">
        <f aca="false">IF(AND(F609="Bilbo",ISNUMBER(J609),ISNUMBER(K609)),ROUND(J609*(1+K609/30),1),"")</f>
        <v/>
      </c>
      <c r="W609" s="22"/>
      <c r="X609" s="21" t="str">
        <f aca="false">IF(AND(F609="Bilbo",E609&lt;&gt;"",G609&lt;&gt;"",H609&lt;&gt;""),E609&amp;"|"&amp;G609&amp;"|"&amp;H609,"")</f>
        <v/>
      </c>
      <c r="Y609" s="21" t="str">
        <f aca="false">IF(B609="","",IF(B609&lt;&gt;B608,1,0))</f>
        <v/>
      </c>
    </row>
    <row r="610" customFormat="false" ht="15" hidden="false" customHeight="true" outlineLevel="0" collapsed="false">
      <c r="A610" s="21" t="str">
        <f aca="false">IF(B610="","",ROW()-4)</f>
        <v/>
      </c>
      <c r="B610" s="22"/>
      <c r="C610" s="21" t="str">
        <f aca="false">IF(B610="","",CHOOSE(WEEKDAY(B610,2),"LUNES","MARTES","MIÉRCOLES","JUEVES","VIERNES","SÁBADO","DOMINGO"))</f>
        <v/>
      </c>
      <c r="M610" s="23"/>
      <c r="Q610" s="21" t="str">
        <f aca="false">IF(OR(K610="",N610=""),"",K610-N610)</f>
        <v/>
      </c>
      <c r="R610" s="21" t="str">
        <f aca="false">IF(OR(J610="",K610=""),"",J610*K610)</f>
        <v/>
      </c>
      <c r="S610" s="21" t="str">
        <f aca="false">IF(AND(ISNUMBER(J610),ISNUMBER(K610),F610&lt;&gt;"Calentamiento",F610&lt;&gt;"Bilbo"),IF(AND(K610&gt;0,K610&lt;=12),ROUND(J610*(1+(K610+IF(ISNUMBER(L610),L610,0))/30),1),""),"")</f>
        <v/>
      </c>
      <c r="T610" s="21" t="str">
        <f aca="false">IF(AND(F610="Bilbo",ISNUMBER(J610),ISNUMBER(K610)),ROUND(J610*(1+K610/30),1),"")</f>
        <v/>
      </c>
      <c r="W610" s="22"/>
      <c r="X610" s="21" t="str">
        <f aca="false">IF(AND(F610="Bilbo",E610&lt;&gt;"",G610&lt;&gt;"",H610&lt;&gt;""),E610&amp;"|"&amp;G610&amp;"|"&amp;H610,"")</f>
        <v/>
      </c>
      <c r="Y610" s="21" t="str">
        <f aca="false">IF(B610="","",IF(B610&lt;&gt;B609,1,0))</f>
        <v/>
      </c>
    </row>
    <row r="611" customFormat="false" ht="15" hidden="false" customHeight="true" outlineLevel="0" collapsed="false">
      <c r="A611" s="21" t="str">
        <f aca="false">IF(B611="","",ROW()-4)</f>
        <v/>
      </c>
      <c r="B611" s="22"/>
      <c r="C611" s="21" t="str">
        <f aca="false">IF(B611="","",CHOOSE(WEEKDAY(B611,2),"LUNES","MARTES","MIÉRCOLES","JUEVES","VIERNES","SÁBADO","DOMINGO"))</f>
        <v/>
      </c>
      <c r="M611" s="23"/>
      <c r="Q611" s="21" t="str">
        <f aca="false">IF(OR(K611="",N611=""),"",K611-N611)</f>
        <v/>
      </c>
      <c r="R611" s="21" t="str">
        <f aca="false">IF(OR(J611="",K611=""),"",J611*K611)</f>
        <v/>
      </c>
      <c r="S611" s="21" t="str">
        <f aca="false">IF(AND(ISNUMBER(J611),ISNUMBER(K611),F611&lt;&gt;"Calentamiento",F611&lt;&gt;"Bilbo"),IF(AND(K611&gt;0,K611&lt;=12),ROUND(J611*(1+(K611+IF(ISNUMBER(L611),L611,0))/30),1),""),"")</f>
        <v/>
      </c>
      <c r="T611" s="21" t="str">
        <f aca="false">IF(AND(F611="Bilbo",ISNUMBER(J611),ISNUMBER(K611)),ROUND(J611*(1+K611/30),1),"")</f>
        <v/>
      </c>
      <c r="W611" s="22"/>
      <c r="X611" s="21" t="str">
        <f aca="false">IF(AND(F611="Bilbo",E611&lt;&gt;"",G611&lt;&gt;"",H611&lt;&gt;""),E611&amp;"|"&amp;G611&amp;"|"&amp;H611,"")</f>
        <v/>
      </c>
      <c r="Y611" s="21" t="str">
        <f aca="false">IF(B611="","",IF(B611&lt;&gt;B610,1,0))</f>
        <v/>
      </c>
    </row>
    <row r="612" customFormat="false" ht="15" hidden="false" customHeight="true" outlineLevel="0" collapsed="false">
      <c r="A612" s="21" t="str">
        <f aca="false">IF(B612="","",ROW()-4)</f>
        <v/>
      </c>
      <c r="B612" s="22"/>
      <c r="C612" s="21" t="str">
        <f aca="false">IF(B612="","",CHOOSE(WEEKDAY(B612,2),"LUNES","MARTES","MIÉRCOLES","JUEVES","VIERNES","SÁBADO","DOMINGO"))</f>
        <v/>
      </c>
      <c r="M612" s="23"/>
      <c r="Q612" s="21" t="str">
        <f aca="false">IF(OR(K612="",N612=""),"",K612-N612)</f>
        <v/>
      </c>
      <c r="R612" s="21" t="str">
        <f aca="false">IF(OR(J612="",K612=""),"",J612*K612)</f>
        <v/>
      </c>
      <c r="S612" s="21" t="str">
        <f aca="false">IF(AND(ISNUMBER(J612),ISNUMBER(K612),F612&lt;&gt;"Calentamiento",F612&lt;&gt;"Bilbo"),IF(AND(K612&gt;0,K612&lt;=12),ROUND(J612*(1+(K612+IF(ISNUMBER(L612),L612,0))/30),1),""),"")</f>
        <v/>
      </c>
      <c r="T612" s="21" t="str">
        <f aca="false">IF(AND(F612="Bilbo",ISNUMBER(J612),ISNUMBER(K612)),ROUND(J612*(1+K612/30),1),"")</f>
        <v/>
      </c>
      <c r="W612" s="22"/>
      <c r="X612" s="21" t="str">
        <f aca="false">IF(AND(F612="Bilbo",E612&lt;&gt;"",G612&lt;&gt;"",H612&lt;&gt;""),E612&amp;"|"&amp;G612&amp;"|"&amp;H612,"")</f>
        <v/>
      </c>
      <c r="Y612" s="21" t="str">
        <f aca="false">IF(B612="","",IF(B612&lt;&gt;B611,1,0))</f>
        <v/>
      </c>
    </row>
    <row r="613" customFormat="false" ht="15" hidden="false" customHeight="true" outlineLevel="0" collapsed="false">
      <c r="A613" s="21" t="str">
        <f aca="false">IF(B613="","",ROW()-4)</f>
        <v/>
      </c>
      <c r="B613" s="22"/>
      <c r="C613" s="21" t="str">
        <f aca="false">IF(B613="","",CHOOSE(WEEKDAY(B613,2),"LUNES","MARTES","MIÉRCOLES","JUEVES","VIERNES","SÁBADO","DOMINGO"))</f>
        <v/>
      </c>
      <c r="M613" s="23"/>
      <c r="Q613" s="21" t="str">
        <f aca="false">IF(OR(K613="",N613=""),"",K613-N613)</f>
        <v/>
      </c>
      <c r="R613" s="21" t="str">
        <f aca="false">IF(OR(J613="",K613=""),"",J613*K613)</f>
        <v/>
      </c>
      <c r="S613" s="21" t="str">
        <f aca="false">IF(AND(ISNUMBER(J613),ISNUMBER(K613),F613&lt;&gt;"Calentamiento",F613&lt;&gt;"Bilbo"),IF(AND(K613&gt;0,K613&lt;=12),ROUND(J613*(1+(K613+IF(ISNUMBER(L613),L613,0))/30),1),""),"")</f>
        <v/>
      </c>
      <c r="T613" s="21" t="str">
        <f aca="false">IF(AND(F613="Bilbo",ISNUMBER(J613),ISNUMBER(K613)),ROUND(J613*(1+K613/30),1),"")</f>
        <v/>
      </c>
      <c r="W613" s="22"/>
      <c r="X613" s="21" t="str">
        <f aca="false">IF(AND(F613="Bilbo",E613&lt;&gt;"",G613&lt;&gt;"",H613&lt;&gt;""),E613&amp;"|"&amp;G613&amp;"|"&amp;H613,"")</f>
        <v/>
      </c>
      <c r="Y613" s="21" t="str">
        <f aca="false">IF(B613="","",IF(B613&lt;&gt;B612,1,0))</f>
        <v/>
      </c>
    </row>
    <row r="614" customFormat="false" ht="15" hidden="false" customHeight="true" outlineLevel="0" collapsed="false">
      <c r="A614" s="21" t="str">
        <f aca="false">IF(B614="","",ROW()-4)</f>
        <v/>
      </c>
      <c r="B614" s="22"/>
      <c r="C614" s="21" t="str">
        <f aca="false">IF(B614="","",CHOOSE(WEEKDAY(B614,2),"LUNES","MARTES","MIÉRCOLES","JUEVES","VIERNES","SÁBADO","DOMINGO"))</f>
        <v/>
      </c>
      <c r="M614" s="23"/>
      <c r="Q614" s="21" t="str">
        <f aca="false">IF(OR(K614="",N614=""),"",K614-N614)</f>
        <v/>
      </c>
      <c r="R614" s="21" t="str">
        <f aca="false">IF(OR(J614="",K614=""),"",J614*K614)</f>
        <v/>
      </c>
      <c r="S614" s="21" t="str">
        <f aca="false">IF(AND(ISNUMBER(J614),ISNUMBER(K614),F614&lt;&gt;"Calentamiento",F614&lt;&gt;"Bilbo"),IF(AND(K614&gt;0,K614&lt;=12),ROUND(J614*(1+(K614+IF(ISNUMBER(L614),L614,0))/30),1),""),"")</f>
        <v/>
      </c>
      <c r="T614" s="21" t="str">
        <f aca="false">IF(AND(F614="Bilbo",ISNUMBER(J614),ISNUMBER(K614)),ROUND(J614*(1+K614/30),1),"")</f>
        <v/>
      </c>
      <c r="W614" s="22"/>
      <c r="X614" s="21" t="str">
        <f aca="false">IF(AND(F614="Bilbo",E614&lt;&gt;"",G614&lt;&gt;"",H614&lt;&gt;""),E614&amp;"|"&amp;G614&amp;"|"&amp;H614,"")</f>
        <v/>
      </c>
      <c r="Y614" s="21" t="str">
        <f aca="false">IF(B614="","",IF(B614&lt;&gt;B613,1,0))</f>
        <v/>
      </c>
    </row>
    <row r="615" customFormat="false" ht="15" hidden="false" customHeight="true" outlineLevel="0" collapsed="false">
      <c r="A615" s="21" t="str">
        <f aca="false">IF(B615="","",ROW()-4)</f>
        <v/>
      </c>
      <c r="B615" s="22"/>
      <c r="C615" s="21" t="str">
        <f aca="false">IF(B615="","",CHOOSE(WEEKDAY(B615,2),"LUNES","MARTES","MIÉRCOLES","JUEVES","VIERNES","SÁBADO","DOMINGO"))</f>
        <v/>
      </c>
      <c r="M615" s="23"/>
      <c r="Q615" s="21" t="str">
        <f aca="false">IF(OR(K615="",N615=""),"",K615-N615)</f>
        <v/>
      </c>
      <c r="R615" s="21" t="str">
        <f aca="false">IF(OR(J615="",K615=""),"",J615*K615)</f>
        <v/>
      </c>
      <c r="S615" s="21" t="str">
        <f aca="false">IF(AND(ISNUMBER(J615),ISNUMBER(K615),F615&lt;&gt;"Calentamiento",F615&lt;&gt;"Bilbo"),IF(AND(K615&gt;0,K615&lt;=12),ROUND(J615*(1+(K615+IF(ISNUMBER(L615),L615,0))/30),1),""),"")</f>
        <v/>
      </c>
      <c r="T615" s="21" t="str">
        <f aca="false">IF(AND(F615="Bilbo",ISNUMBER(J615),ISNUMBER(K615)),ROUND(J615*(1+K615/30),1),"")</f>
        <v/>
      </c>
      <c r="W615" s="22"/>
      <c r="X615" s="21" t="str">
        <f aca="false">IF(AND(F615="Bilbo",E615&lt;&gt;"",G615&lt;&gt;"",H615&lt;&gt;""),E615&amp;"|"&amp;G615&amp;"|"&amp;H615,"")</f>
        <v/>
      </c>
      <c r="Y615" s="21" t="str">
        <f aca="false">IF(B615="","",IF(B615&lt;&gt;B614,1,0))</f>
        <v/>
      </c>
    </row>
    <row r="616" customFormat="false" ht="15" hidden="false" customHeight="true" outlineLevel="0" collapsed="false">
      <c r="A616" s="21" t="str">
        <f aca="false">IF(B616="","",ROW()-4)</f>
        <v/>
      </c>
      <c r="B616" s="22"/>
      <c r="C616" s="21" t="str">
        <f aca="false">IF(B616="","",CHOOSE(WEEKDAY(B616,2),"LUNES","MARTES","MIÉRCOLES","JUEVES","VIERNES","SÁBADO","DOMINGO"))</f>
        <v/>
      </c>
      <c r="M616" s="23"/>
      <c r="Q616" s="21" t="str">
        <f aca="false">IF(OR(K616="",N616=""),"",K616-N616)</f>
        <v/>
      </c>
      <c r="R616" s="21" t="str">
        <f aca="false">IF(OR(J616="",K616=""),"",J616*K616)</f>
        <v/>
      </c>
      <c r="S616" s="21" t="str">
        <f aca="false">IF(AND(ISNUMBER(J616),ISNUMBER(K616),F616&lt;&gt;"Calentamiento",F616&lt;&gt;"Bilbo"),IF(AND(K616&gt;0,K616&lt;=12),ROUND(J616*(1+(K616+IF(ISNUMBER(L616),L616,0))/30),1),""),"")</f>
        <v/>
      </c>
      <c r="T616" s="21" t="str">
        <f aca="false">IF(AND(F616="Bilbo",ISNUMBER(J616),ISNUMBER(K616)),ROUND(J616*(1+K616/30),1),"")</f>
        <v/>
      </c>
      <c r="W616" s="22"/>
      <c r="X616" s="21" t="str">
        <f aca="false">IF(AND(F616="Bilbo",E616&lt;&gt;"",G616&lt;&gt;"",H616&lt;&gt;""),E616&amp;"|"&amp;G616&amp;"|"&amp;H616,"")</f>
        <v/>
      </c>
      <c r="Y616" s="21" t="str">
        <f aca="false">IF(B616="","",IF(B616&lt;&gt;B615,1,0))</f>
        <v/>
      </c>
    </row>
    <row r="617" customFormat="false" ht="15" hidden="false" customHeight="true" outlineLevel="0" collapsed="false">
      <c r="A617" s="21" t="str">
        <f aca="false">IF(B617="","",ROW()-4)</f>
        <v/>
      </c>
      <c r="B617" s="22"/>
      <c r="C617" s="21" t="str">
        <f aca="false">IF(B617="","",CHOOSE(WEEKDAY(B617,2),"LUNES","MARTES","MIÉRCOLES","JUEVES","VIERNES","SÁBADO","DOMINGO"))</f>
        <v/>
      </c>
      <c r="M617" s="23"/>
      <c r="Q617" s="21" t="str">
        <f aca="false">IF(OR(K617="",N617=""),"",K617-N617)</f>
        <v/>
      </c>
      <c r="R617" s="21" t="str">
        <f aca="false">IF(OR(J617="",K617=""),"",J617*K617)</f>
        <v/>
      </c>
      <c r="S617" s="21" t="str">
        <f aca="false">IF(AND(ISNUMBER(J617),ISNUMBER(K617),F617&lt;&gt;"Calentamiento",F617&lt;&gt;"Bilbo"),IF(AND(K617&gt;0,K617&lt;=12),ROUND(J617*(1+(K617+IF(ISNUMBER(L617),L617,0))/30),1),""),"")</f>
        <v/>
      </c>
      <c r="T617" s="21" t="str">
        <f aca="false">IF(AND(F617="Bilbo",ISNUMBER(J617),ISNUMBER(K617)),ROUND(J617*(1+K617/30),1),"")</f>
        <v/>
      </c>
      <c r="W617" s="22"/>
      <c r="X617" s="21" t="str">
        <f aca="false">IF(AND(F617="Bilbo",E617&lt;&gt;"",G617&lt;&gt;"",H617&lt;&gt;""),E617&amp;"|"&amp;G617&amp;"|"&amp;H617,"")</f>
        <v/>
      </c>
      <c r="Y617" s="21" t="str">
        <f aca="false">IF(B617="","",IF(B617&lt;&gt;B616,1,0))</f>
        <v/>
      </c>
    </row>
    <row r="618" customFormat="false" ht="15" hidden="false" customHeight="true" outlineLevel="0" collapsed="false">
      <c r="A618" s="21" t="str">
        <f aca="false">IF(B618="","",ROW()-4)</f>
        <v/>
      </c>
      <c r="B618" s="22"/>
      <c r="C618" s="21" t="str">
        <f aca="false">IF(B618="","",CHOOSE(WEEKDAY(B618,2),"LUNES","MARTES","MIÉRCOLES","JUEVES","VIERNES","SÁBADO","DOMINGO"))</f>
        <v/>
      </c>
      <c r="M618" s="23"/>
      <c r="Q618" s="21" t="str">
        <f aca="false">IF(OR(K618="",N618=""),"",K618-N618)</f>
        <v/>
      </c>
      <c r="R618" s="21" t="str">
        <f aca="false">IF(OR(J618="",K618=""),"",J618*K618)</f>
        <v/>
      </c>
      <c r="S618" s="21" t="str">
        <f aca="false">IF(AND(ISNUMBER(J618),ISNUMBER(K618),F618&lt;&gt;"Calentamiento",F618&lt;&gt;"Bilbo"),IF(AND(K618&gt;0,K618&lt;=12),ROUND(J618*(1+(K618+IF(ISNUMBER(L618),L618,0))/30),1),""),"")</f>
        <v/>
      </c>
      <c r="T618" s="21" t="str">
        <f aca="false">IF(AND(F618="Bilbo",ISNUMBER(J618),ISNUMBER(K618)),ROUND(J618*(1+K618/30),1),"")</f>
        <v/>
      </c>
      <c r="W618" s="22"/>
      <c r="X618" s="21" t="str">
        <f aca="false">IF(AND(F618="Bilbo",E618&lt;&gt;"",G618&lt;&gt;"",H618&lt;&gt;""),E618&amp;"|"&amp;G618&amp;"|"&amp;H618,"")</f>
        <v/>
      </c>
      <c r="Y618" s="21" t="str">
        <f aca="false">IF(B618="","",IF(B618&lt;&gt;B617,1,0))</f>
        <v/>
      </c>
    </row>
    <row r="619" customFormat="false" ht="15" hidden="false" customHeight="true" outlineLevel="0" collapsed="false">
      <c r="A619" s="21" t="str">
        <f aca="false">IF(B619="","",ROW()-4)</f>
        <v/>
      </c>
      <c r="B619" s="22"/>
      <c r="C619" s="21" t="str">
        <f aca="false">IF(B619="","",CHOOSE(WEEKDAY(B619,2),"LUNES","MARTES","MIÉRCOLES","JUEVES","VIERNES","SÁBADO","DOMINGO"))</f>
        <v/>
      </c>
      <c r="M619" s="23"/>
      <c r="Q619" s="21" t="str">
        <f aca="false">IF(OR(K619="",N619=""),"",K619-N619)</f>
        <v/>
      </c>
      <c r="R619" s="21" t="str">
        <f aca="false">IF(OR(J619="",K619=""),"",J619*K619)</f>
        <v/>
      </c>
      <c r="S619" s="21" t="str">
        <f aca="false">IF(AND(ISNUMBER(J619),ISNUMBER(K619),F619&lt;&gt;"Calentamiento",F619&lt;&gt;"Bilbo"),IF(AND(K619&gt;0,K619&lt;=12),ROUND(J619*(1+(K619+IF(ISNUMBER(L619),L619,0))/30),1),""),"")</f>
        <v/>
      </c>
      <c r="T619" s="21" t="str">
        <f aca="false">IF(AND(F619="Bilbo",ISNUMBER(J619),ISNUMBER(K619)),ROUND(J619*(1+K619/30),1),"")</f>
        <v/>
      </c>
      <c r="W619" s="22"/>
      <c r="X619" s="21" t="str">
        <f aca="false">IF(AND(F619="Bilbo",E619&lt;&gt;"",G619&lt;&gt;"",H619&lt;&gt;""),E619&amp;"|"&amp;G619&amp;"|"&amp;H619,"")</f>
        <v/>
      </c>
      <c r="Y619" s="21" t="str">
        <f aca="false">IF(B619="","",IF(B619&lt;&gt;B618,1,0))</f>
        <v/>
      </c>
    </row>
    <row r="620" customFormat="false" ht="15" hidden="false" customHeight="true" outlineLevel="0" collapsed="false">
      <c r="A620" s="21" t="str">
        <f aca="false">IF(B620="","",ROW()-4)</f>
        <v/>
      </c>
      <c r="B620" s="22"/>
      <c r="C620" s="21" t="str">
        <f aca="false">IF(B620="","",CHOOSE(WEEKDAY(B620,2),"LUNES","MARTES","MIÉRCOLES","JUEVES","VIERNES","SÁBADO","DOMINGO"))</f>
        <v/>
      </c>
      <c r="M620" s="23"/>
      <c r="Q620" s="21" t="str">
        <f aca="false">IF(OR(K620="",N620=""),"",K620-N620)</f>
        <v/>
      </c>
      <c r="R620" s="21" t="str">
        <f aca="false">IF(OR(J620="",K620=""),"",J620*K620)</f>
        <v/>
      </c>
      <c r="S620" s="21" t="str">
        <f aca="false">IF(AND(ISNUMBER(J620),ISNUMBER(K620),F620&lt;&gt;"Calentamiento",F620&lt;&gt;"Bilbo"),IF(AND(K620&gt;0,K620&lt;=12),ROUND(J620*(1+(K620+IF(ISNUMBER(L620),L620,0))/30),1),""),"")</f>
        <v/>
      </c>
      <c r="T620" s="21" t="str">
        <f aca="false">IF(AND(F620="Bilbo",ISNUMBER(J620),ISNUMBER(K620)),ROUND(J620*(1+K620/30),1),"")</f>
        <v/>
      </c>
      <c r="W620" s="22"/>
      <c r="X620" s="21" t="str">
        <f aca="false">IF(AND(F620="Bilbo",E620&lt;&gt;"",G620&lt;&gt;"",H620&lt;&gt;""),E620&amp;"|"&amp;G620&amp;"|"&amp;H620,"")</f>
        <v/>
      </c>
      <c r="Y620" s="21" t="str">
        <f aca="false">IF(B620="","",IF(B620&lt;&gt;B619,1,0))</f>
        <v/>
      </c>
    </row>
    <row r="621" customFormat="false" ht="15" hidden="false" customHeight="true" outlineLevel="0" collapsed="false">
      <c r="A621" s="21" t="str">
        <f aca="false">IF(B621="","",ROW()-4)</f>
        <v/>
      </c>
      <c r="B621" s="22"/>
      <c r="C621" s="21" t="str">
        <f aca="false">IF(B621="","",CHOOSE(WEEKDAY(B621,2),"LUNES","MARTES","MIÉRCOLES","JUEVES","VIERNES","SÁBADO","DOMINGO"))</f>
        <v/>
      </c>
      <c r="M621" s="23"/>
      <c r="Q621" s="21" t="str">
        <f aca="false">IF(OR(K621="",N621=""),"",K621-N621)</f>
        <v/>
      </c>
      <c r="R621" s="21" t="str">
        <f aca="false">IF(OR(J621="",K621=""),"",J621*K621)</f>
        <v/>
      </c>
      <c r="S621" s="21" t="str">
        <f aca="false">IF(AND(ISNUMBER(J621),ISNUMBER(K621),F621&lt;&gt;"Calentamiento",F621&lt;&gt;"Bilbo"),IF(AND(K621&gt;0,K621&lt;=12),ROUND(J621*(1+(K621+IF(ISNUMBER(L621),L621,0))/30),1),""),"")</f>
        <v/>
      </c>
      <c r="T621" s="21" t="str">
        <f aca="false">IF(AND(F621="Bilbo",ISNUMBER(J621),ISNUMBER(K621)),ROUND(J621*(1+K621/30),1),"")</f>
        <v/>
      </c>
      <c r="W621" s="22"/>
      <c r="X621" s="21" t="str">
        <f aca="false">IF(AND(F621="Bilbo",E621&lt;&gt;"",G621&lt;&gt;"",H621&lt;&gt;""),E621&amp;"|"&amp;G621&amp;"|"&amp;H621,"")</f>
        <v/>
      </c>
      <c r="Y621" s="21" t="str">
        <f aca="false">IF(B621="","",IF(B621&lt;&gt;B620,1,0))</f>
        <v/>
      </c>
    </row>
    <row r="622" customFormat="false" ht="15" hidden="false" customHeight="true" outlineLevel="0" collapsed="false">
      <c r="A622" s="21" t="str">
        <f aca="false">IF(B622="","",ROW()-4)</f>
        <v/>
      </c>
      <c r="B622" s="22"/>
      <c r="C622" s="21" t="str">
        <f aca="false">IF(B622="","",CHOOSE(WEEKDAY(B622,2),"LUNES","MARTES","MIÉRCOLES","JUEVES","VIERNES","SÁBADO","DOMINGO"))</f>
        <v/>
      </c>
      <c r="M622" s="23"/>
      <c r="Q622" s="21" t="str">
        <f aca="false">IF(OR(K622="",N622=""),"",K622-N622)</f>
        <v/>
      </c>
      <c r="R622" s="21" t="str">
        <f aca="false">IF(OR(J622="",K622=""),"",J622*K622)</f>
        <v/>
      </c>
      <c r="S622" s="21" t="str">
        <f aca="false">IF(AND(ISNUMBER(J622),ISNUMBER(K622),F622&lt;&gt;"Calentamiento",F622&lt;&gt;"Bilbo"),IF(AND(K622&gt;0,K622&lt;=12),ROUND(J622*(1+(K622+IF(ISNUMBER(L622),L622,0))/30),1),""),"")</f>
        <v/>
      </c>
      <c r="T622" s="21" t="str">
        <f aca="false">IF(AND(F622="Bilbo",ISNUMBER(J622),ISNUMBER(K622)),ROUND(J622*(1+K622/30),1),"")</f>
        <v/>
      </c>
      <c r="W622" s="22"/>
      <c r="X622" s="21" t="str">
        <f aca="false">IF(AND(F622="Bilbo",E622&lt;&gt;"",G622&lt;&gt;"",H622&lt;&gt;""),E622&amp;"|"&amp;G622&amp;"|"&amp;H622,"")</f>
        <v/>
      </c>
      <c r="Y622" s="21" t="str">
        <f aca="false">IF(B622="","",IF(B622&lt;&gt;B621,1,0))</f>
        <v/>
      </c>
    </row>
    <row r="623" customFormat="false" ht="15" hidden="false" customHeight="true" outlineLevel="0" collapsed="false">
      <c r="A623" s="21" t="str">
        <f aca="false">IF(B623="","",ROW()-4)</f>
        <v/>
      </c>
      <c r="B623" s="22"/>
      <c r="C623" s="21" t="str">
        <f aca="false">IF(B623="","",CHOOSE(WEEKDAY(B623,2),"LUNES","MARTES","MIÉRCOLES","JUEVES","VIERNES","SÁBADO","DOMINGO"))</f>
        <v/>
      </c>
      <c r="M623" s="23"/>
      <c r="Q623" s="21" t="str">
        <f aca="false">IF(OR(K623="",N623=""),"",K623-N623)</f>
        <v/>
      </c>
      <c r="R623" s="21" t="str">
        <f aca="false">IF(OR(J623="",K623=""),"",J623*K623)</f>
        <v/>
      </c>
      <c r="S623" s="21" t="str">
        <f aca="false">IF(AND(ISNUMBER(J623),ISNUMBER(K623),F623&lt;&gt;"Calentamiento",F623&lt;&gt;"Bilbo"),IF(AND(K623&gt;0,K623&lt;=12),ROUND(J623*(1+(K623+IF(ISNUMBER(L623),L623,0))/30),1),""),"")</f>
        <v/>
      </c>
      <c r="T623" s="21" t="str">
        <f aca="false">IF(AND(F623="Bilbo",ISNUMBER(J623),ISNUMBER(K623)),ROUND(J623*(1+K623/30),1),"")</f>
        <v/>
      </c>
      <c r="W623" s="22"/>
      <c r="X623" s="21" t="str">
        <f aca="false">IF(AND(F623="Bilbo",E623&lt;&gt;"",G623&lt;&gt;"",H623&lt;&gt;""),E623&amp;"|"&amp;G623&amp;"|"&amp;H623,"")</f>
        <v/>
      </c>
      <c r="Y623" s="21" t="str">
        <f aca="false">IF(B623="","",IF(B623&lt;&gt;B622,1,0))</f>
        <v/>
      </c>
    </row>
    <row r="624" customFormat="false" ht="15" hidden="false" customHeight="true" outlineLevel="0" collapsed="false">
      <c r="A624" s="21" t="str">
        <f aca="false">IF(B624="","",ROW()-4)</f>
        <v/>
      </c>
      <c r="B624" s="22"/>
      <c r="C624" s="21" t="str">
        <f aca="false">IF(B624="","",CHOOSE(WEEKDAY(B624,2),"LUNES","MARTES","MIÉRCOLES","JUEVES","VIERNES","SÁBADO","DOMINGO"))</f>
        <v/>
      </c>
      <c r="M624" s="23"/>
      <c r="Q624" s="21" t="str">
        <f aca="false">IF(OR(K624="",N624=""),"",K624-N624)</f>
        <v/>
      </c>
      <c r="R624" s="21" t="str">
        <f aca="false">IF(OR(J624="",K624=""),"",J624*K624)</f>
        <v/>
      </c>
      <c r="S624" s="21" t="str">
        <f aca="false">IF(AND(ISNUMBER(J624),ISNUMBER(K624),F624&lt;&gt;"Calentamiento",F624&lt;&gt;"Bilbo"),IF(AND(K624&gt;0,K624&lt;=12),ROUND(J624*(1+(K624+IF(ISNUMBER(L624),L624,0))/30),1),""),"")</f>
        <v/>
      </c>
      <c r="T624" s="21" t="str">
        <f aca="false">IF(AND(F624="Bilbo",ISNUMBER(J624),ISNUMBER(K624)),ROUND(J624*(1+K624/30),1),"")</f>
        <v/>
      </c>
      <c r="W624" s="22"/>
      <c r="X624" s="21" t="str">
        <f aca="false">IF(AND(F624="Bilbo",E624&lt;&gt;"",G624&lt;&gt;"",H624&lt;&gt;""),E624&amp;"|"&amp;G624&amp;"|"&amp;H624,"")</f>
        <v/>
      </c>
      <c r="Y624" s="21" t="str">
        <f aca="false">IF(B624="","",IF(B624&lt;&gt;B623,1,0))</f>
        <v/>
      </c>
    </row>
    <row r="625" customFormat="false" ht="15" hidden="false" customHeight="true" outlineLevel="0" collapsed="false">
      <c r="A625" s="21" t="str">
        <f aca="false">IF(B625="","",ROW()-4)</f>
        <v/>
      </c>
      <c r="B625" s="22"/>
      <c r="C625" s="21" t="str">
        <f aca="false">IF(B625="","",CHOOSE(WEEKDAY(B625,2),"LUNES","MARTES","MIÉRCOLES","JUEVES","VIERNES","SÁBADO","DOMINGO"))</f>
        <v/>
      </c>
      <c r="M625" s="23"/>
      <c r="Q625" s="21" t="str">
        <f aca="false">IF(OR(K625="",N625=""),"",K625-N625)</f>
        <v/>
      </c>
      <c r="R625" s="21" t="str">
        <f aca="false">IF(OR(J625="",K625=""),"",J625*K625)</f>
        <v/>
      </c>
      <c r="S625" s="21" t="str">
        <f aca="false">IF(AND(ISNUMBER(J625),ISNUMBER(K625),F625&lt;&gt;"Calentamiento",F625&lt;&gt;"Bilbo"),IF(AND(K625&gt;0,K625&lt;=12),ROUND(J625*(1+(K625+IF(ISNUMBER(L625),L625,0))/30),1),""),"")</f>
        <v/>
      </c>
      <c r="T625" s="21" t="str">
        <f aca="false">IF(AND(F625="Bilbo",ISNUMBER(J625),ISNUMBER(K625)),ROUND(J625*(1+K625/30),1),"")</f>
        <v/>
      </c>
      <c r="W625" s="22"/>
      <c r="X625" s="21" t="str">
        <f aca="false">IF(AND(F625="Bilbo",E625&lt;&gt;"",G625&lt;&gt;"",H625&lt;&gt;""),E625&amp;"|"&amp;G625&amp;"|"&amp;H625,"")</f>
        <v/>
      </c>
      <c r="Y625" s="21" t="str">
        <f aca="false">IF(B625="","",IF(B625&lt;&gt;B624,1,0))</f>
        <v/>
      </c>
    </row>
    <row r="626" customFormat="false" ht="15" hidden="false" customHeight="true" outlineLevel="0" collapsed="false">
      <c r="A626" s="21" t="str">
        <f aca="false">IF(B626="","",ROW()-4)</f>
        <v/>
      </c>
      <c r="B626" s="22"/>
      <c r="C626" s="21" t="str">
        <f aca="false">IF(B626="","",CHOOSE(WEEKDAY(B626,2),"LUNES","MARTES","MIÉRCOLES","JUEVES","VIERNES","SÁBADO","DOMINGO"))</f>
        <v/>
      </c>
      <c r="M626" s="23"/>
      <c r="Q626" s="21" t="str">
        <f aca="false">IF(OR(K626="",N626=""),"",K626-N626)</f>
        <v/>
      </c>
      <c r="R626" s="21" t="str">
        <f aca="false">IF(OR(J626="",K626=""),"",J626*K626)</f>
        <v/>
      </c>
      <c r="S626" s="21" t="str">
        <f aca="false">IF(AND(ISNUMBER(J626),ISNUMBER(K626),F626&lt;&gt;"Calentamiento",F626&lt;&gt;"Bilbo"),IF(AND(K626&gt;0,K626&lt;=12),ROUND(J626*(1+(K626+IF(ISNUMBER(L626),L626,0))/30),1),""),"")</f>
        <v/>
      </c>
      <c r="T626" s="21" t="str">
        <f aca="false">IF(AND(F626="Bilbo",ISNUMBER(J626),ISNUMBER(K626)),ROUND(J626*(1+K626/30),1),"")</f>
        <v/>
      </c>
      <c r="W626" s="22"/>
      <c r="X626" s="21" t="str">
        <f aca="false">IF(AND(F626="Bilbo",E626&lt;&gt;"",G626&lt;&gt;"",H626&lt;&gt;""),E626&amp;"|"&amp;G626&amp;"|"&amp;H626,"")</f>
        <v/>
      </c>
      <c r="Y626" s="21" t="str">
        <f aca="false">IF(B626="","",IF(B626&lt;&gt;B625,1,0))</f>
        <v/>
      </c>
    </row>
    <row r="627" customFormat="false" ht="15" hidden="false" customHeight="true" outlineLevel="0" collapsed="false">
      <c r="A627" s="21" t="str">
        <f aca="false">IF(B627="","",ROW()-4)</f>
        <v/>
      </c>
      <c r="B627" s="22"/>
      <c r="C627" s="21" t="str">
        <f aca="false">IF(B627="","",CHOOSE(WEEKDAY(B627,2),"LUNES","MARTES","MIÉRCOLES","JUEVES","VIERNES","SÁBADO","DOMINGO"))</f>
        <v/>
      </c>
      <c r="M627" s="23"/>
      <c r="Q627" s="21" t="str">
        <f aca="false">IF(OR(K627="",N627=""),"",K627-N627)</f>
        <v/>
      </c>
      <c r="R627" s="21" t="str">
        <f aca="false">IF(OR(J627="",K627=""),"",J627*K627)</f>
        <v/>
      </c>
      <c r="S627" s="21" t="str">
        <f aca="false">IF(AND(ISNUMBER(J627),ISNUMBER(K627),F627&lt;&gt;"Calentamiento",F627&lt;&gt;"Bilbo"),IF(AND(K627&gt;0,K627&lt;=12),ROUND(J627*(1+(K627+IF(ISNUMBER(L627),L627,0))/30),1),""),"")</f>
        <v/>
      </c>
      <c r="T627" s="21" t="str">
        <f aca="false">IF(AND(F627="Bilbo",ISNUMBER(J627),ISNUMBER(K627)),ROUND(J627*(1+K627/30),1),"")</f>
        <v/>
      </c>
      <c r="W627" s="22"/>
      <c r="X627" s="21" t="str">
        <f aca="false">IF(AND(F627="Bilbo",E627&lt;&gt;"",G627&lt;&gt;"",H627&lt;&gt;""),E627&amp;"|"&amp;G627&amp;"|"&amp;H627,"")</f>
        <v/>
      </c>
      <c r="Y627" s="21" t="str">
        <f aca="false">IF(B627="","",IF(B627&lt;&gt;B626,1,0))</f>
        <v/>
      </c>
    </row>
    <row r="628" customFormat="false" ht="15" hidden="false" customHeight="true" outlineLevel="0" collapsed="false">
      <c r="A628" s="21" t="str">
        <f aca="false">IF(B628="","",ROW()-4)</f>
        <v/>
      </c>
      <c r="B628" s="22"/>
      <c r="C628" s="21" t="str">
        <f aca="false">IF(B628="","",CHOOSE(WEEKDAY(B628,2),"LUNES","MARTES","MIÉRCOLES","JUEVES","VIERNES","SÁBADO","DOMINGO"))</f>
        <v/>
      </c>
      <c r="M628" s="23"/>
      <c r="Q628" s="21" t="str">
        <f aca="false">IF(OR(K628="",N628=""),"",K628-N628)</f>
        <v/>
      </c>
      <c r="R628" s="21" t="str">
        <f aca="false">IF(OR(J628="",K628=""),"",J628*K628)</f>
        <v/>
      </c>
      <c r="S628" s="21" t="str">
        <f aca="false">IF(AND(ISNUMBER(J628),ISNUMBER(K628),F628&lt;&gt;"Calentamiento",F628&lt;&gt;"Bilbo"),IF(AND(K628&gt;0,K628&lt;=12),ROUND(J628*(1+(K628+IF(ISNUMBER(L628),L628,0))/30),1),""),"")</f>
        <v/>
      </c>
      <c r="T628" s="21" t="str">
        <f aca="false">IF(AND(F628="Bilbo",ISNUMBER(J628),ISNUMBER(K628)),ROUND(J628*(1+K628/30),1),"")</f>
        <v/>
      </c>
      <c r="W628" s="22"/>
      <c r="X628" s="21" t="str">
        <f aca="false">IF(AND(F628="Bilbo",E628&lt;&gt;"",G628&lt;&gt;"",H628&lt;&gt;""),E628&amp;"|"&amp;G628&amp;"|"&amp;H628,"")</f>
        <v/>
      </c>
      <c r="Y628" s="21" t="str">
        <f aca="false">IF(B628="","",IF(B628&lt;&gt;B627,1,0))</f>
        <v/>
      </c>
    </row>
    <row r="629" customFormat="false" ht="15" hidden="false" customHeight="true" outlineLevel="0" collapsed="false">
      <c r="A629" s="21" t="str">
        <f aca="false">IF(B629="","",ROW()-4)</f>
        <v/>
      </c>
      <c r="B629" s="22"/>
      <c r="C629" s="21" t="str">
        <f aca="false">IF(B629="","",CHOOSE(WEEKDAY(B629,2),"LUNES","MARTES","MIÉRCOLES","JUEVES","VIERNES","SÁBADO","DOMINGO"))</f>
        <v/>
      </c>
      <c r="M629" s="23"/>
      <c r="Q629" s="21" t="str">
        <f aca="false">IF(OR(K629="",N629=""),"",K629-N629)</f>
        <v/>
      </c>
      <c r="R629" s="21" t="str">
        <f aca="false">IF(OR(J629="",K629=""),"",J629*K629)</f>
        <v/>
      </c>
      <c r="S629" s="21" t="str">
        <f aca="false">IF(AND(ISNUMBER(J629),ISNUMBER(K629),F629&lt;&gt;"Calentamiento",F629&lt;&gt;"Bilbo"),IF(AND(K629&gt;0,K629&lt;=12),ROUND(J629*(1+(K629+IF(ISNUMBER(L629),L629,0))/30),1),""),"")</f>
        <v/>
      </c>
      <c r="T629" s="21" t="str">
        <f aca="false">IF(AND(F629="Bilbo",ISNUMBER(J629),ISNUMBER(K629)),ROUND(J629*(1+K629/30),1),"")</f>
        <v/>
      </c>
      <c r="W629" s="22"/>
      <c r="X629" s="21" t="str">
        <f aca="false">IF(AND(F629="Bilbo",E629&lt;&gt;"",G629&lt;&gt;"",H629&lt;&gt;""),E629&amp;"|"&amp;G629&amp;"|"&amp;H629,"")</f>
        <v/>
      </c>
      <c r="Y629" s="21" t="str">
        <f aca="false">IF(B629="","",IF(B629&lt;&gt;B628,1,0))</f>
        <v/>
      </c>
    </row>
    <row r="630" customFormat="false" ht="15" hidden="false" customHeight="true" outlineLevel="0" collapsed="false">
      <c r="A630" s="21" t="str">
        <f aca="false">IF(B630="","",ROW()-4)</f>
        <v/>
      </c>
      <c r="B630" s="22"/>
      <c r="C630" s="21" t="str">
        <f aca="false">IF(B630="","",CHOOSE(WEEKDAY(B630,2),"LUNES","MARTES","MIÉRCOLES","JUEVES","VIERNES","SÁBADO","DOMINGO"))</f>
        <v/>
      </c>
      <c r="M630" s="23"/>
      <c r="Q630" s="21" t="str">
        <f aca="false">IF(OR(K630="",N630=""),"",K630-N630)</f>
        <v/>
      </c>
      <c r="R630" s="21" t="str">
        <f aca="false">IF(OR(J630="",K630=""),"",J630*K630)</f>
        <v/>
      </c>
      <c r="S630" s="21" t="str">
        <f aca="false">IF(AND(ISNUMBER(J630),ISNUMBER(K630),F630&lt;&gt;"Calentamiento",F630&lt;&gt;"Bilbo"),IF(AND(K630&gt;0,K630&lt;=12),ROUND(J630*(1+(K630+IF(ISNUMBER(L630),L630,0))/30),1),""),"")</f>
        <v/>
      </c>
      <c r="T630" s="21" t="str">
        <f aca="false">IF(AND(F630="Bilbo",ISNUMBER(J630),ISNUMBER(K630)),ROUND(J630*(1+K630/30),1),"")</f>
        <v/>
      </c>
      <c r="W630" s="22"/>
      <c r="X630" s="21" t="str">
        <f aca="false">IF(AND(F630="Bilbo",E630&lt;&gt;"",G630&lt;&gt;"",H630&lt;&gt;""),E630&amp;"|"&amp;G630&amp;"|"&amp;H630,"")</f>
        <v/>
      </c>
      <c r="Y630" s="21" t="str">
        <f aca="false">IF(B630="","",IF(B630&lt;&gt;B629,1,0))</f>
        <v/>
      </c>
    </row>
    <row r="631" customFormat="false" ht="15" hidden="false" customHeight="true" outlineLevel="0" collapsed="false">
      <c r="A631" s="21" t="str">
        <f aca="false">IF(B631="","",ROW()-4)</f>
        <v/>
      </c>
      <c r="B631" s="22"/>
      <c r="C631" s="21" t="str">
        <f aca="false">IF(B631="","",CHOOSE(WEEKDAY(B631,2),"LUNES","MARTES","MIÉRCOLES","JUEVES","VIERNES","SÁBADO","DOMINGO"))</f>
        <v/>
      </c>
      <c r="M631" s="23"/>
      <c r="Q631" s="21" t="str">
        <f aca="false">IF(OR(K631="",N631=""),"",K631-N631)</f>
        <v/>
      </c>
      <c r="R631" s="21" t="str">
        <f aca="false">IF(OR(J631="",K631=""),"",J631*K631)</f>
        <v/>
      </c>
      <c r="S631" s="21" t="str">
        <f aca="false">IF(AND(ISNUMBER(J631),ISNUMBER(K631),F631&lt;&gt;"Calentamiento",F631&lt;&gt;"Bilbo"),IF(AND(K631&gt;0,K631&lt;=12),ROUND(J631*(1+(K631+IF(ISNUMBER(L631),L631,0))/30),1),""),"")</f>
        <v/>
      </c>
      <c r="T631" s="21" t="str">
        <f aca="false">IF(AND(F631="Bilbo",ISNUMBER(J631),ISNUMBER(K631)),ROUND(J631*(1+K631/30),1),"")</f>
        <v/>
      </c>
      <c r="W631" s="22"/>
      <c r="X631" s="21" t="str">
        <f aca="false">IF(AND(F631="Bilbo",E631&lt;&gt;"",G631&lt;&gt;"",H631&lt;&gt;""),E631&amp;"|"&amp;G631&amp;"|"&amp;H631,"")</f>
        <v/>
      </c>
      <c r="Y631" s="21" t="str">
        <f aca="false">IF(B631="","",IF(B631&lt;&gt;B630,1,0))</f>
        <v/>
      </c>
    </row>
    <row r="632" customFormat="false" ht="15" hidden="false" customHeight="true" outlineLevel="0" collapsed="false">
      <c r="A632" s="21" t="str">
        <f aca="false">IF(B632="","",ROW()-4)</f>
        <v/>
      </c>
      <c r="B632" s="22"/>
      <c r="C632" s="21" t="str">
        <f aca="false">IF(B632="","",CHOOSE(WEEKDAY(B632,2),"LUNES","MARTES","MIÉRCOLES","JUEVES","VIERNES","SÁBADO","DOMINGO"))</f>
        <v/>
      </c>
      <c r="M632" s="23"/>
      <c r="Q632" s="21" t="str">
        <f aca="false">IF(OR(K632="",N632=""),"",K632-N632)</f>
        <v/>
      </c>
      <c r="R632" s="21" t="str">
        <f aca="false">IF(OR(J632="",K632=""),"",J632*K632)</f>
        <v/>
      </c>
      <c r="S632" s="21" t="str">
        <f aca="false">IF(AND(ISNUMBER(J632),ISNUMBER(K632),F632&lt;&gt;"Calentamiento",F632&lt;&gt;"Bilbo"),IF(AND(K632&gt;0,K632&lt;=12),ROUND(J632*(1+(K632+IF(ISNUMBER(L632),L632,0))/30),1),""),"")</f>
        <v/>
      </c>
      <c r="T632" s="21" t="str">
        <f aca="false">IF(AND(F632="Bilbo",ISNUMBER(J632),ISNUMBER(K632)),ROUND(J632*(1+K632/30),1),"")</f>
        <v/>
      </c>
      <c r="W632" s="22"/>
      <c r="X632" s="21" t="str">
        <f aca="false">IF(AND(F632="Bilbo",E632&lt;&gt;"",G632&lt;&gt;"",H632&lt;&gt;""),E632&amp;"|"&amp;G632&amp;"|"&amp;H632,"")</f>
        <v/>
      </c>
      <c r="Y632" s="21" t="str">
        <f aca="false">IF(B632="","",IF(B632&lt;&gt;B631,1,0))</f>
        <v/>
      </c>
    </row>
    <row r="633" customFormat="false" ht="15" hidden="false" customHeight="true" outlineLevel="0" collapsed="false">
      <c r="A633" s="21" t="str">
        <f aca="false">IF(B633="","",ROW()-4)</f>
        <v/>
      </c>
      <c r="B633" s="22"/>
      <c r="C633" s="21" t="str">
        <f aca="false">IF(B633="","",CHOOSE(WEEKDAY(B633,2),"LUNES","MARTES","MIÉRCOLES","JUEVES","VIERNES","SÁBADO","DOMINGO"))</f>
        <v/>
      </c>
      <c r="M633" s="23"/>
      <c r="Q633" s="21" t="str">
        <f aca="false">IF(OR(K633="",N633=""),"",K633-N633)</f>
        <v/>
      </c>
      <c r="R633" s="21" t="str">
        <f aca="false">IF(OR(J633="",K633=""),"",J633*K633)</f>
        <v/>
      </c>
      <c r="S633" s="21" t="str">
        <f aca="false">IF(AND(ISNUMBER(J633),ISNUMBER(K633),F633&lt;&gt;"Calentamiento",F633&lt;&gt;"Bilbo"),IF(AND(K633&gt;0,K633&lt;=12),ROUND(J633*(1+(K633+IF(ISNUMBER(L633),L633,0))/30),1),""),"")</f>
        <v/>
      </c>
      <c r="T633" s="21" t="str">
        <f aca="false">IF(AND(F633="Bilbo",ISNUMBER(J633),ISNUMBER(K633)),ROUND(J633*(1+K633/30),1),"")</f>
        <v/>
      </c>
      <c r="W633" s="22"/>
      <c r="X633" s="21" t="str">
        <f aca="false">IF(AND(F633="Bilbo",E633&lt;&gt;"",G633&lt;&gt;"",H633&lt;&gt;""),E633&amp;"|"&amp;G633&amp;"|"&amp;H633,"")</f>
        <v/>
      </c>
      <c r="Y633" s="21" t="str">
        <f aca="false">IF(B633="","",IF(B633&lt;&gt;B632,1,0))</f>
        <v/>
      </c>
    </row>
    <row r="634" customFormat="false" ht="15" hidden="false" customHeight="true" outlineLevel="0" collapsed="false">
      <c r="A634" s="21" t="str">
        <f aca="false">IF(B634="","",ROW()-4)</f>
        <v/>
      </c>
      <c r="B634" s="22"/>
      <c r="C634" s="21" t="str">
        <f aca="false">IF(B634="","",CHOOSE(WEEKDAY(B634,2),"LUNES","MARTES","MIÉRCOLES","JUEVES","VIERNES","SÁBADO","DOMINGO"))</f>
        <v/>
      </c>
      <c r="M634" s="23"/>
      <c r="Q634" s="21" t="str">
        <f aca="false">IF(OR(K634="",N634=""),"",K634-N634)</f>
        <v/>
      </c>
      <c r="R634" s="21" t="str">
        <f aca="false">IF(OR(J634="",K634=""),"",J634*K634)</f>
        <v/>
      </c>
      <c r="S634" s="21" t="str">
        <f aca="false">IF(AND(ISNUMBER(J634),ISNUMBER(K634),F634&lt;&gt;"Calentamiento",F634&lt;&gt;"Bilbo"),IF(AND(K634&gt;0,K634&lt;=12),ROUND(J634*(1+(K634+IF(ISNUMBER(L634),L634,0))/30),1),""),"")</f>
        <v/>
      </c>
      <c r="T634" s="21" t="str">
        <f aca="false">IF(AND(F634="Bilbo",ISNUMBER(J634),ISNUMBER(K634)),ROUND(J634*(1+K634/30),1),"")</f>
        <v/>
      </c>
      <c r="W634" s="22"/>
      <c r="X634" s="21" t="str">
        <f aca="false">IF(AND(F634="Bilbo",E634&lt;&gt;"",G634&lt;&gt;"",H634&lt;&gt;""),E634&amp;"|"&amp;G634&amp;"|"&amp;H634,"")</f>
        <v/>
      </c>
      <c r="Y634" s="21" t="str">
        <f aca="false">IF(B634="","",IF(B634&lt;&gt;B633,1,0))</f>
        <v/>
      </c>
    </row>
    <row r="635" customFormat="false" ht="15" hidden="false" customHeight="true" outlineLevel="0" collapsed="false">
      <c r="A635" s="21" t="str">
        <f aca="false">IF(B635="","",ROW()-4)</f>
        <v/>
      </c>
      <c r="B635" s="22"/>
      <c r="C635" s="21" t="str">
        <f aca="false">IF(B635="","",CHOOSE(WEEKDAY(B635,2),"LUNES","MARTES","MIÉRCOLES","JUEVES","VIERNES","SÁBADO","DOMINGO"))</f>
        <v/>
      </c>
      <c r="M635" s="23"/>
      <c r="Q635" s="21" t="str">
        <f aca="false">IF(OR(K635="",N635=""),"",K635-N635)</f>
        <v/>
      </c>
      <c r="R635" s="21" t="str">
        <f aca="false">IF(OR(J635="",K635=""),"",J635*K635)</f>
        <v/>
      </c>
      <c r="S635" s="21" t="str">
        <f aca="false">IF(AND(ISNUMBER(J635),ISNUMBER(K635),F635&lt;&gt;"Calentamiento",F635&lt;&gt;"Bilbo"),IF(AND(K635&gt;0,K635&lt;=12),ROUND(J635*(1+(K635+IF(ISNUMBER(L635),L635,0))/30),1),""),"")</f>
        <v/>
      </c>
      <c r="T635" s="21" t="str">
        <f aca="false">IF(AND(F635="Bilbo",ISNUMBER(J635),ISNUMBER(K635)),ROUND(J635*(1+K635/30),1),"")</f>
        <v/>
      </c>
      <c r="W635" s="22"/>
      <c r="X635" s="21" t="str">
        <f aca="false">IF(AND(F635="Bilbo",E635&lt;&gt;"",G635&lt;&gt;"",H635&lt;&gt;""),E635&amp;"|"&amp;G635&amp;"|"&amp;H635,"")</f>
        <v/>
      </c>
      <c r="Y635" s="21" t="str">
        <f aca="false">IF(B635="","",IF(B635&lt;&gt;B634,1,0))</f>
        <v/>
      </c>
    </row>
    <row r="636" customFormat="false" ht="15" hidden="false" customHeight="true" outlineLevel="0" collapsed="false">
      <c r="A636" s="21" t="str">
        <f aca="false">IF(B636="","",ROW()-4)</f>
        <v/>
      </c>
      <c r="B636" s="22"/>
      <c r="C636" s="21" t="str">
        <f aca="false">IF(B636="","",CHOOSE(WEEKDAY(B636,2),"LUNES","MARTES","MIÉRCOLES","JUEVES","VIERNES","SÁBADO","DOMINGO"))</f>
        <v/>
      </c>
      <c r="M636" s="23"/>
      <c r="Q636" s="21" t="str">
        <f aca="false">IF(OR(K636="",N636=""),"",K636-N636)</f>
        <v/>
      </c>
      <c r="R636" s="21" t="str">
        <f aca="false">IF(OR(J636="",K636=""),"",J636*K636)</f>
        <v/>
      </c>
      <c r="S636" s="21" t="str">
        <f aca="false">IF(AND(ISNUMBER(J636),ISNUMBER(K636),F636&lt;&gt;"Calentamiento",F636&lt;&gt;"Bilbo"),IF(AND(K636&gt;0,K636&lt;=12),ROUND(J636*(1+(K636+IF(ISNUMBER(L636),L636,0))/30),1),""),"")</f>
        <v/>
      </c>
      <c r="T636" s="21" t="str">
        <f aca="false">IF(AND(F636="Bilbo",ISNUMBER(J636),ISNUMBER(K636)),ROUND(J636*(1+K636/30),1),"")</f>
        <v/>
      </c>
      <c r="W636" s="22"/>
      <c r="X636" s="21" t="str">
        <f aca="false">IF(AND(F636="Bilbo",E636&lt;&gt;"",G636&lt;&gt;"",H636&lt;&gt;""),E636&amp;"|"&amp;G636&amp;"|"&amp;H636,"")</f>
        <v/>
      </c>
      <c r="Y636" s="21" t="str">
        <f aca="false">IF(B636="","",IF(B636&lt;&gt;B635,1,0))</f>
        <v/>
      </c>
    </row>
    <row r="637" customFormat="false" ht="15" hidden="false" customHeight="true" outlineLevel="0" collapsed="false">
      <c r="A637" s="21" t="str">
        <f aca="false">IF(B637="","",ROW()-4)</f>
        <v/>
      </c>
      <c r="B637" s="22"/>
      <c r="C637" s="21" t="str">
        <f aca="false">IF(B637="","",CHOOSE(WEEKDAY(B637,2),"LUNES","MARTES","MIÉRCOLES","JUEVES","VIERNES","SÁBADO","DOMINGO"))</f>
        <v/>
      </c>
      <c r="M637" s="23"/>
      <c r="Q637" s="21" t="str">
        <f aca="false">IF(OR(K637="",N637=""),"",K637-N637)</f>
        <v/>
      </c>
      <c r="R637" s="21" t="str">
        <f aca="false">IF(OR(J637="",K637=""),"",J637*K637)</f>
        <v/>
      </c>
      <c r="S637" s="21" t="str">
        <f aca="false">IF(AND(ISNUMBER(J637),ISNUMBER(K637),F637&lt;&gt;"Calentamiento",F637&lt;&gt;"Bilbo"),IF(AND(K637&gt;0,K637&lt;=12),ROUND(J637*(1+(K637+IF(ISNUMBER(L637),L637,0))/30),1),""),"")</f>
        <v/>
      </c>
      <c r="T637" s="21" t="str">
        <f aca="false">IF(AND(F637="Bilbo",ISNUMBER(J637),ISNUMBER(K637)),ROUND(J637*(1+K637/30),1),"")</f>
        <v/>
      </c>
      <c r="W637" s="22"/>
      <c r="X637" s="21" t="str">
        <f aca="false">IF(AND(F637="Bilbo",E637&lt;&gt;"",G637&lt;&gt;"",H637&lt;&gt;""),E637&amp;"|"&amp;G637&amp;"|"&amp;H637,"")</f>
        <v/>
      </c>
      <c r="Y637" s="21" t="str">
        <f aca="false">IF(B637="","",IF(B637&lt;&gt;B636,1,0))</f>
        <v/>
      </c>
    </row>
    <row r="638" customFormat="false" ht="15" hidden="false" customHeight="true" outlineLevel="0" collapsed="false">
      <c r="A638" s="21" t="str">
        <f aca="false">IF(B638="","",ROW()-4)</f>
        <v/>
      </c>
      <c r="B638" s="22"/>
      <c r="C638" s="21" t="str">
        <f aca="false">IF(B638="","",CHOOSE(WEEKDAY(B638,2),"LUNES","MARTES","MIÉRCOLES","JUEVES","VIERNES","SÁBADO","DOMINGO"))</f>
        <v/>
      </c>
      <c r="M638" s="23"/>
      <c r="Q638" s="21" t="str">
        <f aca="false">IF(OR(K638="",N638=""),"",K638-N638)</f>
        <v/>
      </c>
      <c r="R638" s="21" t="str">
        <f aca="false">IF(OR(J638="",K638=""),"",J638*K638)</f>
        <v/>
      </c>
      <c r="S638" s="21" t="str">
        <f aca="false">IF(AND(ISNUMBER(J638),ISNUMBER(K638),F638&lt;&gt;"Calentamiento",F638&lt;&gt;"Bilbo"),IF(AND(K638&gt;0,K638&lt;=12),ROUND(J638*(1+(K638+IF(ISNUMBER(L638),L638,0))/30),1),""),"")</f>
        <v/>
      </c>
      <c r="T638" s="21" t="str">
        <f aca="false">IF(AND(F638="Bilbo",ISNUMBER(J638),ISNUMBER(K638)),ROUND(J638*(1+K638/30),1),"")</f>
        <v/>
      </c>
      <c r="W638" s="22"/>
      <c r="X638" s="21" t="str">
        <f aca="false">IF(AND(F638="Bilbo",E638&lt;&gt;"",G638&lt;&gt;"",H638&lt;&gt;""),E638&amp;"|"&amp;G638&amp;"|"&amp;H638,"")</f>
        <v/>
      </c>
      <c r="Y638" s="21" t="str">
        <f aca="false">IF(B638="","",IF(B638&lt;&gt;B637,1,0))</f>
        <v/>
      </c>
    </row>
    <row r="639" customFormat="false" ht="15" hidden="false" customHeight="true" outlineLevel="0" collapsed="false">
      <c r="A639" s="21" t="str">
        <f aca="false">IF(B639="","",ROW()-4)</f>
        <v/>
      </c>
      <c r="B639" s="22"/>
      <c r="C639" s="21" t="str">
        <f aca="false">IF(B639="","",CHOOSE(WEEKDAY(B639,2),"LUNES","MARTES","MIÉRCOLES","JUEVES","VIERNES","SÁBADO","DOMINGO"))</f>
        <v/>
      </c>
      <c r="M639" s="23"/>
      <c r="Q639" s="21" t="str">
        <f aca="false">IF(OR(K639="",N639=""),"",K639-N639)</f>
        <v/>
      </c>
      <c r="R639" s="21" t="str">
        <f aca="false">IF(OR(J639="",K639=""),"",J639*K639)</f>
        <v/>
      </c>
      <c r="S639" s="21" t="str">
        <f aca="false">IF(AND(ISNUMBER(J639),ISNUMBER(K639),F639&lt;&gt;"Calentamiento",F639&lt;&gt;"Bilbo"),IF(AND(K639&gt;0,K639&lt;=12),ROUND(J639*(1+(K639+IF(ISNUMBER(L639),L639,0))/30),1),""),"")</f>
        <v/>
      </c>
      <c r="T639" s="21" t="str">
        <f aca="false">IF(AND(F639="Bilbo",ISNUMBER(J639),ISNUMBER(K639)),ROUND(J639*(1+K639/30),1),"")</f>
        <v/>
      </c>
      <c r="W639" s="22"/>
      <c r="X639" s="21" t="str">
        <f aca="false">IF(AND(F639="Bilbo",E639&lt;&gt;"",G639&lt;&gt;"",H639&lt;&gt;""),E639&amp;"|"&amp;G639&amp;"|"&amp;H639,"")</f>
        <v/>
      </c>
      <c r="Y639" s="21" t="str">
        <f aca="false">IF(B639="","",IF(B639&lt;&gt;B638,1,0))</f>
        <v/>
      </c>
    </row>
    <row r="640" customFormat="false" ht="15" hidden="false" customHeight="true" outlineLevel="0" collapsed="false">
      <c r="A640" s="21" t="str">
        <f aca="false">IF(B640="","",ROW()-4)</f>
        <v/>
      </c>
      <c r="B640" s="22"/>
      <c r="C640" s="21" t="str">
        <f aca="false">IF(B640="","",CHOOSE(WEEKDAY(B640,2),"LUNES","MARTES","MIÉRCOLES","JUEVES","VIERNES","SÁBADO","DOMINGO"))</f>
        <v/>
      </c>
      <c r="M640" s="23"/>
      <c r="Q640" s="21" t="str">
        <f aca="false">IF(OR(K640="",N640=""),"",K640-N640)</f>
        <v/>
      </c>
      <c r="R640" s="21" t="str">
        <f aca="false">IF(OR(J640="",K640=""),"",J640*K640)</f>
        <v/>
      </c>
      <c r="S640" s="21" t="str">
        <f aca="false">IF(AND(ISNUMBER(J640),ISNUMBER(K640),F640&lt;&gt;"Calentamiento",F640&lt;&gt;"Bilbo"),IF(AND(K640&gt;0,K640&lt;=12),ROUND(J640*(1+(K640+IF(ISNUMBER(L640),L640,0))/30),1),""),"")</f>
        <v/>
      </c>
      <c r="T640" s="21" t="str">
        <f aca="false">IF(AND(F640="Bilbo",ISNUMBER(J640),ISNUMBER(K640)),ROUND(J640*(1+K640/30),1),"")</f>
        <v/>
      </c>
      <c r="W640" s="22"/>
      <c r="X640" s="21" t="str">
        <f aca="false">IF(AND(F640="Bilbo",E640&lt;&gt;"",G640&lt;&gt;"",H640&lt;&gt;""),E640&amp;"|"&amp;G640&amp;"|"&amp;H640,"")</f>
        <v/>
      </c>
      <c r="Y640" s="21" t="str">
        <f aca="false">IF(B640="","",IF(B640&lt;&gt;B639,1,0))</f>
        <v/>
      </c>
    </row>
    <row r="641" customFormat="false" ht="15" hidden="false" customHeight="true" outlineLevel="0" collapsed="false">
      <c r="A641" s="21" t="str">
        <f aca="false">IF(B641="","",ROW()-4)</f>
        <v/>
      </c>
      <c r="B641" s="22"/>
      <c r="C641" s="21" t="str">
        <f aca="false">IF(B641="","",CHOOSE(WEEKDAY(B641,2),"LUNES","MARTES","MIÉRCOLES","JUEVES","VIERNES","SÁBADO","DOMINGO"))</f>
        <v/>
      </c>
      <c r="M641" s="23"/>
      <c r="Q641" s="21" t="str">
        <f aca="false">IF(OR(K641="",N641=""),"",K641-N641)</f>
        <v/>
      </c>
      <c r="R641" s="21" t="str">
        <f aca="false">IF(OR(J641="",K641=""),"",J641*K641)</f>
        <v/>
      </c>
      <c r="S641" s="21" t="str">
        <f aca="false">IF(AND(ISNUMBER(J641),ISNUMBER(K641),F641&lt;&gt;"Calentamiento",F641&lt;&gt;"Bilbo"),IF(AND(K641&gt;0,K641&lt;=12),ROUND(J641*(1+(K641+IF(ISNUMBER(L641),L641,0))/30),1),""),"")</f>
        <v/>
      </c>
      <c r="T641" s="21" t="str">
        <f aca="false">IF(AND(F641="Bilbo",ISNUMBER(J641),ISNUMBER(K641)),ROUND(J641*(1+K641/30),1),"")</f>
        <v/>
      </c>
      <c r="W641" s="22"/>
      <c r="X641" s="21" t="str">
        <f aca="false">IF(AND(F641="Bilbo",E641&lt;&gt;"",G641&lt;&gt;"",H641&lt;&gt;""),E641&amp;"|"&amp;G641&amp;"|"&amp;H641,"")</f>
        <v/>
      </c>
      <c r="Y641" s="21" t="str">
        <f aca="false">IF(B641="","",IF(B641&lt;&gt;B640,1,0))</f>
        <v/>
      </c>
    </row>
    <row r="642" customFormat="false" ht="15" hidden="false" customHeight="true" outlineLevel="0" collapsed="false">
      <c r="A642" s="21" t="str">
        <f aca="false">IF(B642="","",ROW()-4)</f>
        <v/>
      </c>
      <c r="B642" s="22"/>
      <c r="C642" s="21" t="str">
        <f aca="false">IF(B642="","",CHOOSE(WEEKDAY(B642,2),"LUNES","MARTES","MIÉRCOLES","JUEVES","VIERNES","SÁBADO","DOMINGO"))</f>
        <v/>
      </c>
      <c r="M642" s="23"/>
      <c r="Q642" s="21" t="str">
        <f aca="false">IF(OR(K642="",N642=""),"",K642-N642)</f>
        <v/>
      </c>
      <c r="R642" s="21" t="str">
        <f aca="false">IF(OR(J642="",K642=""),"",J642*K642)</f>
        <v/>
      </c>
      <c r="S642" s="21" t="str">
        <f aca="false">IF(AND(ISNUMBER(J642),ISNUMBER(K642),F642&lt;&gt;"Calentamiento",F642&lt;&gt;"Bilbo"),IF(AND(K642&gt;0,K642&lt;=12),ROUND(J642*(1+(K642+IF(ISNUMBER(L642),L642,0))/30),1),""),"")</f>
        <v/>
      </c>
      <c r="T642" s="21" t="str">
        <f aca="false">IF(AND(F642="Bilbo",ISNUMBER(J642),ISNUMBER(K642)),ROUND(J642*(1+K642/30),1),"")</f>
        <v/>
      </c>
      <c r="W642" s="22"/>
      <c r="X642" s="21" t="str">
        <f aca="false">IF(AND(F642="Bilbo",E642&lt;&gt;"",G642&lt;&gt;"",H642&lt;&gt;""),E642&amp;"|"&amp;G642&amp;"|"&amp;H642,"")</f>
        <v/>
      </c>
      <c r="Y642" s="21" t="str">
        <f aca="false">IF(B642="","",IF(B642&lt;&gt;B641,1,0))</f>
        <v/>
      </c>
    </row>
    <row r="643" customFormat="false" ht="15" hidden="false" customHeight="true" outlineLevel="0" collapsed="false">
      <c r="A643" s="21" t="str">
        <f aca="false">IF(B643="","",ROW()-4)</f>
        <v/>
      </c>
      <c r="B643" s="22"/>
      <c r="C643" s="21" t="str">
        <f aca="false">IF(B643="","",CHOOSE(WEEKDAY(B643,2),"LUNES","MARTES","MIÉRCOLES","JUEVES","VIERNES","SÁBADO","DOMINGO"))</f>
        <v/>
      </c>
      <c r="M643" s="23"/>
      <c r="Q643" s="21" t="str">
        <f aca="false">IF(OR(K643="",N643=""),"",K643-N643)</f>
        <v/>
      </c>
      <c r="R643" s="21" t="str">
        <f aca="false">IF(OR(J643="",K643=""),"",J643*K643)</f>
        <v/>
      </c>
      <c r="S643" s="21" t="str">
        <f aca="false">IF(AND(ISNUMBER(J643),ISNUMBER(K643),F643&lt;&gt;"Calentamiento",F643&lt;&gt;"Bilbo"),IF(AND(K643&gt;0,K643&lt;=12),ROUND(J643*(1+(K643+IF(ISNUMBER(L643),L643,0))/30),1),""),"")</f>
        <v/>
      </c>
      <c r="T643" s="21" t="str">
        <f aca="false">IF(AND(F643="Bilbo",ISNUMBER(J643),ISNUMBER(K643)),ROUND(J643*(1+K643/30),1),"")</f>
        <v/>
      </c>
      <c r="W643" s="22"/>
      <c r="X643" s="21" t="str">
        <f aca="false">IF(AND(F643="Bilbo",E643&lt;&gt;"",G643&lt;&gt;"",H643&lt;&gt;""),E643&amp;"|"&amp;G643&amp;"|"&amp;H643,"")</f>
        <v/>
      </c>
      <c r="Y643" s="21" t="str">
        <f aca="false">IF(B643="","",IF(B643&lt;&gt;B642,1,0))</f>
        <v/>
      </c>
    </row>
    <row r="644" customFormat="false" ht="15" hidden="false" customHeight="true" outlineLevel="0" collapsed="false">
      <c r="A644" s="21" t="str">
        <f aca="false">IF(B644="","",ROW()-4)</f>
        <v/>
      </c>
      <c r="B644" s="22"/>
      <c r="C644" s="21" t="str">
        <f aca="false">IF(B644="","",CHOOSE(WEEKDAY(B644,2),"LUNES","MARTES","MIÉRCOLES","JUEVES","VIERNES","SÁBADO","DOMINGO"))</f>
        <v/>
      </c>
      <c r="M644" s="23"/>
      <c r="Q644" s="21" t="str">
        <f aca="false">IF(OR(K644="",N644=""),"",K644-N644)</f>
        <v/>
      </c>
      <c r="R644" s="21" t="str">
        <f aca="false">IF(OR(J644="",K644=""),"",J644*K644)</f>
        <v/>
      </c>
      <c r="S644" s="21" t="str">
        <f aca="false">IF(AND(ISNUMBER(J644),ISNUMBER(K644),F644&lt;&gt;"Calentamiento",F644&lt;&gt;"Bilbo"),IF(AND(K644&gt;0,K644&lt;=12),ROUND(J644*(1+(K644+IF(ISNUMBER(L644),L644,0))/30),1),""),"")</f>
        <v/>
      </c>
      <c r="T644" s="21" t="str">
        <f aca="false">IF(AND(F644="Bilbo",ISNUMBER(J644),ISNUMBER(K644)),ROUND(J644*(1+K644/30),1),"")</f>
        <v/>
      </c>
      <c r="W644" s="22"/>
      <c r="X644" s="21" t="str">
        <f aca="false">IF(AND(F644="Bilbo",E644&lt;&gt;"",G644&lt;&gt;"",H644&lt;&gt;""),E644&amp;"|"&amp;G644&amp;"|"&amp;H644,"")</f>
        <v/>
      </c>
      <c r="Y644" s="21" t="str">
        <f aca="false">IF(B644="","",IF(B644&lt;&gt;B643,1,0))</f>
        <v/>
      </c>
    </row>
    <row r="645" customFormat="false" ht="15" hidden="false" customHeight="true" outlineLevel="0" collapsed="false">
      <c r="A645" s="21" t="str">
        <f aca="false">IF(B645="","",ROW()-4)</f>
        <v/>
      </c>
      <c r="B645" s="22"/>
      <c r="C645" s="21" t="str">
        <f aca="false">IF(B645="","",CHOOSE(WEEKDAY(B645,2),"LUNES","MARTES","MIÉRCOLES","JUEVES","VIERNES","SÁBADO","DOMINGO"))</f>
        <v/>
      </c>
      <c r="M645" s="23"/>
      <c r="Q645" s="21" t="str">
        <f aca="false">IF(OR(K645="",N645=""),"",K645-N645)</f>
        <v/>
      </c>
      <c r="R645" s="21" t="str">
        <f aca="false">IF(OR(J645="",K645=""),"",J645*K645)</f>
        <v/>
      </c>
      <c r="S645" s="21" t="str">
        <f aca="false">IF(AND(ISNUMBER(J645),ISNUMBER(K645),F645&lt;&gt;"Calentamiento",F645&lt;&gt;"Bilbo"),IF(AND(K645&gt;0,K645&lt;=12),ROUND(J645*(1+(K645+IF(ISNUMBER(L645),L645,0))/30),1),""),"")</f>
        <v/>
      </c>
      <c r="T645" s="21" t="str">
        <f aca="false">IF(AND(F645="Bilbo",ISNUMBER(J645),ISNUMBER(K645)),ROUND(J645*(1+K645/30),1),"")</f>
        <v/>
      </c>
      <c r="W645" s="22"/>
      <c r="X645" s="21" t="str">
        <f aca="false">IF(AND(F645="Bilbo",E645&lt;&gt;"",G645&lt;&gt;"",H645&lt;&gt;""),E645&amp;"|"&amp;G645&amp;"|"&amp;H645,"")</f>
        <v/>
      </c>
      <c r="Y645" s="21" t="str">
        <f aca="false">IF(B645="","",IF(B645&lt;&gt;B644,1,0))</f>
        <v/>
      </c>
    </row>
    <row r="646" customFormat="false" ht="15" hidden="false" customHeight="true" outlineLevel="0" collapsed="false">
      <c r="A646" s="21" t="str">
        <f aca="false">IF(B646="","",ROW()-4)</f>
        <v/>
      </c>
      <c r="B646" s="22"/>
      <c r="C646" s="21" t="str">
        <f aca="false">IF(B646="","",CHOOSE(WEEKDAY(B646,2),"LUNES","MARTES","MIÉRCOLES","JUEVES","VIERNES","SÁBADO","DOMINGO"))</f>
        <v/>
      </c>
      <c r="M646" s="23"/>
      <c r="Q646" s="21" t="str">
        <f aca="false">IF(OR(K646="",N646=""),"",K646-N646)</f>
        <v/>
      </c>
      <c r="R646" s="21" t="str">
        <f aca="false">IF(OR(J646="",K646=""),"",J646*K646)</f>
        <v/>
      </c>
      <c r="S646" s="21" t="str">
        <f aca="false">IF(AND(ISNUMBER(J646),ISNUMBER(K646),F646&lt;&gt;"Calentamiento",F646&lt;&gt;"Bilbo"),IF(AND(K646&gt;0,K646&lt;=12),ROUND(J646*(1+(K646+IF(ISNUMBER(L646),L646,0))/30),1),""),"")</f>
        <v/>
      </c>
      <c r="T646" s="21" t="str">
        <f aca="false">IF(AND(F646="Bilbo",ISNUMBER(J646),ISNUMBER(K646)),ROUND(J646*(1+K646/30),1),"")</f>
        <v/>
      </c>
      <c r="W646" s="22"/>
      <c r="X646" s="21" t="str">
        <f aca="false">IF(AND(F646="Bilbo",E646&lt;&gt;"",G646&lt;&gt;"",H646&lt;&gt;""),E646&amp;"|"&amp;G646&amp;"|"&amp;H646,"")</f>
        <v/>
      </c>
      <c r="Y646" s="21" t="str">
        <f aca="false">IF(B646="","",IF(B646&lt;&gt;B645,1,0))</f>
        <v/>
      </c>
    </row>
    <row r="647" customFormat="false" ht="15" hidden="false" customHeight="true" outlineLevel="0" collapsed="false">
      <c r="A647" s="21" t="str">
        <f aca="false">IF(B647="","",ROW()-4)</f>
        <v/>
      </c>
      <c r="B647" s="22"/>
      <c r="C647" s="21" t="str">
        <f aca="false">IF(B647="","",CHOOSE(WEEKDAY(B647,2),"LUNES","MARTES","MIÉRCOLES","JUEVES","VIERNES","SÁBADO","DOMINGO"))</f>
        <v/>
      </c>
      <c r="M647" s="23"/>
      <c r="Q647" s="21" t="str">
        <f aca="false">IF(OR(K647="",N647=""),"",K647-N647)</f>
        <v/>
      </c>
      <c r="R647" s="21" t="str">
        <f aca="false">IF(OR(J647="",K647=""),"",J647*K647)</f>
        <v/>
      </c>
      <c r="S647" s="21" t="str">
        <f aca="false">IF(AND(ISNUMBER(J647),ISNUMBER(K647),F647&lt;&gt;"Calentamiento",F647&lt;&gt;"Bilbo"),IF(AND(K647&gt;0,K647&lt;=12),ROUND(J647*(1+(K647+IF(ISNUMBER(L647),L647,0))/30),1),""),"")</f>
        <v/>
      </c>
      <c r="T647" s="21" t="str">
        <f aca="false">IF(AND(F647="Bilbo",ISNUMBER(J647),ISNUMBER(K647)),ROUND(J647*(1+K647/30),1),"")</f>
        <v/>
      </c>
      <c r="W647" s="22"/>
      <c r="X647" s="21" t="str">
        <f aca="false">IF(AND(F647="Bilbo",E647&lt;&gt;"",G647&lt;&gt;"",H647&lt;&gt;""),E647&amp;"|"&amp;G647&amp;"|"&amp;H647,"")</f>
        <v/>
      </c>
      <c r="Y647" s="21" t="str">
        <f aca="false">IF(B647="","",IF(B647&lt;&gt;B646,1,0))</f>
        <v/>
      </c>
    </row>
    <row r="648" customFormat="false" ht="15" hidden="false" customHeight="true" outlineLevel="0" collapsed="false">
      <c r="A648" s="21" t="str">
        <f aca="false">IF(B648="","",ROW()-4)</f>
        <v/>
      </c>
      <c r="B648" s="22"/>
      <c r="C648" s="21" t="str">
        <f aca="false">IF(B648="","",CHOOSE(WEEKDAY(B648,2),"LUNES","MARTES","MIÉRCOLES","JUEVES","VIERNES","SÁBADO","DOMINGO"))</f>
        <v/>
      </c>
      <c r="M648" s="23"/>
      <c r="Q648" s="21" t="str">
        <f aca="false">IF(OR(K648="",N648=""),"",K648-N648)</f>
        <v/>
      </c>
      <c r="R648" s="21" t="str">
        <f aca="false">IF(OR(J648="",K648=""),"",J648*K648)</f>
        <v/>
      </c>
      <c r="S648" s="21" t="str">
        <f aca="false">IF(AND(ISNUMBER(J648),ISNUMBER(K648),F648&lt;&gt;"Calentamiento",F648&lt;&gt;"Bilbo"),IF(AND(K648&gt;0,K648&lt;=12),ROUND(J648*(1+(K648+IF(ISNUMBER(L648),L648,0))/30),1),""),"")</f>
        <v/>
      </c>
      <c r="T648" s="21" t="str">
        <f aca="false">IF(AND(F648="Bilbo",ISNUMBER(J648),ISNUMBER(K648)),ROUND(J648*(1+K648/30),1),"")</f>
        <v/>
      </c>
      <c r="W648" s="22"/>
      <c r="X648" s="21" t="str">
        <f aca="false">IF(AND(F648="Bilbo",E648&lt;&gt;"",G648&lt;&gt;"",H648&lt;&gt;""),E648&amp;"|"&amp;G648&amp;"|"&amp;H648,"")</f>
        <v/>
      </c>
      <c r="Y648" s="21" t="str">
        <f aca="false">IF(B648="","",IF(B648&lt;&gt;B647,1,0))</f>
        <v/>
      </c>
    </row>
    <row r="649" customFormat="false" ht="15" hidden="false" customHeight="true" outlineLevel="0" collapsed="false">
      <c r="A649" s="21" t="str">
        <f aca="false">IF(B649="","",ROW()-4)</f>
        <v/>
      </c>
      <c r="B649" s="22"/>
      <c r="C649" s="21" t="str">
        <f aca="false">IF(B649="","",CHOOSE(WEEKDAY(B649,2),"LUNES","MARTES","MIÉRCOLES","JUEVES","VIERNES","SÁBADO","DOMINGO"))</f>
        <v/>
      </c>
      <c r="M649" s="23"/>
      <c r="Q649" s="21" t="str">
        <f aca="false">IF(OR(K649="",N649=""),"",K649-N649)</f>
        <v/>
      </c>
      <c r="R649" s="21" t="str">
        <f aca="false">IF(OR(J649="",K649=""),"",J649*K649)</f>
        <v/>
      </c>
      <c r="S649" s="21" t="str">
        <f aca="false">IF(AND(ISNUMBER(J649),ISNUMBER(K649),F649&lt;&gt;"Calentamiento",F649&lt;&gt;"Bilbo"),IF(AND(K649&gt;0,K649&lt;=12),ROUND(J649*(1+(K649+IF(ISNUMBER(L649),L649,0))/30),1),""),"")</f>
        <v/>
      </c>
      <c r="T649" s="21" t="str">
        <f aca="false">IF(AND(F649="Bilbo",ISNUMBER(J649),ISNUMBER(K649)),ROUND(J649*(1+K649/30),1),"")</f>
        <v/>
      </c>
      <c r="W649" s="22"/>
      <c r="X649" s="21" t="str">
        <f aca="false">IF(AND(F649="Bilbo",E649&lt;&gt;"",G649&lt;&gt;"",H649&lt;&gt;""),E649&amp;"|"&amp;G649&amp;"|"&amp;H649,"")</f>
        <v/>
      </c>
      <c r="Y649" s="21" t="str">
        <f aca="false">IF(B649="","",IF(B649&lt;&gt;B648,1,0))</f>
        <v/>
      </c>
    </row>
    <row r="650" customFormat="false" ht="15" hidden="false" customHeight="true" outlineLevel="0" collapsed="false">
      <c r="A650" s="21" t="str">
        <f aca="false">IF(B650="","",ROW()-4)</f>
        <v/>
      </c>
      <c r="B650" s="22"/>
      <c r="C650" s="21" t="str">
        <f aca="false">IF(B650="","",CHOOSE(WEEKDAY(B650,2),"LUNES","MARTES","MIÉRCOLES","JUEVES","VIERNES","SÁBADO","DOMINGO"))</f>
        <v/>
      </c>
      <c r="M650" s="23"/>
      <c r="Q650" s="21" t="str">
        <f aca="false">IF(OR(K650="",N650=""),"",K650-N650)</f>
        <v/>
      </c>
      <c r="R650" s="21" t="str">
        <f aca="false">IF(OR(J650="",K650=""),"",J650*K650)</f>
        <v/>
      </c>
      <c r="S650" s="21" t="str">
        <f aca="false">IF(AND(ISNUMBER(J650),ISNUMBER(K650),F650&lt;&gt;"Calentamiento",F650&lt;&gt;"Bilbo"),IF(AND(K650&gt;0,K650&lt;=12),ROUND(J650*(1+(K650+IF(ISNUMBER(L650),L650,0))/30),1),""),"")</f>
        <v/>
      </c>
      <c r="T650" s="21" t="str">
        <f aca="false">IF(AND(F650="Bilbo",ISNUMBER(J650),ISNUMBER(K650)),ROUND(J650*(1+K650/30),1),"")</f>
        <v/>
      </c>
      <c r="W650" s="22"/>
      <c r="X650" s="21" t="str">
        <f aca="false">IF(AND(F650="Bilbo",E650&lt;&gt;"",G650&lt;&gt;"",H650&lt;&gt;""),E650&amp;"|"&amp;G650&amp;"|"&amp;H650,"")</f>
        <v/>
      </c>
      <c r="Y650" s="21" t="str">
        <f aca="false">IF(B650="","",IF(B650&lt;&gt;B649,1,0))</f>
        <v/>
      </c>
    </row>
    <row r="651" customFormat="false" ht="15" hidden="false" customHeight="true" outlineLevel="0" collapsed="false">
      <c r="A651" s="21" t="str">
        <f aca="false">IF(B651="","",ROW()-4)</f>
        <v/>
      </c>
      <c r="B651" s="22"/>
      <c r="C651" s="21" t="str">
        <f aca="false">IF(B651="","",CHOOSE(WEEKDAY(B651,2),"LUNES","MARTES","MIÉRCOLES","JUEVES","VIERNES","SÁBADO","DOMINGO"))</f>
        <v/>
      </c>
      <c r="M651" s="23"/>
      <c r="Q651" s="21" t="str">
        <f aca="false">IF(OR(K651="",N651=""),"",K651-N651)</f>
        <v/>
      </c>
      <c r="R651" s="21" t="str">
        <f aca="false">IF(OR(J651="",K651=""),"",J651*K651)</f>
        <v/>
      </c>
      <c r="S651" s="21" t="str">
        <f aca="false">IF(AND(ISNUMBER(J651),ISNUMBER(K651),F651&lt;&gt;"Calentamiento",F651&lt;&gt;"Bilbo"),IF(AND(K651&gt;0,K651&lt;=12),ROUND(J651*(1+(K651+IF(ISNUMBER(L651),L651,0))/30),1),""),"")</f>
        <v/>
      </c>
      <c r="T651" s="21" t="str">
        <f aca="false">IF(AND(F651="Bilbo",ISNUMBER(J651),ISNUMBER(K651)),ROUND(J651*(1+K651/30),1),"")</f>
        <v/>
      </c>
      <c r="W651" s="22"/>
      <c r="X651" s="21" t="str">
        <f aca="false">IF(AND(F651="Bilbo",E651&lt;&gt;"",G651&lt;&gt;"",H651&lt;&gt;""),E651&amp;"|"&amp;G651&amp;"|"&amp;H651,"")</f>
        <v/>
      </c>
      <c r="Y651" s="21" t="str">
        <f aca="false">IF(B651="","",IF(B651&lt;&gt;B650,1,0))</f>
        <v/>
      </c>
    </row>
    <row r="652" customFormat="false" ht="15" hidden="false" customHeight="true" outlineLevel="0" collapsed="false">
      <c r="A652" s="21" t="str">
        <f aca="false">IF(B652="","",ROW()-4)</f>
        <v/>
      </c>
      <c r="B652" s="22"/>
      <c r="C652" s="21" t="str">
        <f aca="false">IF(B652="","",CHOOSE(WEEKDAY(B652,2),"LUNES","MARTES","MIÉRCOLES","JUEVES","VIERNES","SÁBADO","DOMINGO"))</f>
        <v/>
      </c>
      <c r="M652" s="23"/>
      <c r="Q652" s="21" t="str">
        <f aca="false">IF(OR(K652="",N652=""),"",K652-N652)</f>
        <v/>
      </c>
      <c r="R652" s="21" t="str">
        <f aca="false">IF(OR(J652="",K652=""),"",J652*K652)</f>
        <v/>
      </c>
      <c r="S652" s="21" t="str">
        <f aca="false">IF(AND(ISNUMBER(J652),ISNUMBER(K652),F652&lt;&gt;"Calentamiento",F652&lt;&gt;"Bilbo"),IF(AND(K652&gt;0,K652&lt;=12),ROUND(J652*(1+(K652+IF(ISNUMBER(L652),L652,0))/30),1),""),"")</f>
        <v/>
      </c>
      <c r="T652" s="21" t="str">
        <f aca="false">IF(AND(F652="Bilbo",ISNUMBER(J652),ISNUMBER(K652)),ROUND(J652*(1+K652/30),1),"")</f>
        <v/>
      </c>
      <c r="W652" s="22"/>
      <c r="X652" s="21" t="str">
        <f aca="false">IF(AND(F652="Bilbo",E652&lt;&gt;"",G652&lt;&gt;"",H652&lt;&gt;""),E652&amp;"|"&amp;G652&amp;"|"&amp;H652,"")</f>
        <v/>
      </c>
      <c r="Y652" s="21" t="str">
        <f aca="false">IF(B652="","",IF(B652&lt;&gt;B651,1,0))</f>
        <v/>
      </c>
    </row>
    <row r="653" customFormat="false" ht="15" hidden="false" customHeight="true" outlineLevel="0" collapsed="false">
      <c r="A653" s="21" t="str">
        <f aca="false">IF(B653="","",ROW()-4)</f>
        <v/>
      </c>
      <c r="B653" s="22"/>
      <c r="C653" s="21" t="str">
        <f aca="false">IF(B653="","",CHOOSE(WEEKDAY(B653,2),"LUNES","MARTES","MIÉRCOLES","JUEVES","VIERNES","SÁBADO","DOMINGO"))</f>
        <v/>
      </c>
      <c r="M653" s="23"/>
      <c r="Q653" s="21" t="str">
        <f aca="false">IF(OR(K653="",N653=""),"",K653-N653)</f>
        <v/>
      </c>
      <c r="R653" s="21" t="str">
        <f aca="false">IF(OR(J653="",K653=""),"",J653*K653)</f>
        <v/>
      </c>
      <c r="S653" s="21" t="str">
        <f aca="false">IF(AND(ISNUMBER(J653),ISNUMBER(K653),F653&lt;&gt;"Calentamiento",F653&lt;&gt;"Bilbo"),IF(AND(K653&gt;0,K653&lt;=12),ROUND(J653*(1+(K653+IF(ISNUMBER(L653),L653,0))/30),1),""),"")</f>
        <v/>
      </c>
      <c r="T653" s="21" t="str">
        <f aca="false">IF(AND(F653="Bilbo",ISNUMBER(J653),ISNUMBER(K653)),ROUND(J653*(1+K653/30),1),"")</f>
        <v/>
      </c>
      <c r="W653" s="22"/>
      <c r="X653" s="21" t="str">
        <f aca="false">IF(AND(F653="Bilbo",E653&lt;&gt;"",G653&lt;&gt;"",H653&lt;&gt;""),E653&amp;"|"&amp;G653&amp;"|"&amp;H653,"")</f>
        <v/>
      </c>
      <c r="Y653" s="21" t="str">
        <f aca="false">IF(B653="","",IF(B653&lt;&gt;B652,1,0))</f>
        <v/>
      </c>
    </row>
    <row r="654" customFormat="false" ht="15" hidden="false" customHeight="true" outlineLevel="0" collapsed="false">
      <c r="A654" s="21" t="str">
        <f aca="false">IF(B654="","",ROW()-4)</f>
        <v/>
      </c>
      <c r="B654" s="22"/>
      <c r="C654" s="21" t="str">
        <f aca="false">IF(B654="","",CHOOSE(WEEKDAY(B654,2),"LUNES","MARTES","MIÉRCOLES","JUEVES","VIERNES","SÁBADO","DOMINGO"))</f>
        <v/>
      </c>
      <c r="M654" s="23"/>
      <c r="Q654" s="21" t="str">
        <f aca="false">IF(OR(K654="",N654=""),"",K654-N654)</f>
        <v/>
      </c>
      <c r="R654" s="21" t="str">
        <f aca="false">IF(OR(J654="",K654=""),"",J654*K654)</f>
        <v/>
      </c>
      <c r="S654" s="21" t="str">
        <f aca="false">IF(AND(ISNUMBER(J654),ISNUMBER(K654),F654&lt;&gt;"Calentamiento",F654&lt;&gt;"Bilbo"),IF(AND(K654&gt;0,K654&lt;=12),ROUND(J654*(1+(K654+IF(ISNUMBER(L654),L654,0))/30),1),""),"")</f>
        <v/>
      </c>
      <c r="T654" s="21" t="str">
        <f aca="false">IF(AND(F654="Bilbo",ISNUMBER(J654),ISNUMBER(K654)),ROUND(J654*(1+K654/30),1),"")</f>
        <v/>
      </c>
      <c r="W654" s="22"/>
      <c r="X654" s="21" t="str">
        <f aca="false">IF(AND(F654="Bilbo",E654&lt;&gt;"",G654&lt;&gt;"",H654&lt;&gt;""),E654&amp;"|"&amp;G654&amp;"|"&amp;H654,"")</f>
        <v/>
      </c>
      <c r="Y654" s="21" t="str">
        <f aca="false">IF(B654="","",IF(B654&lt;&gt;B653,1,0))</f>
        <v/>
      </c>
    </row>
    <row r="655" customFormat="false" ht="15" hidden="false" customHeight="true" outlineLevel="0" collapsed="false">
      <c r="A655" s="21" t="str">
        <f aca="false">IF(B655="","",ROW()-4)</f>
        <v/>
      </c>
      <c r="B655" s="22"/>
      <c r="C655" s="21" t="str">
        <f aca="false">IF(B655="","",CHOOSE(WEEKDAY(B655,2),"LUNES","MARTES","MIÉRCOLES","JUEVES","VIERNES","SÁBADO","DOMINGO"))</f>
        <v/>
      </c>
      <c r="M655" s="23"/>
      <c r="Q655" s="21" t="str">
        <f aca="false">IF(OR(K655="",N655=""),"",K655-N655)</f>
        <v/>
      </c>
      <c r="R655" s="21" t="str">
        <f aca="false">IF(OR(J655="",K655=""),"",J655*K655)</f>
        <v/>
      </c>
      <c r="S655" s="21" t="str">
        <f aca="false">IF(AND(ISNUMBER(J655),ISNUMBER(K655),F655&lt;&gt;"Calentamiento",F655&lt;&gt;"Bilbo"),IF(AND(K655&gt;0,K655&lt;=12),ROUND(J655*(1+(K655+IF(ISNUMBER(L655),L655,0))/30),1),""),"")</f>
        <v/>
      </c>
      <c r="T655" s="21" t="str">
        <f aca="false">IF(AND(F655="Bilbo",ISNUMBER(J655),ISNUMBER(K655)),ROUND(J655*(1+K655/30),1),"")</f>
        <v/>
      </c>
      <c r="W655" s="22"/>
      <c r="X655" s="21" t="str">
        <f aca="false">IF(AND(F655="Bilbo",E655&lt;&gt;"",G655&lt;&gt;"",H655&lt;&gt;""),E655&amp;"|"&amp;G655&amp;"|"&amp;H655,"")</f>
        <v/>
      </c>
      <c r="Y655" s="21" t="str">
        <f aca="false">IF(B655="","",IF(B655&lt;&gt;B654,1,0))</f>
        <v/>
      </c>
    </row>
    <row r="656" customFormat="false" ht="15" hidden="false" customHeight="true" outlineLevel="0" collapsed="false">
      <c r="A656" s="21" t="str">
        <f aca="false">IF(B656="","",ROW()-4)</f>
        <v/>
      </c>
      <c r="B656" s="22"/>
      <c r="C656" s="21" t="str">
        <f aca="false">IF(B656="","",CHOOSE(WEEKDAY(B656,2),"LUNES","MARTES","MIÉRCOLES","JUEVES","VIERNES","SÁBADO","DOMINGO"))</f>
        <v/>
      </c>
      <c r="M656" s="23"/>
      <c r="Q656" s="21" t="str">
        <f aca="false">IF(OR(K656="",N656=""),"",K656-N656)</f>
        <v/>
      </c>
      <c r="R656" s="21" t="str">
        <f aca="false">IF(OR(J656="",K656=""),"",J656*K656)</f>
        <v/>
      </c>
      <c r="S656" s="21" t="str">
        <f aca="false">IF(AND(ISNUMBER(J656),ISNUMBER(K656),F656&lt;&gt;"Calentamiento",F656&lt;&gt;"Bilbo"),IF(AND(K656&gt;0,K656&lt;=12),ROUND(J656*(1+(K656+IF(ISNUMBER(L656),L656,0))/30),1),""),"")</f>
        <v/>
      </c>
      <c r="T656" s="21" t="str">
        <f aca="false">IF(AND(F656="Bilbo",ISNUMBER(J656),ISNUMBER(K656)),ROUND(J656*(1+K656/30),1),"")</f>
        <v/>
      </c>
      <c r="W656" s="22"/>
      <c r="X656" s="21" t="str">
        <f aca="false">IF(AND(F656="Bilbo",E656&lt;&gt;"",G656&lt;&gt;"",H656&lt;&gt;""),E656&amp;"|"&amp;G656&amp;"|"&amp;H656,"")</f>
        <v/>
      </c>
      <c r="Y656" s="21" t="str">
        <f aca="false">IF(B656="","",IF(B656&lt;&gt;B655,1,0))</f>
        <v/>
      </c>
    </row>
    <row r="657" customFormat="false" ht="15" hidden="false" customHeight="true" outlineLevel="0" collapsed="false">
      <c r="A657" s="21" t="str">
        <f aca="false">IF(B657="","",ROW()-4)</f>
        <v/>
      </c>
      <c r="B657" s="22"/>
      <c r="C657" s="21" t="str">
        <f aca="false">IF(B657="","",CHOOSE(WEEKDAY(B657,2),"LUNES","MARTES","MIÉRCOLES","JUEVES","VIERNES","SÁBADO","DOMINGO"))</f>
        <v/>
      </c>
      <c r="M657" s="23"/>
      <c r="Q657" s="21" t="str">
        <f aca="false">IF(OR(K657="",N657=""),"",K657-N657)</f>
        <v/>
      </c>
      <c r="R657" s="21" t="str">
        <f aca="false">IF(OR(J657="",K657=""),"",J657*K657)</f>
        <v/>
      </c>
      <c r="S657" s="21" t="str">
        <f aca="false">IF(AND(ISNUMBER(J657),ISNUMBER(K657),F657&lt;&gt;"Calentamiento",F657&lt;&gt;"Bilbo"),IF(AND(K657&gt;0,K657&lt;=12),ROUND(J657*(1+(K657+IF(ISNUMBER(L657),L657,0))/30),1),""),"")</f>
        <v/>
      </c>
      <c r="T657" s="21" t="str">
        <f aca="false">IF(AND(F657="Bilbo",ISNUMBER(J657),ISNUMBER(K657)),ROUND(J657*(1+K657/30),1),"")</f>
        <v/>
      </c>
      <c r="W657" s="22"/>
      <c r="X657" s="21" t="str">
        <f aca="false">IF(AND(F657="Bilbo",E657&lt;&gt;"",G657&lt;&gt;"",H657&lt;&gt;""),E657&amp;"|"&amp;G657&amp;"|"&amp;H657,"")</f>
        <v/>
      </c>
      <c r="Y657" s="21" t="str">
        <f aca="false">IF(B657="","",IF(B657&lt;&gt;B656,1,0))</f>
        <v/>
      </c>
    </row>
    <row r="658" customFormat="false" ht="15" hidden="false" customHeight="true" outlineLevel="0" collapsed="false">
      <c r="A658" s="21" t="str">
        <f aca="false">IF(B658="","",ROW()-4)</f>
        <v/>
      </c>
      <c r="B658" s="22"/>
      <c r="C658" s="21" t="str">
        <f aca="false">IF(B658="","",CHOOSE(WEEKDAY(B658,2),"LUNES","MARTES","MIÉRCOLES","JUEVES","VIERNES","SÁBADO","DOMINGO"))</f>
        <v/>
      </c>
      <c r="M658" s="23"/>
      <c r="Q658" s="21" t="str">
        <f aca="false">IF(OR(K658="",N658=""),"",K658-N658)</f>
        <v/>
      </c>
      <c r="R658" s="21" t="str">
        <f aca="false">IF(OR(J658="",K658=""),"",J658*K658)</f>
        <v/>
      </c>
      <c r="S658" s="21" t="str">
        <f aca="false">IF(AND(ISNUMBER(J658),ISNUMBER(K658),F658&lt;&gt;"Calentamiento",F658&lt;&gt;"Bilbo"),IF(AND(K658&gt;0,K658&lt;=12),ROUND(J658*(1+(K658+IF(ISNUMBER(L658),L658,0))/30),1),""),"")</f>
        <v/>
      </c>
      <c r="T658" s="21" t="str">
        <f aca="false">IF(AND(F658="Bilbo",ISNUMBER(J658),ISNUMBER(K658)),ROUND(J658*(1+K658/30),1),"")</f>
        <v/>
      </c>
      <c r="W658" s="22"/>
      <c r="X658" s="21" t="str">
        <f aca="false">IF(AND(F658="Bilbo",E658&lt;&gt;"",G658&lt;&gt;"",H658&lt;&gt;""),E658&amp;"|"&amp;G658&amp;"|"&amp;H658,"")</f>
        <v/>
      </c>
      <c r="Y658" s="21" t="str">
        <f aca="false">IF(B658="","",IF(B658&lt;&gt;B657,1,0))</f>
        <v/>
      </c>
    </row>
    <row r="659" customFormat="false" ht="15" hidden="false" customHeight="true" outlineLevel="0" collapsed="false">
      <c r="A659" s="21" t="str">
        <f aca="false">IF(B659="","",ROW()-4)</f>
        <v/>
      </c>
      <c r="B659" s="22"/>
      <c r="C659" s="21" t="str">
        <f aca="false">IF(B659="","",CHOOSE(WEEKDAY(B659,2),"LUNES","MARTES","MIÉRCOLES","JUEVES","VIERNES","SÁBADO","DOMINGO"))</f>
        <v/>
      </c>
      <c r="M659" s="23"/>
      <c r="Q659" s="21" t="str">
        <f aca="false">IF(OR(K659="",N659=""),"",K659-N659)</f>
        <v/>
      </c>
      <c r="R659" s="21" t="str">
        <f aca="false">IF(OR(J659="",K659=""),"",J659*K659)</f>
        <v/>
      </c>
      <c r="S659" s="21" t="str">
        <f aca="false">IF(AND(ISNUMBER(J659),ISNUMBER(K659),F659&lt;&gt;"Calentamiento",F659&lt;&gt;"Bilbo"),IF(AND(K659&gt;0,K659&lt;=12),ROUND(J659*(1+(K659+IF(ISNUMBER(L659),L659,0))/30),1),""),"")</f>
        <v/>
      </c>
      <c r="T659" s="21" t="str">
        <f aca="false">IF(AND(F659="Bilbo",ISNUMBER(J659),ISNUMBER(K659)),ROUND(J659*(1+K659/30),1),"")</f>
        <v/>
      </c>
      <c r="W659" s="22"/>
      <c r="X659" s="21" t="str">
        <f aca="false">IF(AND(F659="Bilbo",E659&lt;&gt;"",G659&lt;&gt;"",H659&lt;&gt;""),E659&amp;"|"&amp;G659&amp;"|"&amp;H659,"")</f>
        <v/>
      </c>
      <c r="Y659" s="21" t="str">
        <f aca="false">IF(B659="","",IF(B659&lt;&gt;B658,1,0))</f>
        <v/>
      </c>
    </row>
    <row r="660" customFormat="false" ht="15" hidden="false" customHeight="true" outlineLevel="0" collapsed="false">
      <c r="A660" s="21" t="str">
        <f aca="false">IF(B660="","",ROW()-4)</f>
        <v/>
      </c>
      <c r="B660" s="22"/>
      <c r="C660" s="21" t="str">
        <f aca="false">IF(B660="","",CHOOSE(WEEKDAY(B660,2),"LUNES","MARTES","MIÉRCOLES","JUEVES","VIERNES","SÁBADO","DOMINGO"))</f>
        <v/>
      </c>
      <c r="M660" s="23"/>
      <c r="Q660" s="21" t="str">
        <f aca="false">IF(OR(K660="",N660=""),"",K660-N660)</f>
        <v/>
      </c>
      <c r="R660" s="21" t="str">
        <f aca="false">IF(OR(J660="",K660=""),"",J660*K660)</f>
        <v/>
      </c>
      <c r="S660" s="21" t="str">
        <f aca="false">IF(AND(ISNUMBER(J660),ISNUMBER(K660),F660&lt;&gt;"Calentamiento",F660&lt;&gt;"Bilbo"),IF(AND(K660&gt;0,K660&lt;=12),ROUND(J660*(1+(K660+IF(ISNUMBER(L660),L660,0))/30),1),""),"")</f>
        <v/>
      </c>
      <c r="T660" s="21" t="str">
        <f aca="false">IF(AND(F660="Bilbo",ISNUMBER(J660),ISNUMBER(K660)),ROUND(J660*(1+K660/30),1),"")</f>
        <v/>
      </c>
      <c r="W660" s="22"/>
      <c r="X660" s="21" t="str">
        <f aca="false">IF(AND(F660="Bilbo",E660&lt;&gt;"",G660&lt;&gt;"",H660&lt;&gt;""),E660&amp;"|"&amp;G660&amp;"|"&amp;H660,"")</f>
        <v/>
      </c>
      <c r="Y660" s="21" t="str">
        <f aca="false">IF(B660="","",IF(B660&lt;&gt;B659,1,0))</f>
        <v/>
      </c>
    </row>
    <row r="661" customFormat="false" ht="15" hidden="false" customHeight="true" outlineLevel="0" collapsed="false">
      <c r="A661" s="21" t="str">
        <f aca="false">IF(B661="","",ROW()-4)</f>
        <v/>
      </c>
      <c r="B661" s="22"/>
      <c r="C661" s="21" t="str">
        <f aca="false">IF(B661="","",CHOOSE(WEEKDAY(B661,2),"LUNES","MARTES","MIÉRCOLES","JUEVES","VIERNES","SÁBADO","DOMINGO"))</f>
        <v/>
      </c>
      <c r="M661" s="23"/>
      <c r="Q661" s="21" t="str">
        <f aca="false">IF(OR(K661="",N661=""),"",K661-N661)</f>
        <v/>
      </c>
      <c r="R661" s="21" t="str">
        <f aca="false">IF(OR(J661="",K661=""),"",J661*K661)</f>
        <v/>
      </c>
      <c r="S661" s="21" t="str">
        <f aca="false">IF(AND(ISNUMBER(J661),ISNUMBER(K661),F661&lt;&gt;"Calentamiento",F661&lt;&gt;"Bilbo"),IF(AND(K661&gt;0,K661&lt;=12),ROUND(J661*(1+(K661+IF(ISNUMBER(L661),L661,0))/30),1),""),"")</f>
        <v/>
      </c>
      <c r="T661" s="21" t="str">
        <f aca="false">IF(AND(F661="Bilbo",ISNUMBER(J661),ISNUMBER(K661)),ROUND(J661*(1+K661/30),1),"")</f>
        <v/>
      </c>
      <c r="W661" s="22"/>
      <c r="X661" s="21" t="str">
        <f aca="false">IF(AND(F661="Bilbo",E661&lt;&gt;"",G661&lt;&gt;"",H661&lt;&gt;""),E661&amp;"|"&amp;G661&amp;"|"&amp;H661,"")</f>
        <v/>
      </c>
      <c r="Y661" s="21" t="str">
        <f aca="false">IF(B661="","",IF(B661&lt;&gt;B660,1,0))</f>
        <v/>
      </c>
    </row>
    <row r="662" customFormat="false" ht="15" hidden="false" customHeight="true" outlineLevel="0" collapsed="false">
      <c r="A662" s="21" t="str">
        <f aca="false">IF(B662="","",ROW()-4)</f>
        <v/>
      </c>
      <c r="B662" s="22"/>
      <c r="C662" s="21" t="str">
        <f aca="false">IF(B662="","",CHOOSE(WEEKDAY(B662,2),"LUNES","MARTES","MIÉRCOLES","JUEVES","VIERNES","SÁBADO","DOMINGO"))</f>
        <v/>
      </c>
      <c r="M662" s="23"/>
      <c r="Q662" s="21" t="str">
        <f aca="false">IF(OR(K662="",N662=""),"",K662-N662)</f>
        <v/>
      </c>
      <c r="R662" s="21" t="str">
        <f aca="false">IF(OR(J662="",K662=""),"",J662*K662)</f>
        <v/>
      </c>
      <c r="S662" s="21" t="str">
        <f aca="false">IF(AND(ISNUMBER(J662),ISNUMBER(K662),F662&lt;&gt;"Calentamiento",F662&lt;&gt;"Bilbo"),IF(AND(K662&gt;0,K662&lt;=12),ROUND(J662*(1+(K662+IF(ISNUMBER(L662),L662,0))/30),1),""),"")</f>
        <v/>
      </c>
      <c r="T662" s="21" t="str">
        <f aca="false">IF(AND(F662="Bilbo",ISNUMBER(J662),ISNUMBER(K662)),ROUND(J662*(1+K662/30),1),"")</f>
        <v/>
      </c>
      <c r="W662" s="22"/>
      <c r="X662" s="21" t="str">
        <f aca="false">IF(AND(F662="Bilbo",E662&lt;&gt;"",G662&lt;&gt;"",H662&lt;&gt;""),E662&amp;"|"&amp;G662&amp;"|"&amp;H662,"")</f>
        <v/>
      </c>
      <c r="Y662" s="21" t="str">
        <f aca="false">IF(B662="","",IF(B662&lt;&gt;B661,1,0))</f>
        <v/>
      </c>
    </row>
    <row r="663" customFormat="false" ht="15" hidden="false" customHeight="true" outlineLevel="0" collapsed="false">
      <c r="A663" s="21" t="str">
        <f aca="false">IF(B663="","",ROW()-4)</f>
        <v/>
      </c>
      <c r="B663" s="22"/>
      <c r="C663" s="21" t="str">
        <f aca="false">IF(B663="","",CHOOSE(WEEKDAY(B663,2),"LUNES","MARTES","MIÉRCOLES","JUEVES","VIERNES","SÁBADO","DOMINGO"))</f>
        <v/>
      </c>
      <c r="M663" s="23"/>
      <c r="Q663" s="21" t="str">
        <f aca="false">IF(OR(K663="",N663=""),"",K663-N663)</f>
        <v/>
      </c>
      <c r="R663" s="21" t="str">
        <f aca="false">IF(OR(J663="",K663=""),"",J663*K663)</f>
        <v/>
      </c>
      <c r="S663" s="21" t="str">
        <f aca="false">IF(AND(ISNUMBER(J663),ISNUMBER(K663),F663&lt;&gt;"Calentamiento",F663&lt;&gt;"Bilbo"),IF(AND(K663&gt;0,K663&lt;=12),ROUND(J663*(1+(K663+IF(ISNUMBER(L663),L663,0))/30),1),""),"")</f>
        <v/>
      </c>
      <c r="T663" s="21" t="str">
        <f aca="false">IF(AND(F663="Bilbo",ISNUMBER(J663),ISNUMBER(K663)),ROUND(J663*(1+K663/30),1),"")</f>
        <v/>
      </c>
      <c r="W663" s="22"/>
      <c r="X663" s="21" t="str">
        <f aca="false">IF(AND(F663="Bilbo",E663&lt;&gt;"",G663&lt;&gt;"",H663&lt;&gt;""),E663&amp;"|"&amp;G663&amp;"|"&amp;H663,"")</f>
        <v/>
      </c>
      <c r="Y663" s="21" t="str">
        <f aca="false">IF(B663="","",IF(B663&lt;&gt;B662,1,0))</f>
        <v/>
      </c>
    </row>
    <row r="664" customFormat="false" ht="15" hidden="false" customHeight="true" outlineLevel="0" collapsed="false">
      <c r="A664" s="21" t="str">
        <f aca="false">IF(B664="","",ROW()-4)</f>
        <v/>
      </c>
      <c r="B664" s="22"/>
      <c r="C664" s="21" t="str">
        <f aca="false">IF(B664="","",CHOOSE(WEEKDAY(B664,2),"LUNES","MARTES","MIÉRCOLES","JUEVES","VIERNES","SÁBADO","DOMINGO"))</f>
        <v/>
      </c>
      <c r="M664" s="23"/>
      <c r="Q664" s="21" t="str">
        <f aca="false">IF(OR(K664="",N664=""),"",K664-N664)</f>
        <v/>
      </c>
      <c r="R664" s="21" t="str">
        <f aca="false">IF(OR(J664="",K664=""),"",J664*K664)</f>
        <v/>
      </c>
      <c r="S664" s="21" t="str">
        <f aca="false">IF(AND(ISNUMBER(J664),ISNUMBER(K664),F664&lt;&gt;"Calentamiento",F664&lt;&gt;"Bilbo"),IF(AND(K664&gt;0,K664&lt;=12),ROUND(J664*(1+(K664+IF(ISNUMBER(L664),L664,0))/30),1),""),"")</f>
        <v/>
      </c>
      <c r="T664" s="21" t="str">
        <f aca="false">IF(AND(F664="Bilbo",ISNUMBER(J664),ISNUMBER(K664)),ROUND(J664*(1+K664/30),1),"")</f>
        <v/>
      </c>
      <c r="W664" s="22"/>
      <c r="X664" s="21" t="str">
        <f aca="false">IF(AND(F664="Bilbo",E664&lt;&gt;"",G664&lt;&gt;"",H664&lt;&gt;""),E664&amp;"|"&amp;G664&amp;"|"&amp;H664,"")</f>
        <v/>
      </c>
      <c r="Y664" s="21" t="str">
        <f aca="false">IF(B664="","",IF(B664&lt;&gt;B663,1,0))</f>
        <v/>
      </c>
    </row>
    <row r="665" customFormat="false" ht="15" hidden="false" customHeight="true" outlineLevel="0" collapsed="false">
      <c r="A665" s="21" t="str">
        <f aca="false">IF(B665="","",ROW()-4)</f>
        <v/>
      </c>
      <c r="B665" s="22"/>
      <c r="C665" s="21" t="str">
        <f aca="false">IF(B665="","",CHOOSE(WEEKDAY(B665,2),"LUNES","MARTES","MIÉRCOLES","JUEVES","VIERNES","SÁBADO","DOMINGO"))</f>
        <v/>
      </c>
      <c r="M665" s="23"/>
      <c r="Q665" s="21" t="str">
        <f aca="false">IF(OR(K665="",N665=""),"",K665-N665)</f>
        <v/>
      </c>
      <c r="R665" s="21" t="str">
        <f aca="false">IF(OR(J665="",K665=""),"",J665*K665)</f>
        <v/>
      </c>
      <c r="S665" s="21" t="str">
        <f aca="false">IF(AND(ISNUMBER(J665),ISNUMBER(K665),F665&lt;&gt;"Calentamiento",F665&lt;&gt;"Bilbo"),IF(AND(K665&gt;0,K665&lt;=12),ROUND(J665*(1+(K665+IF(ISNUMBER(L665),L665,0))/30),1),""),"")</f>
        <v/>
      </c>
      <c r="T665" s="21" t="str">
        <f aca="false">IF(AND(F665="Bilbo",ISNUMBER(J665),ISNUMBER(K665)),ROUND(J665*(1+K665/30),1),"")</f>
        <v/>
      </c>
      <c r="W665" s="22"/>
      <c r="X665" s="21" t="str">
        <f aca="false">IF(AND(F665="Bilbo",E665&lt;&gt;"",G665&lt;&gt;"",H665&lt;&gt;""),E665&amp;"|"&amp;G665&amp;"|"&amp;H665,"")</f>
        <v/>
      </c>
      <c r="Y665" s="21" t="str">
        <f aca="false">IF(B665="","",IF(B665&lt;&gt;B664,1,0))</f>
        <v/>
      </c>
    </row>
    <row r="666" customFormat="false" ht="15" hidden="false" customHeight="true" outlineLevel="0" collapsed="false">
      <c r="A666" s="21" t="str">
        <f aca="false">IF(B666="","",ROW()-4)</f>
        <v/>
      </c>
      <c r="B666" s="22"/>
      <c r="C666" s="21" t="str">
        <f aca="false">IF(B666="","",CHOOSE(WEEKDAY(B666,2),"LUNES","MARTES","MIÉRCOLES","JUEVES","VIERNES","SÁBADO","DOMINGO"))</f>
        <v/>
      </c>
      <c r="M666" s="23"/>
      <c r="Q666" s="21" t="str">
        <f aca="false">IF(OR(K666="",N666=""),"",K666-N666)</f>
        <v/>
      </c>
      <c r="R666" s="21" t="str">
        <f aca="false">IF(OR(J666="",K666=""),"",J666*K666)</f>
        <v/>
      </c>
      <c r="S666" s="21" t="str">
        <f aca="false">IF(AND(ISNUMBER(J666),ISNUMBER(K666),F666&lt;&gt;"Calentamiento",F666&lt;&gt;"Bilbo"),IF(AND(K666&gt;0,K666&lt;=12),ROUND(J666*(1+(K666+IF(ISNUMBER(L666),L666,0))/30),1),""),"")</f>
        <v/>
      </c>
      <c r="T666" s="21" t="str">
        <f aca="false">IF(AND(F666="Bilbo",ISNUMBER(J666),ISNUMBER(K666)),ROUND(J666*(1+K666/30),1),"")</f>
        <v/>
      </c>
      <c r="W666" s="22"/>
      <c r="X666" s="21" t="str">
        <f aca="false">IF(AND(F666="Bilbo",E666&lt;&gt;"",G666&lt;&gt;"",H666&lt;&gt;""),E666&amp;"|"&amp;G666&amp;"|"&amp;H666,"")</f>
        <v/>
      </c>
      <c r="Y666" s="21" t="str">
        <f aca="false">IF(B666="","",IF(B666&lt;&gt;B665,1,0))</f>
        <v/>
      </c>
    </row>
    <row r="667" customFormat="false" ht="15" hidden="false" customHeight="true" outlineLevel="0" collapsed="false">
      <c r="A667" s="21" t="str">
        <f aca="false">IF(B667="","",ROW()-4)</f>
        <v/>
      </c>
      <c r="B667" s="22"/>
      <c r="C667" s="21" t="str">
        <f aca="false">IF(B667="","",CHOOSE(WEEKDAY(B667,2),"LUNES","MARTES","MIÉRCOLES","JUEVES","VIERNES","SÁBADO","DOMINGO"))</f>
        <v/>
      </c>
      <c r="M667" s="23"/>
      <c r="Q667" s="21" t="str">
        <f aca="false">IF(OR(K667="",N667=""),"",K667-N667)</f>
        <v/>
      </c>
      <c r="R667" s="21" t="str">
        <f aca="false">IF(OR(J667="",K667=""),"",J667*K667)</f>
        <v/>
      </c>
      <c r="S667" s="21" t="str">
        <f aca="false">IF(AND(ISNUMBER(J667),ISNUMBER(K667),F667&lt;&gt;"Calentamiento",F667&lt;&gt;"Bilbo"),IF(AND(K667&gt;0,K667&lt;=12),ROUND(J667*(1+(K667+IF(ISNUMBER(L667),L667,0))/30),1),""),"")</f>
        <v/>
      </c>
      <c r="T667" s="21" t="str">
        <f aca="false">IF(AND(F667="Bilbo",ISNUMBER(J667),ISNUMBER(K667)),ROUND(J667*(1+K667/30),1),"")</f>
        <v/>
      </c>
      <c r="W667" s="22"/>
      <c r="X667" s="21" t="str">
        <f aca="false">IF(AND(F667="Bilbo",E667&lt;&gt;"",G667&lt;&gt;"",H667&lt;&gt;""),E667&amp;"|"&amp;G667&amp;"|"&amp;H667,"")</f>
        <v/>
      </c>
      <c r="Y667" s="21" t="str">
        <f aca="false">IF(B667="","",IF(B667&lt;&gt;B666,1,0))</f>
        <v/>
      </c>
    </row>
    <row r="668" customFormat="false" ht="15" hidden="false" customHeight="true" outlineLevel="0" collapsed="false">
      <c r="A668" s="21" t="str">
        <f aca="false">IF(B668="","",ROW()-4)</f>
        <v/>
      </c>
      <c r="B668" s="22"/>
      <c r="C668" s="21" t="str">
        <f aca="false">IF(B668="","",CHOOSE(WEEKDAY(B668,2),"LUNES","MARTES","MIÉRCOLES","JUEVES","VIERNES","SÁBADO","DOMINGO"))</f>
        <v/>
      </c>
      <c r="M668" s="23"/>
      <c r="Q668" s="21" t="str">
        <f aca="false">IF(OR(K668="",N668=""),"",K668-N668)</f>
        <v/>
      </c>
      <c r="R668" s="21" t="str">
        <f aca="false">IF(OR(J668="",K668=""),"",J668*K668)</f>
        <v/>
      </c>
      <c r="S668" s="21" t="str">
        <f aca="false">IF(AND(ISNUMBER(J668),ISNUMBER(K668),F668&lt;&gt;"Calentamiento",F668&lt;&gt;"Bilbo"),IF(AND(K668&gt;0,K668&lt;=12),ROUND(J668*(1+(K668+IF(ISNUMBER(L668),L668,0))/30),1),""),"")</f>
        <v/>
      </c>
      <c r="T668" s="21" t="str">
        <f aca="false">IF(AND(F668="Bilbo",ISNUMBER(J668),ISNUMBER(K668)),ROUND(J668*(1+K668/30),1),"")</f>
        <v/>
      </c>
      <c r="W668" s="22"/>
      <c r="X668" s="21" t="str">
        <f aca="false">IF(AND(F668="Bilbo",E668&lt;&gt;"",G668&lt;&gt;"",H668&lt;&gt;""),E668&amp;"|"&amp;G668&amp;"|"&amp;H668,"")</f>
        <v/>
      </c>
      <c r="Y668" s="21" t="str">
        <f aca="false">IF(B668="","",IF(B668&lt;&gt;B667,1,0))</f>
        <v/>
      </c>
    </row>
    <row r="669" customFormat="false" ht="15" hidden="false" customHeight="true" outlineLevel="0" collapsed="false">
      <c r="A669" s="21" t="str">
        <f aca="false">IF(B669="","",ROW()-4)</f>
        <v/>
      </c>
      <c r="B669" s="22"/>
      <c r="C669" s="21" t="str">
        <f aca="false">IF(B669="","",CHOOSE(WEEKDAY(B669,2),"LUNES","MARTES","MIÉRCOLES","JUEVES","VIERNES","SÁBADO","DOMINGO"))</f>
        <v/>
      </c>
      <c r="M669" s="23"/>
      <c r="Q669" s="21" t="str">
        <f aca="false">IF(OR(K669="",N669=""),"",K669-N669)</f>
        <v/>
      </c>
      <c r="R669" s="21" t="str">
        <f aca="false">IF(OR(J669="",K669=""),"",J669*K669)</f>
        <v/>
      </c>
      <c r="S669" s="21" t="str">
        <f aca="false">IF(AND(ISNUMBER(J669),ISNUMBER(K669),F669&lt;&gt;"Calentamiento",F669&lt;&gt;"Bilbo"),IF(AND(K669&gt;0,K669&lt;=12),ROUND(J669*(1+(K669+IF(ISNUMBER(L669),L669,0))/30),1),""),"")</f>
        <v/>
      </c>
      <c r="T669" s="21" t="str">
        <f aca="false">IF(AND(F669="Bilbo",ISNUMBER(J669),ISNUMBER(K669)),ROUND(J669*(1+K669/30),1),"")</f>
        <v/>
      </c>
      <c r="W669" s="22"/>
      <c r="X669" s="21" t="str">
        <f aca="false">IF(AND(F669="Bilbo",E669&lt;&gt;"",G669&lt;&gt;"",H669&lt;&gt;""),E669&amp;"|"&amp;G669&amp;"|"&amp;H669,"")</f>
        <v/>
      </c>
      <c r="Y669" s="21" t="str">
        <f aca="false">IF(B669="","",IF(B669&lt;&gt;B668,1,0))</f>
        <v/>
      </c>
    </row>
    <row r="670" customFormat="false" ht="15" hidden="false" customHeight="true" outlineLevel="0" collapsed="false">
      <c r="A670" s="21" t="str">
        <f aca="false">IF(B670="","",ROW()-4)</f>
        <v/>
      </c>
      <c r="B670" s="22"/>
      <c r="C670" s="21" t="str">
        <f aca="false">IF(B670="","",CHOOSE(WEEKDAY(B670,2),"LUNES","MARTES","MIÉRCOLES","JUEVES","VIERNES","SÁBADO","DOMINGO"))</f>
        <v/>
      </c>
      <c r="M670" s="23"/>
      <c r="Q670" s="21" t="str">
        <f aca="false">IF(OR(K670="",N670=""),"",K670-N670)</f>
        <v/>
      </c>
      <c r="R670" s="21" t="str">
        <f aca="false">IF(OR(J670="",K670=""),"",J670*K670)</f>
        <v/>
      </c>
      <c r="S670" s="21" t="str">
        <f aca="false">IF(AND(ISNUMBER(J670),ISNUMBER(K670),F670&lt;&gt;"Calentamiento",F670&lt;&gt;"Bilbo"),IF(AND(K670&gt;0,K670&lt;=12),ROUND(J670*(1+(K670+IF(ISNUMBER(L670),L670,0))/30),1),""),"")</f>
        <v/>
      </c>
      <c r="T670" s="21" t="str">
        <f aca="false">IF(AND(F670="Bilbo",ISNUMBER(J670),ISNUMBER(K670)),ROUND(J670*(1+K670/30),1),"")</f>
        <v/>
      </c>
      <c r="W670" s="22"/>
      <c r="X670" s="21" t="str">
        <f aca="false">IF(AND(F670="Bilbo",E670&lt;&gt;"",G670&lt;&gt;"",H670&lt;&gt;""),E670&amp;"|"&amp;G670&amp;"|"&amp;H670,"")</f>
        <v/>
      </c>
      <c r="Y670" s="21" t="str">
        <f aca="false">IF(B670="","",IF(B670&lt;&gt;B669,1,0))</f>
        <v/>
      </c>
    </row>
    <row r="671" customFormat="false" ht="15" hidden="false" customHeight="true" outlineLevel="0" collapsed="false">
      <c r="A671" s="21" t="str">
        <f aca="false">IF(B671="","",ROW()-4)</f>
        <v/>
      </c>
      <c r="B671" s="22"/>
      <c r="C671" s="21" t="str">
        <f aca="false">IF(B671="","",CHOOSE(WEEKDAY(B671,2),"LUNES","MARTES","MIÉRCOLES","JUEVES","VIERNES","SÁBADO","DOMINGO"))</f>
        <v/>
      </c>
      <c r="M671" s="23"/>
      <c r="Q671" s="21" t="str">
        <f aca="false">IF(OR(K671="",N671=""),"",K671-N671)</f>
        <v/>
      </c>
      <c r="R671" s="21" t="str">
        <f aca="false">IF(OR(J671="",K671=""),"",J671*K671)</f>
        <v/>
      </c>
      <c r="S671" s="21" t="str">
        <f aca="false">IF(AND(ISNUMBER(J671),ISNUMBER(K671),F671&lt;&gt;"Calentamiento",F671&lt;&gt;"Bilbo"),IF(AND(K671&gt;0,K671&lt;=12),ROUND(J671*(1+(K671+IF(ISNUMBER(L671),L671,0))/30),1),""),"")</f>
        <v/>
      </c>
      <c r="T671" s="21" t="str">
        <f aca="false">IF(AND(F671="Bilbo",ISNUMBER(J671),ISNUMBER(K671)),ROUND(J671*(1+K671/30),1),"")</f>
        <v/>
      </c>
      <c r="W671" s="22"/>
      <c r="X671" s="21" t="str">
        <f aca="false">IF(AND(F671="Bilbo",E671&lt;&gt;"",G671&lt;&gt;"",H671&lt;&gt;""),E671&amp;"|"&amp;G671&amp;"|"&amp;H671,"")</f>
        <v/>
      </c>
      <c r="Y671" s="21" t="str">
        <f aca="false">IF(B671="","",IF(B671&lt;&gt;B670,1,0))</f>
        <v/>
      </c>
    </row>
    <row r="672" customFormat="false" ht="15" hidden="false" customHeight="true" outlineLevel="0" collapsed="false">
      <c r="A672" s="21" t="str">
        <f aca="false">IF(B672="","",ROW()-4)</f>
        <v/>
      </c>
      <c r="B672" s="22"/>
      <c r="C672" s="21" t="str">
        <f aca="false">IF(B672="","",CHOOSE(WEEKDAY(B672,2),"LUNES","MARTES","MIÉRCOLES","JUEVES","VIERNES","SÁBADO","DOMINGO"))</f>
        <v/>
      </c>
      <c r="M672" s="23"/>
      <c r="Q672" s="21" t="str">
        <f aca="false">IF(OR(K672="",N672=""),"",K672-N672)</f>
        <v/>
      </c>
      <c r="R672" s="21" t="str">
        <f aca="false">IF(OR(J672="",K672=""),"",J672*K672)</f>
        <v/>
      </c>
      <c r="S672" s="21" t="str">
        <f aca="false">IF(AND(ISNUMBER(J672),ISNUMBER(K672),F672&lt;&gt;"Calentamiento",F672&lt;&gt;"Bilbo"),IF(AND(K672&gt;0,K672&lt;=12),ROUND(J672*(1+(K672+IF(ISNUMBER(L672),L672,0))/30),1),""),"")</f>
        <v/>
      </c>
      <c r="T672" s="21" t="str">
        <f aca="false">IF(AND(F672="Bilbo",ISNUMBER(J672),ISNUMBER(K672)),ROUND(J672*(1+K672/30),1),"")</f>
        <v/>
      </c>
      <c r="W672" s="22"/>
      <c r="X672" s="21" t="str">
        <f aca="false">IF(AND(F672="Bilbo",E672&lt;&gt;"",G672&lt;&gt;"",H672&lt;&gt;""),E672&amp;"|"&amp;G672&amp;"|"&amp;H672,"")</f>
        <v/>
      </c>
      <c r="Y672" s="21" t="str">
        <f aca="false">IF(B672="","",IF(B672&lt;&gt;B671,1,0))</f>
        <v/>
      </c>
    </row>
    <row r="673" customFormat="false" ht="15" hidden="false" customHeight="true" outlineLevel="0" collapsed="false">
      <c r="A673" s="21" t="str">
        <f aca="false">IF(B673="","",ROW()-4)</f>
        <v/>
      </c>
      <c r="B673" s="22"/>
      <c r="C673" s="21" t="str">
        <f aca="false">IF(B673="","",CHOOSE(WEEKDAY(B673,2),"LUNES","MARTES","MIÉRCOLES","JUEVES","VIERNES","SÁBADO","DOMINGO"))</f>
        <v/>
      </c>
      <c r="M673" s="23"/>
      <c r="Q673" s="21" t="str">
        <f aca="false">IF(OR(K673="",N673=""),"",K673-N673)</f>
        <v/>
      </c>
      <c r="R673" s="21" t="str">
        <f aca="false">IF(OR(J673="",K673=""),"",J673*K673)</f>
        <v/>
      </c>
      <c r="S673" s="21" t="str">
        <f aca="false">IF(AND(ISNUMBER(J673),ISNUMBER(K673),F673&lt;&gt;"Calentamiento",F673&lt;&gt;"Bilbo"),IF(AND(K673&gt;0,K673&lt;=12),ROUND(J673*(1+(K673+IF(ISNUMBER(L673),L673,0))/30),1),""),"")</f>
        <v/>
      </c>
      <c r="T673" s="21" t="str">
        <f aca="false">IF(AND(F673="Bilbo",ISNUMBER(J673),ISNUMBER(K673)),ROUND(J673*(1+K673/30),1),"")</f>
        <v/>
      </c>
      <c r="W673" s="22"/>
      <c r="X673" s="21" t="str">
        <f aca="false">IF(AND(F673="Bilbo",E673&lt;&gt;"",G673&lt;&gt;"",H673&lt;&gt;""),E673&amp;"|"&amp;G673&amp;"|"&amp;H673,"")</f>
        <v/>
      </c>
      <c r="Y673" s="21" t="str">
        <f aca="false">IF(B673="","",IF(B673&lt;&gt;B672,1,0))</f>
        <v/>
      </c>
    </row>
    <row r="674" customFormat="false" ht="15" hidden="false" customHeight="true" outlineLevel="0" collapsed="false">
      <c r="A674" s="21" t="str">
        <f aca="false">IF(B674="","",ROW()-4)</f>
        <v/>
      </c>
      <c r="B674" s="22"/>
      <c r="C674" s="21" t="str">
        <f aca="false">IF(B674="","",CHOOSE(WEEKDAY(B674,2),"LUNES","MARTES","MIÉRCOLES","JUEVES","VIERNES","SÁBADO","DOMINGO"))</f>
        <v/>
      </c>
      <c r="M674" s="23"/>
      <c r="Q674" s="21" t="str">
        <f aca="false">IF(OR(K674="",N674=""),"",K674-N674)</f>
        <v/>
      </c>
      <c r="R674" s="21" t="str">
        <f aca="false">IF(OR(J674="",K674=""),"",J674*K674)</f>
        <v/>
      </c>
      <c r="S674" s="21" t="str">
        <f aca="false">IF(AND(ISNUMBER(J674),ISNUMBER(K674),F674&lt;&gt;"Calentamiento",F674&lt;&gt;"Bilbo"),IF(AND(K674&gt;0,K674&lt;=12),ROUND(J674*(1+(K674+IF(ISNUMBER(L674),L674,0))/30),1),""),"")</f>
        <v/>
      </c>
      <c r="T674" s="21" t="str">
        <f aca="false">IF(AND(F674="Bilbo",ISNUMBER(J674),ISNUMBER(K674)),ROUND(J674*(1+K674/30),1),"")</f>
        <v/>
      </c>
      <c r="W674" s="22"/>
      <c r="X674" s="21" t="str">
        <f aca="false">IF(AND(F674="Bilbo",E674&lt;&gt;"",G674&lt;&gt;"",H674&lt;&gt;""),E674&amp;"|"&amp;G674&amp;"|"&amp;H674,"")</f>
        <v/>
      </c>
      <c r="Y674" s="21" t="str">
        <f aca="false">IF(B674="","",IF(B674&lt;&gt;B673,1,0))</f>
        <v/>
      </c>
    </row>
    <row r="675" customFormat="false" ht="15" hidden="false" customHeight="true" outlineLevel="0" collapsed="false">
      <c r="A675" s="21" t="str">
        <f aca="false">IF(B675="","",ROW()-4)</f>
        <v/>
      </c>
      <c r="B675" s="22"/>
      <c r="C675" s="21" t="str">
        <f aca="false">IF(B675="","",CHOOSE(WEEKDAY(B675,2),"LUNES","MARTES","MIÉRCOLES","JUEVES","VIERNES","SÁBADO","DOMINGO"))</f>
        <v/>
      </c>
      <c r="M675" s="23"/>
      <c r="Q675" s="21" t="str">
        <f aca="false">IF(OR(K675="",N675=""),"",K675-N675)</f>
        <v/>
      </c>
      <c r="R675" s="21" t="str">
        <f aca="false">IF(OR(J675="",K675=""),"",J675*K675)</f>
        <v/>
      </c>
      <c r="S675" s="21" t="str">
        <f aca="false">IF(AND(ISNUMBER(J675),ISNUMBER(K675),F675&lt;&gt;"Calentamiento",F675&lt;&gt;"Bilbo"),IF(AND(K675&gt;0,K675&lt;=12),ROUND(J675*(1+(K675+IF(ISNUMBER(L675),L675,0))/30),1),""),"")</f>
        <v/>
      </c>
      <c r="T675" s="21" t="str">
        <f aca="false">IF(AND(F675="Bilbo",ISNUMBER(J675),ISNUMBER(K675)),ROUND(J675*(1+K675/30),1),"")</f>
        <v/>
      </c>
      <c r="W675" s="22"/>
      <c r="X675" s="21" t="str">
        <f aca="false">IF(AND(F675="Bilbo",E675&lt;&gt;"",G675&lt;&gt;"",H675&lt;&gt;""),E675&amp;"|"&amp;G675&amp;"|"&amp;H675,"")</f>
        <v/>
      </c>
      <c r="Y675" s="21" t="str">
        <f aca="false">IF(B675="","",IF(B675&lt;&gt;B674,1,0))</f>
        <v/>
      </c>
    </row>
    <row r="676" customFormat="false" ht="15" hidden="false" customHeight="true" outlineLevel="0" collapsed="false">
      <c r="A676" s="21" t="str">
        <f aca="false">IF(B676="","",ROW()-4)</f>
        <v/>
      </c>
      <c r="B676" s="22"/>
      <c r="C676" s="21" t="str">
        <f aca="false">IF(B676="","",CHOOSE(WEEKDAY(B676,2),"LUNES","MARTES","MIÉRCOLES","JUEVES","VIERNES","SÁBADO","DOMINGO"))</f>
        <v/>
      </c>
      <c r="M676" s="23"/>
      <c r="Q676" s="21" t="str">
        <f aca="false">IF(OR(K676="",N676=""),"",K676-N676)</f>
        <v/>
      </c>
      <c r="R676" s="21" t="str">
        <f aca="false">IF(OR(J676="",K676=""),"",J676*K676)</f>
        <v/>
      </c>
      <c r="S676" s="21" t="str">
        <f aca="false">IF(AND(ISNUMBER(J676),ISNUMBER(K676),F676&lt;&gt;"Calentamiento",F676&lt;&gt;"Bilbo"),IF(AND(K676&gt;0,K676&lt;=12),ROUND(J676*(1+(K676+IF(ISNUMBER(L676),L676,0))/30),1),""),"")</f>
        <v/>
      </c>
      <c r="T676" s="21" t="str">
        <f aca="false">IF(AND(F676="Bilbo",ISNUMBER(J676),ISNUMBER(K676)),ROUND(J676*(1+K676/30),1),"")</f>
        <v/>
      </c>
      <c r="W676" s="22"/>
      <c r="X676" s="21" t="str">
        <f aca="false">IF(AND(F676="Bilbo",E676&lt;&gt;"",G676&lt;&gt;"",H676&lt;&gt;""),E676&amp;"|"&amp;G676&amp;"|"&amp;H676,"")</f>
        <v/>
      </c>
      <c r="Y676" s="21" t="str">
        <f aca="false">IF(B676="","",IF(B676&lt;&gt;B675,1,0))</f>
        <v/>
      </c>
    </row>
    <row r="677" customFormat="false" ht="15" hidden="false" customHeight="true" outlineLevel="0" collapsed="false">
      <c r="A677" s="21" t="str">
        <f aca="false">IF(B677="","",ROW()-4)</f>
        <v/>
      </c>
      <c r="B677" s="22"/>
      <c r="C677" s="21" t="str">
        <f aca="false">IF(B677="","",CHOOSE(WEEKDAY(B677,2),"LUNES","MARTES","MIÉRCOLES","JUEVES","VIERNES","SÁBADO","DOMINGO"))</f>
        <v/>
      </c>
      <c r="M677" s="23"/>
      <c r="Q677" s="21" t="str">
        <f aca="false">IF(OR(K677="",N677=""),"",K677-N677)</f>
        <v/>
      </c>
      <c r="R677" s="21" t="str">
        <f aca="false">IF(OR(J677="",K677=""),"",J677*K677)</f>
        <v/>
      </c>
      <c r="S677" s="21" t="str">
        <f aca="false">IF(AND(ISNUMBER(J677),ISNUMBER(K677),F677&lt;&gt;"Calentamiento",F677&lt;&gt;"Bilbo"),IF(AND(K677&gt;0,K677&lt;=12),ROUND(J677*(1+(K677+IF(ISNUMBER(L677),L677,0))/30),1),""),"")</f>
        <v/>
      </c>
      <c r="T677" s="21" t="str">
        <f aca="false">IF(AND(F677="Bilbo",ISNUMBER(J677),ISNUMBER(K677)),ROUND(J677*(1+K677/30),1),"")</f>
        <v/>
      </c>
      <c r="W677" s="22"/>
      <c r="X677" s="21" t="str">
        <f aca="false">IF(AND(F677="Bilbo",E677&lt;&gt;"",G677&lt;&gt;"",H677&lt;&gt;""),E677&amp;"|"&amp;G677&amp;"|"&amp;H677,"")</f>
        <v/>
      </c>
      <c r="Y677" s="21" t="str">
        <f aca="false">IF(B677="","",IF(B677&lt;&gt;B676,1,0))</f>
        <v/>
      </c>
    </row>
    <row r="678" customFormat="false" ht="15" hidden="false" customHeight="true" outlineLevel="0" collapsed="false">
      <c r="A678" s="21" t="str">
        <f aca="false">IF(B678="","",ROW()-4)</f>
        <v/>
      </c>
      <c r="B678" s="22"/>
      <c r="C678" s="21" t="str">
        <f aca="false">IF(B678="","",CHOOSE(WEEKDAY(B678,2),"LUNES","MARTES","MIÉRCOLES","JUEVES","VIERNES","SÁBADO","DOMINGO"))</f>
        <v/>
      </c>
      <c r="M678" s="23"/>
      <c r="Q678" s="21" t="str">
        <f aca="false">IF(OR(K678="",N678=""),"",K678-N678)</f>
        <v/>
      </c>
      <c r="R678" s="21" t="str">
        <f aca="false">IF(OR(J678="",K678=""),"",J678*K678)</f>
        <v/>
      </c>
      <c r="S678" s="21" t="str">
        <f aca="false">IF(AND(ISNUMBER(J678),ISNUMBER(K678),F678&lt;&gt;"Calentamiento",F678&lt;&gt;"Bilbo"),IF(AND(K678&gt;0,K678&lt;=12),ROUND(J678*(1+(K678+IF(ISNUMBER(L678),L678,0))/30),1),""),"")</f>
        <v/>
      </c>
      <c r="T678" s="21" t="str">
        <f aca="false">IF(AND(F678="Bilbo",ISNUMBER(J678),ISNUMBER(K678)),ROUND(J678*(1+K678/30),1),"")</f>
        <v/>
      </c>
      <c r="W678" s="22"/>
      <c r="X678" s="21" t="str">
        <f aca="false">IF(AND(F678="Bilbo",E678&lt;&gt;"",G678&lt;&gt;"",H678&lt;&gt;""),E678&amp;"|"&amp;G678&amp;"|"&amp;H678,"")</f>
        <v/>
      </c>
      <c r="Y678" s="21" t="str">
        <f aca="false">IF(B678="","",IF(B678&lt;&gt;B677,1,0))</f>
        <v/>
      </c>
    </row>
    <row r="679" customFormat="false" ht="15" hidden="false" customHeight="true" outlineLevel="0" collapsed="false">
      <c r="A679" s="21" t="str">
        <f aca="false">IF(B679="","",ROW()-4)</f>
        <v/>
      </c>
      <c r="B679" s="22"/>
      <c r="C679" s="21" t="str">
        <f aca="false">IF(B679="","",CHOOSE(WEEKDAY(B679,2),"LUNES","MARTES","MIÉRCOLES","JUEVES","VIERNES","SÁBADO","DOMINGO"))</f>
        <v/>
      </c>
      <c r="M679" s="23"/>
      <c r="Q679" s="21" t="str">
        <f aca="false">IF(OR(K679="",N679=""),"",K679-N679)</f>
        <v/>
      </c>
      <c r="R679" s="21" t="str">
        <f aca="false">IF(OR(J679="",K679=""),"",J679*K679)</f>
        <v/>
      </c>
      <c r="S679" s="21" t="str">
        <f aca="false">IF(AND(ISNUMBER(J679),ISNUMBER(K679),F679&lt;&gt;"Calentamiento",F679&lt;&gt;"Bilbo"),IF(AND(K679&gt;0,K679&lt;=12),ROUND(J679*(1+(K679+IF(ISNUMBER(L679),L679,0))/30),1),""),"")</f>
        <v/>
      </c>
      <c r="T679" s="21" t="str">
        <f aca="false">IF(AND(F679="Bilbo",ISNUMBER(J679),ISNUMBER(K679)),ROUND(J679*(1+K679/30),1),"")</f>
        <v/>
      </c>
      <c r="W679" s="22"/>
      <c r="X679" s="21" t="str">
        <f aca="false">IF(AND(F679="Bilbo",E679&lt;&gt;"",G679&lt;&gt;"",H679&lt;&gt;""),E679&amp;"|"&amp;G679&amp;"|"&amp;H679,"")</f>
        <v/>
      </c>
      <c r="Y679" s="21" t="str">
        <f aca="false">IF(B679="","",IF(B679&lt;&gt;B678,1,0))</f>
        <v/>
      </c>
    </row>
    <row r="680" customFormat="false" ht="15" hidden="false" customHeight="true" outlineLevel="0" collapsed="false">
      <c r="A680" s="21" t="str">
        <f aca="false">IF(B680="","",ROW()-4)</f>
        <v/>
      </c>
      <c r="B680" s="22"/>
      <c r="C680" s="21" t="str">
        <f aca="false">IF(B680="","",CHOOSE(WEEKDAY(B680,2),"LUNES","MARTES","MIÉRCOLES","JUEVES","VIERNES","SÁBADO","DOMINGO"))</f>
        <v/>
      </c>
      <c r="M680" s="23"/>
      <c r="Q680" s="21" t="str">
        <f aca="false">IF(OR(K680="",N680=""),"",K680-N680)</f>
        <v/>
      </c>
      <c r="R680" s="21" t="str">
        <f aca="false">IF(OR(J680="",K680=""),"",J680*K680)</f>
        <v/>
      </c>
      <c r="S680" s="21" t="str">
        <f aca="false">IF(AND(ISNUMBER(J680),ISNUMBER(K680),F680&lt;&gt;"Calentamiento",F680&lt;&gt;"Bilbo"),IF(AND(K680&gt;0,K680&lt;=12),ROUND(J680*(1+(K680+IF(ISNUMBER(L680),L680,0))/30),1),""),"")</f>
        <v/>
      </c>
      <c r="T680" s="21" t="str">
        <f aca="false">IF(AND(F680="Bilbo",ISNUMBER(J680),ISNUMBER(K680)),ROUND(J680*(1+K680/30),1),"")</f>
        <v/>
      </c>
      <c r="W680" s="22"/>
      <c r="X680" s="21" t="str">
        <f aca="false">IF(AND(F680="Bilbo",E680&lt;&gt;"",G680&lt;&gt;"",H680&lt;&gt;""),E680&amp;"|"&amp;G680&amp;"|"&amp;H680,"")</f>
        <v/>
      </c>
      <c r="Y680" s="21" t="str">
        <f aca="false">IF(B680="","",IF(B680&lt;&gt;B679,1,0))</f>
        <v/>
      </c>
    </row>
    <row r="681" customFormat="false" ht="15" hidden="false" customHeight="true" outlineLevel="0" collapsed="false">
      <c r="A681" s="21" t="str">
        <f aca="false">IF(B681="","",ROW()-4)</f>
        <v/>
      </c>
      <c r="B681" s="22"/>
      <c r="C681" s="21" t="str">
        <f aca="false">IF(B681="","",CHOOSE(WEEKDAY(B681,2),"LUNES","MARTES","MIÉRCOLES","JUEVES","VIERNES","SÁBADO","DOMINGO"))</f>
        <v/>
      </c>
      <c r="M681" s="23"/>
      <c r="Q681" s="21" t="str">
        <f aca="false">IF(OR(K681="",N681=""),"",K681-N681)</f>
        <v/>
      </c>
      <c r="R681" s="21" t="str">
        <f aca="false">IF(OR(J681="",K681=""),"",J681*K681)</f>
        <v/>
      </c>
      <c r="S681" s="21" t="str">
        <f aca="false">IF(AND(ISNUMBER(J681),ISNUMBER(K681),F681&lt;&gt;"Calentamiento",F681&lt;&gt;"Bilbo"),IF(AND(K681&gt;0,K681&lt;=12),ROUND(J681*(1+(K681+IF(ISNUMBER(L681),L681,0))/30),1),""),"")</f>
        <v/>
      </c>
      <c r="T681" s="21" t="str">
        <f aca="false">IF(AND(F681="Bilbo",ISNUMBER(J681),ISNUMBER(K681)),ROUND(J681*(1+K681/30),1),"")</f>
        <v/>
      </c>
      <c r="W681" s="22"/>
      <c r="X681" s="21" t="str">
        <f aca="false">IF(AND(F681="Bilbo",E681&lt;&gt;"",G681&lt;&gt;"",H681&lt;&gt;""),E681&amp;"|"&amp;G681&amp;"|"&amp;H681,"")</f>
        <v/>
      </c>
      <c r="Y681" s="21" t="str">
        <f aca="false">IF(B681="","",IF(B681&lt;&gt;B680,1,0))</f>
        <v/>
      </c>
    </row>
    <row r="682" customFormat="false" ht="15" hidden="false" customHeight="true" outlineLevel="0" collapsed="false">
      <c r="A682" s="21" t="str">
        <f aca="false">IF(B682="","",ROW()-4)</f>
        <v/>
      </c>
      <c r="B682" s="22"/>
      <c r="C682" s="21" t="str">
        <f aca="false">IF(B682="","",CHOOSE(WEEKDAY(B682,2),"LUNES","MARTES","MIÉRCOLES","JUEVES","VIERNES","SÁBADO","DOMINGO"))</f>
        <v/>
      </c>
      <c r="M682" s="23"/>
      <c r="Q682" s="21" t="str">
        <f aca="false">IF(OR(K682="",N682=""),"",K682-N682)</f>
        <v/>
      </c>
      <c r="R682" s="21" t="str">
        <f aca="false">IF(OR(J682="",K682=""),"",J682*K682)</f>
        <v/>
      </c>
      <c r="S682" s="21" t="str">
        <f aca="false">IF(AND(ISNUMBER(J682),ISNUMBER(K682),F682&lt;&gt;"Calentamiento",F682&lt;&gt;"Bilbo"),IF(AND(K682&gt;0,K682&lt;=12),ROUND(J682*(1+(K682+IF(ISNUMBER(L682),L682,0))/30),1),""),"")</f>
        <v/>
      </c>
      <c r="T682" s="21" t="str">
        <f aca="false">IF(AND(F682="Bilbo",ISNUMBER(J682),ISNUMBER(K682)),ROUND(J682*(1+K682/30),1),"")</f>
        <v/>
      </c>
      <c r="W682" s="22"/>
      <c r="X682" s="21" t="str">
        <f aca="false">IF(AND(F682="Bilbo",E682&lt;&gt;"",G682&lt;&gt;"",H682&lt;&gt;""),E682&amp;"|"&amp;G682&amp;"|"&amp;H682,"")</f>
        <v/>
      </c>
      <c r="Y682" s="21" t="str">
        <f aca="false">IF(B682="","",IF(B682&lt;&gt;B681,1,0))</f>
        <v/>
      </c>
    </row>
    <row r="683" customFormat="false" ht="15" hidden="false" customHeight="true" outlineLevel="0" collapsed="false">
      <c r="A683" s="21" t="str">
        <f aca="false">IF(B683="","",ROW()-4)</f>
        <v/>
      </c>
      <c r="B683" s="22"/>
      <c r="C683" s="21" t="str">
        <f aca="false">IF(B683="","",CHOOSE(WEEKDAY(B683,2),"LUNES","MARTES","MIÉRCOLES","JUEVES","VIERNES","SÁBADO","DOMINGO"))</f>
        <v/>
      </c>
      <c r="M683" s="23"/>
      <c r="Q683" s="21" t="str">
        <f aca="false">IF(OR(K683="",N683=""),"",K683-N683)</f>
        <v/>
      </c>
      <c r="R683" s="21" t="str">
        <f aca="false">IF(OR(J683="",K683=""),"",J683*K683)</f>
        <v/>
      </c>
      <c r="S683" s="21" t="str">
        <f aca="false">IF(AND(ISNUMBER(J683),ISNUMBER(K683),F683&lt;&gt;"Calentamiento",F683&lt;&gt;"Bilbo"),IF(AND(K683&gt;0,K683&lt;=12),ROUND(J683*(1+(K683+IF(ISNUMBER(L683),L683,0))/30),1),""),"")</f>
        <v/>
      </c>
      <c r="T683" s="21" t="str">
        <f aca="false">IF(AND(F683="Bilbo",ISNUMBER(J683),ISNUMBER(K683)),ROUND(J683*(1+K683/30),1),"")</f>
        <v/>
      </c>
      <c r="W683" s="22"/>
      <c r="X683" s="21" t="str">
        <f aca="false">IF(AND(F683="Bilbo",E683&lt;&gt;"",G683&lt;&gt;"",H683&lt;&gt;""),E683&amp;"|"&amp;G683&amp;"|"&amp;H683,"")</f>
        <v/>
      </c>
      <c r="Y683" s="21" t="str">
        <f aca="false">IF(B683="","",IF(B683&lt;&gt;B682,1,0))</f>
        <v/>
      </c>
    </row>
    <row r="684" customFormat="false" ht="15" hidden="false" customHeight="true" outlineLevel="0" collapsed="false">
      <c r="A684" s="21" t="str">
        <f aca="false">IF(B684="","",ROW()-4)</f>
        <v/>
      </c>
      <c r="B684" s="22"/>
      <c r="C684" s="21" t="str">
        <f aca="false">IF(B684="","",CHOOSE(WEEKDAY(B684,2),"LUNES","MARTES","MIÉRCOLES","JUEVES","VIERNES","SÁBADO","DOMINGO"))</f>
        <v/>
      </c>
      <c r="M684" s="23"/>
      <c r="Q684" s="21" t="str">
        <f aca="false">IF(OR(K684="",N684=""),"",K684-N684)</f>
        <v/>
      </c>
      <c r="R684" s="21" t="str">
        <f aca="false">IF(OR(J684="",K684=""),"",J684*K684)</f>
        <v/>
      </c>
      <c r="S684" s="21" t="str">
        <f aca="false">IF(AND(ISNUMBER(J684),ISNUMBER(K684),F684&lt;&gt;"Calentamiento",F684&lt;&gt;"Bilbo"),IF(AND(K684&gt;0,K684&lt;=12),ROUND(J684*(1+(K684+IF(ISNUMBER(L684),L684,0))/30),1),""),"")</f>
        <v/>
      </c>
      <c r="T684" s="21" t="str">
        <f aca="false">IF(AND(F684="Bilbo",ISNUMBER(J684),ISNUMBER(K684)),ROUND(J684*(1+K684/30),1),"")</f>
        <v/>
      </c>
      <c r="W684" s="22"/>
      <c r="X684" s="21" t="str">
        <f aca="false">IF(AND(F684="Bilbo",E684&lt;&gt;"",G684&lt;&gt;"",H684&lt;&gt;""),E684&amp;"|"&amp;G684&amp;"|"&amp;H684,"")</f>
        <v/>
      </c>
      <c r="Y684" s="21" t="str">
        <f aca="false">IF(B684="","",IF(B684&lt;&gt;B683,1,0))</f>
        <v/>
      </c>
    </row>
    <row r="685" customFormat="false" ht="15" hidden="false" customHeight="true" outlineLevel="0" collapsed="false">
      <c r="A685" s="21" t="str">
        <f aca="false">IF(B685="","",ROW()-4)</f>
        <v/>
      </c>
      <c r="B685" s="22"/>
      <c r="C685" s="21" t="str">
        <f aca="false">IF(B685="","",CHOOSE(WEEKDAY(B685,2),"LUNES","MARTES","MIÉRCOLES","JUEVES","VIERNES","SÁBADO","DOMINGO"))</f>
        <v/>
      </c>
      <c r="M685" s="23"/>
      <c r="Q685" s="21" t="str">
        <f aca="false">IF(OR(K685="",N685=""),"",K685-N685)</f>
        <v/>
      </c>
      <c r="R685" s="21" t="str">
        <f aca="false">IF(OR(J685="",K685=""),"",J685*K685)</f>
        <v/>
      </c>
      <c r="S685" s="21" t="str">
        <f aca="false">IF(AND(ISNUMBER(J685),ISNUMBER(K685),F685&lt;&gt;"Calentamiento",F685&lt;&gt;"Bilbo"),IF(AND(K685&gt;0,K685&lt;=12),ROUND(J685*(1+(K685+IF(ISNUMBER(L685),L685,0))/30),1),""),"")</f>
        <v/>
      </c>
      <c r="T685" s="21" t="str">
        <f aca="false">IF(AND(F685="Bilbo",ISNUMBER(J685),ISNUMBER(K685)),ROUND(J685*(1+K685/30),1),"")</f>
        <v/>
      </c>
      <c r="W685" s="22"/>
      <c r="X685" s="21" t="str">
        <f aca="false">IF(AND(F685="Bilbo",E685&lt;&gt;"",G685&lt;&gt;"",H685&lt;&gt;""),E685&amp;"|"&amp;G685&amp;"|"&amp;H685,"")</f>
        <v/>
      </c>
      <c r="Y685" s="21" t="str">
        <f aca="false">IF(B685="","",IF(B685&lt;&gt;B684,1,0))</f>
        <v/>
      </c>
    </row>
    <row r="686" customFormat="false" ht="15" hidden="false" customHeight="true" outlineLevel="0" collapsed="false">
      <c r="A686" s="21" t="str">
        <f aca="false">IF(B686="","",ROW()-4)</f>
        <v/>
      </c>
      <c r="B686" s="22"/>
      <c r="C686" s="21" t="str">
        <f aca="false">IF(B686="","",CHOOSE(WEEKDAY(B686,2),"LUNES","MARTES","MIÉRCOLES","JUEVES","VIERNES","SÁBADO","DOMINGO"))</f>
        <v/>
      </c>
      <c r="M686" s="23"/>
      <c r="Q686" s="21" t="str">
        <f aca="false">IF(OR(K686="",N686=""),"",K686-N686)</f>
        <v/>
      </c>
      <c r="R686" s="21" t="str">
        <f aca="false">IF(OR(J686="",K686=""),"",J686*K686)</f>
        <v/>
      </c>
      <c r="S686" s="21" t="str">
        <f aca="false">IF(AND(ISNUMBER(J686),ISNUMBER(K686),F686&lt;&gt;"Calentamiento",F686&lt;&gt;"Bilbo"),IF(AND(K686&gt;0,K686&lt;=12),ROUND(J686*(1+(K686+IF(ISNUMBER(L686),L686,0))/30),1),""),"")</f>
        <v/>
      </c>
      <c r="T686" s="21" t="str">
        <f aca="false">IF(AND(F686="Bilbo",ISNUMBER(J686),ISNUMBER(K686)),ROUND(J686*(1+K686/30),1),"")</f>
        <v/>
      </c>
      <c r="W686" s="22"/>
      <c r="X686" s="21" t="str">
        <f aca="false">IF(AND(F686="Bilbo",E686&lt;&gt;"",G686&lt;&gt;"",H686&lt;&gt;""),E686&amp;"|"&amp;G686&amp;"|"&amp;H686,"")</f>
        <v/>
      </c>
      <c r="Y686" s="21" t="str">
        <f aca="false">IF(B686="","",IF(B686&lt;&gt;B685,1,0))</f>
        <v/>
      </c>
    </row>
    <row r="687" customFormat="false" ht="15" hidden="false" customHeight="true" outlineLevel="0" collapsed="false">
      <c r="A687" s="21" t="str">
        <f aca="false">IF(B687="","",ROW()-4)</f>
        <v/>
      </c>
      <c r="B687" s="22"/>
      <c r="C687" s="21" t="str">
        <f aca="false">IF(B687="","",CHOOSE(WEEKDAY(B687,2),"LUNES","MARTES","MIÉRCOLES","JUEVES","VIERNES","SÁBADO","DOMINGO"))</f>
        <v/>
      </c>
      <c r="M687" s="23"/>
      <c r="Q687" s="21" t="str">
        <f aca="false">IF(OR(K687="",N687=""),"",K687-N687)</f>
        <v/>
      </c>
      <c r="R687" s="21" t="str">
        <f aca="false">IF(OR(J687="",K687=""),"",J687*K687)</f>
        <v/>
      </c>
      <c r="S687" s="21" t="str">
        <f aca="false">IF(AND(ISNUMBER(J687),ISNUMBER(K687),F687&lt;&gt;"Calentamiento",F687&lt;&gt;"Bilbo"),IF(AND(K687&gt;0,K687&lt;=12),ROUND(J687*(1+(K687+IF(ISNUMBER(L687),L687,0))/30),1),""),"")</f>
        <v/>
      </c>
      <c r="T687" s="21" t="str">
        <f aca="false">IF(AND(F687="Bilbo",ISNUMBER(J687),ISNUMBER(K687)),ROUND(J687*(1+K687/30),1),"")</f>
        <v/>
      </c>
      <c r="W687" s="22"/>
      <c r="X687" s="21" t="str">
        <f aca="false">IF(AND(F687="Bilbo",E687&lt;&gt;"",G687&lt;&gt;"",H687&lt;&gt;""),E687&amp;"|"&amp;G687&amp;"|"&amp;H687,"")</f>
        <v/>
      </c>
      <c r="Y687" s="21" t="str">
        <f aca="false">IF(B687="","",IF(B687&lt;&gt;B686,1,0))</f>
        <v/>
      </c>
    </row>
    <row r="688" customFormat="false" ht="15" hidden="false" customHeight="true" outlineLevel="0" collapsed="false">
      <c r="A688" s="21" t="str">
        <f aca="false">IF(B688="","",ROW()-4)</f>
        <v/>
      </c>
      <c r="B688" s="22"/>
      <c r="C688" s="21" t="str">
        <f aca="false">IF(B688="","",CHOOSE(WEEKDAY(B688,2),"LUNES","MARTES","MIÉRCOLES","JUEVES","VIERNES","SÁBADO","DOMINGO"))</f>
        <v/>
      </c>
      <c r="M688" s="23"/>
      <c r="Q688" s="21" t="str">
        <f aca="false">IF(OR(K688="",N688=""),"",K688-N688)</f>
        <v/>
      </c>
      <c r="R688" s="21" t="str">
        <f aca="false">IF(OR(J688="",K688=""),"",J688*K688)</f>
        <v/>
      </c>
      <c r="S688" s="21" t="str">
        <f aca="false">IF(AND(ISNUMBER(J688),ISNUMBER(K688),F688&lt;&gt;"Calentamiento",F688&lt;&gt;"Bilbo"),IF(AND(K688&gt;0,K688&lt;=12),ROUND(J688*(1+(K688+IF(ISNUMBER(L688),L688,0))/30),1),""),"")</f>
        <v/>
      </c>
      <c r="T688" s="21" t="str">
        <f aca="false">IF(AND(F688="Bilbo",ISNUMBER(J688),ISNUMBER(K688)),ROUND(J688*(1+K688/30),1),"")</f>
        <v/>
      </c>
      <c r="W688" s="22"/>
      <c r="X688" s="21" t="str">
        <f aca="false">IF(AND(F688="Bilbo",E688&lt;&gt;"",G688&lt;&gt;"",H688&lt;&gt;""),E688&amp;"|"&amp;G688&amp;"|"&amp;H688,"")</f>
        <v/>
      </c>
      <c r="Y688" s="21" t="str">
        <f aca="false">IF(B688="","",IF(B688&lt;&gt;B687,1,0))</f>
        <v/>
      </c>
    </row>
    <row r="689" customFormat="false" ht="15" hidden="false" customHeight="true" outlineLevel="0" collapsed="false">
      <c r="A689" s="21" t="str">
        <f aca="false">IF(B689="","",ROW()-4)</f>
        <v/>
      </c>
      <c r="B689" s="22"/>
      <c r="C689" s="21" t="str">
        <f aca="false">IF(B689="","",CHOOSE(WEEKDAY(B689,2),"LUNES","MARTES","MIÉRCOLES","JUEVES","VIERNES","SÁBADO","DOMINGO"))</f>
        <v/>
      </c>
      <c r="M689" s="23"/>
      <c r="Q689" s="21" t="str">
        <f aca="false">IF(OR(K689="",N689=""),"",K689-N689)</f>
        <v/>
      </c>
      <c r="R689" s="21" t="str">
        <f aca="false">IF(OR(J689="",K689=""),"",J689*K689)</f>
        <v/>
      </c>
      <c r="S689" s="21" t="str">
        <f aca="false">IF(AND(ISNUMBER(J689),ISNUMBER(K689),F689&lt;&gt;"Calentamiento",F689&lt;&gt;"Bilbo"),IF(AND(K689&gt;0,K689&lt;=12),ROUND(J689*(1+(K689+IF(ISNUMBER(L689),L689,0))/30),1),""),"")</f>
        <v/>
      </c>
      <c r="T689" s="21" t="str">
        <f aca="false">IF(AND(F689="Bilbo",ISNUMBER(J689),ISNUMBER(K689)),ROUND(J689*(1+K689/30),1),"")</f>
        <v/>
      </c>
      <c r="W689" s="22"/>
      <c r="X689" s="21" t="str">
        <f aca="false">IF(AND(F689="Bilbo",E689&lt;&gt;"",G689&lt;&gt;"",H689&lt;&gt;""),E689&amp;"|"&amp;G689&amp;"|"&amp;H689,"")</f>
        <v/>
      </c>
      <c r="Y689" s="21" t="str">
        <f aca="false">IF(B689="","",IF(B689&lt;&gt;B688,1,0))</f>
        <v/>
      </c>
    </row>
    <row r="690" customFormat="false" ht="15" hidden="false" customHeight="true" outlineLevel="0" collapsed="false">
      <c r="A690" s="21" t="str">
        <f aca="false">IF(B690="","",ROW()-4)</f>
        <v/>
      </c>
      <c r="B690" s="22"/>
      <c r="C690" s="21" t="str">
        <f aca="false">IF(B690="","",CHOOSE(WEEKDAY(B690,2),"LUNES","MARTES","MIÉRCOLES","JUEVES","VIERNES","SÁBADO","DOMINGO"))</f>
        <v/>
      </c>
      <c r="M690" s="23"/>
      <c r="Q690" s="21" t="str">
        <f aca="false">IF(OR(K690="",N690=""),"",K690-N690)</f>
        <v/>
      </c>
      <c r="R690" s="21" t="str">
        <f aca="false">IF(OR(J690="",K690=""),"",J690*K690)</f>
        <v/>
      </c>
      <c r="S690" s="21" t="str">
        <f aca="false">IF(AND(ISNUMBER(J690),ISNUMBER(K690),F690&lt;&gt;"Calentamiento",F690&lt;&gt;"Bilbo"),IF(AND(K690&gt;0,K690&lt;=12),ROUND(J690*(1+(K690+IF(ISNUMBER(L690),L690,0))/30),1),""),"")</f>
        <v/>
      </c>
      <c r="T690" s="21" t="str">
        <f aca="false">IF(AND(F690="Bilbo",ISNUMBER(J690),ISNUMBER(K690)),ROUND(J690*(1+K690/30),1),"")</f>
        <v/>
      </c>
      <c r="W690" s="22"/>
      <c r="X690" s="21" t="str">
        <f aca="false">IF(AND(F690="Bilbo",E690&lt;&gt;"",G690&lt;&gt;"",H690&lt;&gt;""),E690&amp;"|"&amp;G690&amp;"|"&amp;H690,"")</f>
        <v/>
      </c>
      <c r="Y690" s="21" t="str">
        <f aca="false">IF(B690="","",IF(B690&lt;&gt;B689,1,0))</f>
        <v/>
      </c>
    </row>
    <row r="691" customFormat="false" ht="15" hidden="false" customHeight="true" outlineLevel="0" collapsed="false">
      <c r="A691" s="21" t="str">
        <f aca="false">IF(B691="","",ROW()-4)</f>
        <v/>
      </c>
      <c r="B691" s="22"/>
      <c r="C691" s="21" t="str">
        <f aca="false">IF(B691="","",CHOOSE(WEEKDAY(B691,2),"LUNES","MARTES","MIÉRCOLES","JUEVES","VIERNES","SÁBADO","DOMINGO"))</f>
        <v/>
      </c>
      <c r="M691" s="23"/>
      <c r="Q691" s="21" t="str">
        <f aca="false">IF(OR(K691="",N691=""),"",K691-N691)</f>
        <v/>
      </c>
      <c r="R691" s="21" t="str">
        <f aca="false">IF(OR(J691="",K691=""),"",J691*K691)</f>
        <v/>
      </c>
      <c r="S691" s="21" t="str">
        <f aca="false">IF(AND(ISNUMBER(J691),ISNUMBER(K691),F691&lt;&gt;"Calentamiento",F691&lt;&gt;"Bilbo"),IF(AND(K691&gt;0,K691&lt;=12),ROUND(J691*(1+(K691+IF(ISNUMBER(L691),L691,0))/30),1),""),"")</f>
        <v/>
      </c>
      <c r="T691" s="21" t="str">
        <f aca="false">IF(AND(F691="Bilbo",ISNUMBER(J691),ISNUMBER(K691)),ROUND(J691*(1+K691/30),1),"")</f>
        <v/>
      </c>
      <c r="W691" s="22"/>
      <c r="X691" s="21" t="str">
        <f aca="false">IF(AND(F691="Bilbo",E691&lt;&gt;"",G691&lt;&gt;"",H691&lt;&gt;""),E691&amp;"|"&amp;G691&amp;"|"&amp;H691,"")</f>
        <v/>
      </c>
      <c r="Y691" s="21" t="str">
        <f aca="false">IF(B691="","",IF(B691&lt;&gt;B690,1,0))</f>
        <v/>
      </c>
    </row>
    <row r="692" customFormat="false" ht="15" hidden="false" customHeight="true" outlineLevel="0" collapsed="false">
      <c r="A692" s="21" t="str">
        <f aca="false">IF(B692="","",ROW()-4)</f>
        <v/>
      </c>
      <c r="B692" s="22"/>
      <c r="C692" s="21" t="str">
        <f aca="false">IF(B692="","",CHOOSE(WEEKDAY(B692,2),"LUNES","MARTES","MIÉRCOLES","JUEVES","VIERNES","SÁBADO","DOMINGO"))</f>
        <v/>
      </c>
      <c r="M692" s="23"/>
      <c r="Q692" s="21" t="str">
        <f aca="false">IF(OR(K692="",N692=""),"",K692-N692)</f>
        <v/>
      </c>
      <c r="R692" s="21" t="str">
        <f aca="false">IF(OR(J692="",K692=""),"",J692*K692)</f>
        <v/>
      </c>
      <c r="S692" s="21" t="str">
        <f aca="false">IF(AND(ISNUMBER(J692),ISNUMBER(K692),F692&lt;&gt;"Calentamiento",F692&lt;&gt;"Bilbo"),IF(AND(K692&gt;0,K692&lt;=12),ROUND(J692*(1+(K692+IF(ISNUMBER(L692),L692,0))/30),1),""),"")</f>
        <v/>
      </c>
      <c r="T692" s="21" t="str">
        <f aca="false">IF(AND(F692="Bilbo",ISNUMBER(J692),ISNUMBER(K692)),ROUND(J692*(1+K692/30),1),"")</f>
        <v/>
      </c>
      <c r="W692" s="22"/>
      <c r="X692" s="21" t="str">
        <f aca="false">IF(AND(F692="Bilbo",E692&lt;&gt;"",G692&lt;&gt;"",H692&lt;&gt;""),E692&amp;"|"&amp;G692&amp;"|"&amp;H692,"")</f>
        <v/>
      </c>
      <c r="Y692" s="21" t="str">
        <f aca="false">IF(B692="","",IF(B692&lt;&gt;B691,1,0))</f>
        <v/>
      </c>
    </row>
    <row r="693" customFormat="false" ht="15" hidden="false" customHeight="true" outlineLevel="0" collapsed="false">
      <c r="A693" s="21" t="str">
        <f aca="false">IF(B693="","",ROW()-4)</f>
        <v/>
      </c>
      <c r="B693" s="22"/>
      <c r="C693" s="21" t="str">
        <f aca="false">IF(B693="","",CHOOSE(WEEKDAY(B693,2),"LUNES","MARTES","MIÉRCOLES","JUEVES","VIERNES","SÁBADO","DOMINGO"))</f>
        <v/>
      </c>
      <c r="M693" s="23"/>
      <c r="Q693" s="21" t="str">
        <f aca="false">IF(OR(K693="",N693=""),"",K693-N693)</f>
        <v/>
      </c>
      <c r="R693" s="21" t="str">
        <f aca="false">IF(OR(J693="",K693=""),"",J693*K693)</f>
        <v/>
      </c>
      <c r="S693" s="21" t="str">
        <f aca="false">IF(AND(ISNUMBER(J693),ISNUMBER(K693),F693&lt;&gt;"Calentamiento",F693&lt;&gt;"Bilbo"),IF(AND(K693&gt;0,K693&lt;=12),ROUND(J693*(1+(K693+IF(ISNUMBER(L693),L693,0))/30),1),""),"")</f>
        <v/>
      </c>
      <c r="T693" s="21" t="str">
        <f aca="false">IF(AND(F693="Bilbo",ISNUMBER(J693),ISNUMBER(K693)),ROUND(J693*(1+K693/30),1),"")</f>
        <v/>
      </c>
      <c r="W693" s="22"/>
      <c r="X693" s="21" t="str">
        <f aca="false">IF(AND(F693="Bilbo",E693&lt;&gt;"",G693&lt;&gt;"",H693&lt;&gt;""),E693&amp;"|"&amp;G693&amp;"|"&amp;H693,"")</f>
        <v/>
      </c>
      <c r="Y693" s="21" t="str">
        <f aca="false">IF(B693="","",IF(B693&lt;&gt;B692,1,0))</f>
        <v/>
      </c>
    </row>
    <row r="694" customFormat="false" ht="15" hidden="false" customHeight="true" outlineLevel="0" collapsed="false">
      <c r="A694" s="21" t="str">
        <f aca="false">IF(B694="","",ROW()-4)</f>
        <v/>
      </c>
      <c r="B694" s="22"/>
      <c r="C694" s="21" t="str">
        <f aca="false">IF(B694="","",CHOOSE(WEEKDAY(B694,2),"LUNES","MARTES","MIÉRCOLES","JUEVES","VIERNES","SÁBADO","DOMINGO"))</f>
        <v/>
      </c>
      <c r="M694" s="23"/>
      <c r="Q694" s="21" t="str">
        <f aca="false">IF(OR(K694="",N694=""),"",K694-N694)</f>
        <v/>
      </c>
      <c r="R694" s="21" t="str">
        <f aca="false">IF(OR(J694="",K694=""),"",J694*K694)</f>
        <v/>
      </c>
      <c r="S694" s="21" t="str">
        <f aca="false">IF(AND(ISNUMBER(J694),ISNUMBER(K694),F694&lt;&gt;"Calentamiento",F694&lt;&gt;"Bilbo"),IF(AND(K694&gt;0,K694&lt;=12),ROUND(J694*(1+(K694+IF(ISNUMBER(L694),L694,0))/30),1),""),"")</f>
        <v/>
      </c>
      <c r="T694" s="21" t="str">
        <f aca="false">IF(AND(F694="Bilbo",ISNUMBER(J694),ISNUMBER(K694)),ROUND(J694*(1+K694/30),1),"")</f>
        <v/>
      </c>
      <c r="W694" s="22"/>
      <c r="X694" s="21" t="str">
        <f aca="false">IF(AND(F694="Bilbo",E694&lt;&gt;"",G694&lt;&gt;"",H694&lt;&gt;""),E694&amp;"|"&amp;G694&amp;"|"&amp;H694,"")</f>
        <v/>
      </c>
      <c r="Y694" s="21" t="str">
        <f aca="false">IF(B694="","",IF(B694&lt;&gt;B693,1,0))</f>
        <v/>
      </c>
    </row>
    <row r="695" customFormat="false" ht="15" hidden="false" customHeight="true" outlineLevel="0" collapsed="false">
      <c r="A695" s="21" t="str">
        <f aca="false">IF(B695="","",ROW()-4)</f>
        <v/>
      </c>
      <c r="B695" s="22"/>
      <c r="C695" s="21" t="str">
        <f aca="false">IF(B695="","",CHOOSE(WEEKDAY(B695,2),"LUNES","MARTES","MIÉRCOLES","JUEVES","VIERNES","SÁBADO","DOMINGO"))</f>
        <v/>
      </c>
      <c r="M695" s="23"/>
      <c r="Q695" s="21" t="str">
        <f aca="false">IF(OR(K695="",N695=""),"",K695-N695)</f>
        <v/>
      </c>
      <c r="R695" s="21" t="str">
        <f aca="false">IF(OR(J695="",K695=""),"",J695*K695)</f>
        <v/>
      </c>
      <c r="S695" s="21" t="str">
        <f aca="false">IF(AND(ISNUMBER(J695),ISNUMBER(K695),F695&lt;&gt;"Calentamiento",F695&lt;&gt;"Bilbo"),IF(AND(K695&gt;0,K695&lt;=12),ROUND(J695*(1+(K695+IF(ISNUMBER(L695),L695,0))/30),1),""),"")</f>
        <v/>
      </c>
      <c r="T695" s="21" t="str">
        <f aca="false">IF(AND(F695="Bilbo",ISNUMBER(J695),ISNUMBER(K695)),ROUND(J695*(1+K695/30),1),"")</f>
        <v/>
      </c>
      <c r="W695" s="22"/>
      <c r="X695" s="21" t="str">
        <f aca="false">IF(AND(F695="Bilbo",E695&lt;&gt;"",G695&lt;&gt;"",H695&lt;&gt;""),E695&amp;"|"&amp;G695&amp;"|"&amp;H695,"")</f>
        <v/>
      </c>
      <c r="Y695" s="21" t="str">
        <f aca="false">IF(B695="","",IF(B695&lt;&gt;B694,1,0))</f>
        <v/>
      </c>
    </row>
    <row r="696" customFormat="false" ht="15" hidden="false" customHeight="true" outlineLevel="0" collapsed="false">
      <c r="A696" s="21" t="str">
        <f aca="false">IF(B696="","",ROW()-4)</f>
        <v/>
      </c>
      <c r="B696" s="22"/>
      <c r="C696" s="21" t="str">
        <f aca="false">IF(B696="","",CHOOSE(WEEKDAY(B696,2),"LUNES","MARTES","MIÉRCOLES","JUEVES","VIERNES","SÁBADO","DOMINGO"))</f>
        <v/>
      </c>
      <c r="M696" s="23"/>
      <c r="Q696" s="21" t="str">
        <f aca="false">IF(OR(K696="",N696=""),"",K696-N696)</f>
        <v/>
      </c>
      <c r="R696" s="21" t="str">
        <f aca="false">IF(OR(J696="",K696=""),"",J696*K696)</f>
        <v/>
      </c>
      <c r="S696" s="21" t="str">
        <f aca="false">IF(AND(ISNUMBER(J696),ISNUMBER(K696),F696&lt;&gt;"Calentamiento",F696&lt;&gt;"Bilbo"),IF(AND(K696&gt;0,K696&lt;=12),ROUND(J696*(1+(K696+IF(ISNUMBER(L696),L696,0))/30),1),""),"")</f>
        <v/>
      </c>
      <c r="T696" s="21" t="str">
        <f aca="false">IF(AND(F696="Bilbo",ISNUMBER(J696),ISNUMBER(K696)),ROUND(J696*(1+K696/30),1),"")</f>
        <v/>
      </c>
      <c r="W696" s="22"/>
      <c r="X696" s="21" t="str">
        <f aca="false">IF(AND(F696="Bilbo",E696&lt;&gt;"",G696&lt;&gt;"",H696&lt;&gt;""),E696&amp;"|"&amp;G696&amp;"|"&amp;H696,"")</f>
        <v/>
      </c>
      <c r="Y696" s="21" t="str">
        <f aca="false">IF(B696="","",IF(B696&lt;&gt;B695,1,0))</f>
        <v/>
      </c>
    </row>
    <row r="697" customFormat="false" ht="15" hidden="false" customHeight="true" outlineLevel="0" collapsed="false">
      <c r="A697" s="21" t="str">
        <f aca="false">IF(B697="","",ROW()-4)</f>
        <v/>
      </c>
      <c r="B697" s="22"/>
      <c r="C697" s="21" t="str">
        <f aca="false">IF(B697="","",CHOOSE(WEEKDAY(B697,2),"LUNES","MARTES","MIÉRCOLES","JUEVES","VIERNES","SÁBADO","DOMINGO"))</f>
        <v/>
      </c>
      <c r="M697" s="23"/>
      <c r="Q697" s="21" t="str">
        <f aca="false">IF(OR(K697="",N697=""),"",K697-N697)</f>
        <v/>
      </c>
      <c r="R697" s="21" t="str">
        <f aca="false">IF(OR(J697="",K697=""),"",J697*K697)</f>
        <v/>
      </c>
      <c r="S697" s="21" t="str">
        <f aca="false">IF(AND(ISNUMBER(J697),ISNUMBER(K697),F697&lt;&gt;"Calentamiento",F697&lt;&gt;"Bilbo"),IF(AND(K697&gt;0,K697&lt;=12),ROUND(J697*(1+(K697+IF(ISNUMBER(L697),L697,0))/30),1),""),"")</f>
        <v/>
      </c>
      <c r="T697" s="21" t="str">
        <f aca="false">IF(AND(F697="Bilbo",ISNUMBER(J697),ISNUMBER(K697)),ROUND(J697*(1+K697/30),1),"")</f>
        <v/>
      </c>
      <c r="W697" s="22"/>
      <c r="X697" s="21" t="str">
        <f aca="false">IF(AND(F697="Bilbo",E697&lt;&gt;"",G697&lt;&gt;"",H697&lt;&gt;""),E697&amp;"|"&amp;G697&amp;"|"&amp;H697,"")</f>
        <v/>
      </c>
      <c r="Y697" s="21" t="str">
        <f aca="false">IF(B697="","",IF(B697&lt;&gt;B696,1,0))</f>
        <v/>
      </c>
    </row>
    <row r="698" customFormat="false" ht="15" hidden="false" customHeight="true" outlineLevel="0" collapsed="false">
      <c r="A698" s="21" t="str">
        <f aca="false">IF(B698="","",ROW()-4)</f>
        <v/>
      </c>
      <c r="B698" s="22"/>
      <c r="C698" s="21" t="str">
        <f aca="false">IF(B698="","",CHOOSE(WEEKDAY(B698,2),"LUNES","MARTES","MIÉRCOLES","JUEVES","VIERNES","SÁBADO","DOMINGO"))</f>
        <v/>
      </c>
      <c r="M698" s="23"/>
      <c r="Q698" s="21" t="str">
        <f aca="false">IF(OR(K698="",N698=""),"",K698-N698)</f>
        <v/>
      </c>
      <c r="R698" s="21" t="str">
        <f aca="false">IF(OR(J698="",K698=""),"",J698*K698)</f>
        <v/>
      </c>
      <c r="S698" s="21" t="str">
        <f aca="false">IF(AND(ISNUMBER(J698),ISNUMBER(K698),F698&lt;&gt;"Calentamiento",F698&lt;&gt;"Bilbo"),IF(AND(K698&gt;0,K698&lt;=12),ROUND(J698*(1+(K698+IF(ISNUMBER(L698),L698,0))/30),1),""),"")</f>
        <v/>
      </c>
      <c r="T698" s="21" t="str">
        <f aca="false">IF(AND(F698="Bilbo",ISNUMBER(J698),ISNUMBER(K698)),ROUND(J698*(1+K698/30),1),"")</f>
        <v/>
      </c>
      <c r="W698" s="22"/>
      <c r="X698" s="21" t="str">
        <f aca="false">IF(AND(F698="Bilbo",E698&lt;&gt;"",G698&lt;&gt;"",H698&lt;&gt;""),E698&amp;"|"&amp;G698&amp;"|"&amp;H698,"")</f>
        <v/>
      </c>
      <c r="Y698" s="21" t="str">
        <f aca="false">IF(B698="","",IF(B698&lt;&gt;B697,1,0))</f>
        <v/>
      </c>
    </row>
    <row r="699" customFormat="false" ht="15" hidden="false" customHeight="true" outlineLevel="0" collapsed="false">
      <c r="A699" s="21" t="str">
        <f aca="false">IF(B699="","",ROW()-4)</f>
        <v/>
      </c>
      <c r="B699" s="22"/>
      <c r="C699" s="21" t="str">
        <f aca="false">IF(B699="","",CHOOSE(WEEKDAY(B699,2),"LUNES","MARTES","MIÉRCOLES","JUEVES","VIERNES","SÁBADO","DOMINGO"))</f>
        <v/>
      </c>
      <c r="M699" s="23"/>
      <c r="Q699" s="21" t="str">
        <f aca="false">IF(OR(K699="",N699=""),"",K699-N699)</f>
        <v/>
      </c>
      <c r="R699" s="21" t="str">
        <f aca="false">IF(OR(J699="",K699=""),"",J699*K699)</f>
        <v/>
      </c>
      <c r="S699" s="21" t="str">
        <f aca="false">IF(AND(ISNUMBER(J699),ISNUMBER(K699),F699&lt;&gt;"Calentamiento",F699&lt;&gt;"Bilbo"),IF(AND(K699&gt;0,K699&lt;=12),ROUND(J699*(1+(K699+IF(ISNUMBER(L699),L699,0))/30),1),""),"")</f>
        <v/>
      </c>
      <c r="T699" s="21" t="str">
        <f aca="false">IF(AND(F699="Bilbo",ISNUMBER(J699),ISNUMBER(K699)),ROUND(J699*(1+K699/30),1),"")</f>
        <v/>
      </c>
      <c r="W699" s="22"/>
      <c r="X699" s="21" t="str">
        <f aca="false">IF(AND(F699="Bilbo",E699&lt;&gt;"",G699&lt;&gt;"",H699&lt;&gt;""),E699&amp;"|"&amp;G699&amp;"|"&amp;H699,"")</f>
        <v/>
      </c>
      <c r="Y699" s="21" t="str">
        <f aca="false">IF(B699="","",IF(B699&lt;&gt;B698,1,0))</f>
        <v/>
      </c>
    </row>
    <row r="700" customFormat="false" ht="15" hidden="false" customHeight="true" outlineLevel="0" collapsed="false">
      <c r="A700" s="21" t="str">
        <f aca="false">IF(B700="","",ROW()-4)</f>
        <v/>
      </c>
      <c r="B700" s="22"/>
      <c r="C700" s="21" t="str">
        <f aca="false">IF(B700="","",CHOOSE(WEEKDAY(B700,2),"LUNES","MARTES","MIÉRCOLES","JUEVES","VIERNES","SÁBADO","DOMINGO"))</f>
        <v/>
      </c>
      <c r="M700" s="23"/>
      <c r="Q700" s="21" t="str">
        <f aca="false">IF(OR(K700="",N700=""),"",K700-N700)</f>
        <v/>
      </c>
      <c r="R700" s="21" t="str">
        <f aca="false">IF(OR(J700="",K700=""),"",J700*K700)</f>
        <v/>
      </c>
      <c r="S700" s="21" t="str">
        <f aca="false">IF(AND(ISNUMBER(J700),ISNUMBER(K700),F700&lt;&gt;"Calentamiento",F700&lt;&gt;"Bilbo"),IF(AND(K700&gt;0,K700&lt;=12),ROUND(J700*(1+(K700+IF(ISNUMBER(L700),L700,0))/30),1),""),"")</f>
        <v/>
      </c>
      <c r="T700" s="21" t="str">
        <f aca="false">IF(AND(F700="Bilbo",ISNUMBER(J700),ISNUMBER(K700)),ROUND(J700*(1+K700/30),1),"")</f>
        <v/>
      </c>
      <c r="W700" s="22"/>
      <c r="X700" s="21" t="str">
        <f aca="false">IF(AND(F700="Bilbo",E700&lt;&gt;"",G700&lt;&gt;"",H700&lt;&gt;""),E700&amp;"|"&amp;G700&amp;"|"&amp;H700,"")</f>
        <v/>
      </c>
      <c r="Y700" s="21" t="str">
        <f aca="false">IF(B700="","",IF(B700&lt;&gt;B699,1,0))</f>
        <v/>
      </c>
    </row>
    <row r="701" customFormat="false" ht="15" hidden="false" customHeight="true" outlineLevel="0" collapsed="false">
      <c r="A701" s="21" t="str">
        <f aca="false">IF(B701="","",ROW()-4)</f>
        <v/>
      </c>
      <c r="B701" s="22"/>
      <c r="C701" s="21" t="str">
        <f aca="false">IF(B701="","",CHOOSE(WEEKDAY(B701,2),"LUNES","MARTES","MIÉRCOLES","JUEVES","VIERNES","SÁBADO","DOMINGO"))</f>
        <v/>
      </c>
      <c r="M701" s="23"/>
      <c r="Q701" s="21" t="str">
        <f aca="false">IF(OR(K701="",N701=""),"",K701-N701)</f>
        <v/>
      </c>
      <c r="R701" s="21" t="str">
        <f aca="false">IF(OR(J701="",K701=""),"",J701*K701)</f>
        <v/>
      </c>
      <c r="S701" s="21" t="str">
        <f aca="false">IF(AND(ISNUMBER(J701),ISNUMBER(K701),F701&lt;&gt;"Calentamiento",F701&lt;&gt;"Bilbo"),IF(AND(K701&gt;0,K701&lt;=12),ROUND(J701*(1+(K701+IF(ISNUMBER(L701),L701,0))/30),1),""),"")</f>
        <v/>
      </c>
      <c r="T701" s="21" t="str">
        <f aca="false">IF(AND(F701="Bilbo",ISNUMBER(J701),ISNUMBER(K701)),ROUND(J701*(1+K701/30),1),"")</f>
        <v/>
      </c>
      <c r="W701" s="22"/>
      <c r="X701" s="21" t="str">
        <f aca="false">IF(AND(F701="Bilbo",E701&lt;&gt;"",G701&lt;&gt;"",H701&lt;&gt;""),E701&amp;"|"&amp;G701&amp;"|"&amp;H701,"")</f>
        <v/>
      </c>
      <c r="Y701" s="21" t="str">
        <f aca="false">IF(B701="","",IF(B701&lt;&gt;B700,1,0))</f>
        <v/>
      </c>
    </row>
    <row r="702" customFormat="false" ht="15" hidden="false" customHeight="true" outlineLevel="0" collapsed="false">
      <c r="A702" s="21" t="str">
        <f aca="false">IF(B702="","",ROW()-4)</f>
        <v/>
      </c>
      <c r="B702" s="22"/>
      <c r="C702" s="21" t="str">
        <f aca="false">IF(B702="","",CHOOSE(WEEKDAY(B702,2),"LUNES","MARTES","MIÉRCOLES","JUEVES","VIERNES","SÁBADO","DOMINGO"))</f>
        <v/>
      </c>
      <c r="M702" s="23"/>
      <c r="Q702" s="21" t="str">
        <f aca="false">IF(OR(K702="",N702=""),"",K702-N702)</f>
        <v/>
      </c>
      <c r="R702" s="21" t="str">
        <f aca="false">IF(OR(J702="",K702=""),"",J702*K702)</f>
        <v/>
      </c>
      <c r="S702" s="21" t="str">
        <f aca="false">IF(AND(ISNUMBER(J702),ISNUMBER(K702),F702&lt;&gt;"Calentamiento",F702&lt;&gt;"Bilbo"),IF(AND(K702&gt;0,K702&lt;=12),ROUND(J702*(1+(K702+IF(ISNUMBER(L702),L702,0))/30),1),""),"")</f>
        <v/>
      </c>
      <c r="T702" s="21" t="str">
        <f aca="false">IF(AND(F702="Bilbo",ISNUMBER(J702),ISNUMBER(K702)),ROUND(J702*(1+K702/30),1),"")</f>
        <v/>
      </c>
      <c r="W702" s="22"/>
      <c r="X702" s="21" t="str">
        <f aca="false">IF(AND(F702="Bilbo",E702&lt;&gt;"",G702&lt;&gt;"",H702&lt;&gt;""),E702&amp;"|"&amp;G702&amp;"|"&amp;H702,"")</f>
        <v/>
      </c>
      <c r="Y702" s="21" t="str">
        <f aca="false">IF(B702="","",IF(B702&lt;&gt;B701,1,0))</f>
        <v/>
      </c>
    </row>
    <row r="703" customFormat="false" ht="15" hidden="false" customHeight="true" outlineLevel="0" collapsed="false">
      <c r="A703" s="21" t="str">
        <f aca="false">IF(B703="","",ROW()-4)</f>
        <v/>
      </c>
      <c r="B703" s="22"/>
      <c r="C703" s="21" t="str">
        <f aca="false">IF(B703="","",CHOOSE(WEEKDAY(B703,2),"LUNES","MARTES","MIÉRCOLES","JUEVES","VIERNES","SÁBADO","DOMINGO"))</f>
        <v/>
      </c>
      <c r="M703" s="23"/>
      <c r="Q703" s="21" t="str">
        <f aca="false">IF(OR(K703="",N703=""),"",K703-N703)</f>
        <v/>
      </c>
      <c r="R703" s="21" t="str">
        <f aca="false">IF(OR(J703="",K703=""),"",J703*K703)</f>
        <v/>
      </c>
      <c r="S703" s="21" t="str">
        <f aca="false">IF(AND(ISNUMBER(J703),ISNUMBER(K703),F703&lt;&gt;"Calentamiento",F703&lt;&gt;"Bilbo"),IF(AND(K703&gt;0,K703&lt;=12),ROUND(J703*(1+(K703+IF(ISNUMBER(L703),L703,0))/30),1),""),"")</f>
        <v/>
      </c>
      <c r="T703" s="21" t="str">
        <f aca="false">IF(AND(F703="Bilbo",ISNUMBER(J703),ISNUMBER(K703)),ROUND(J703*(1+K703/30),1),"")</f>
        <v/>
      </c>
      <c r="W703" s="22"/>
      <c r="X703" s="21" t="str">
        <f aca="false">IF(AND(F703="Bilbo",E703&lt;&gt;"",G703&lt;&gt;"",H703&lt;&gt;""),E703&amp;"|"&amp;G703&amp;"|"&amp;H703,"")</f>
        <v/>
      </c>
      <c r="Y703" s="21" t="str">
        <f aca="false">IF(B703="","",IF(B703&lt;&gt;B702,1,0))</f>
        <v/>
      </c>
    </row>
    <row r="704" customFormat="false" ht="15" hidden="false" customHeight="true" outlineLevel="0" collapsed="false">
      <c r="A704" s="21" t="str">
        <f aca="false">IF(B704="","",ROW()-4)</f>
        <v/>
      </c>
      <c r="B704" s="22"/>
      <c r="C704" s="21" t="str">
        <f aca="false">IF(B704="","",CHOOSE(WEEKDAY(B704,2),"LUNES","MARTES","MIÉRCOLES","JUEVES","VIERNES","SÁBADO","DOMINGO"))</f>
        <v/>
      </c>
      <c r="M704" s="23"/>
      <c r="Q704" s="21" t="str">
        <f aca="false">IF(OR(K704="",N704=""),"",K704-N704)</f>
        <v/>
      </c>
      <c r="R704" s="21" t="str">
        <f aca="false">IF(OR(J704="",K704=""),"",J704*K704)</f>
        <v/>
      </c>
      <c r="S704" s="21" t="str">
        <f aca="false">IF(AND(ISNUMBER(J704),ISNUMBER(K704),F704&lt;&gt;"Calentamiento",F704&lt;&gt;"Bilbo"),IF(AND(K704&gt;0,K704&lt;=12),ROUND(J704*(1+(K704+IF(ISNUMBER(L704),L704,0))/30),1),""),"")</f>
        <v/>
      </c>
      <c r="T704" s="21" t="str">
        <f aca="false">IF(AND(F704="Bilbo",ISNUMBER(J704),ISNUMBER(K704)),ROUND(J704*(1+K704/30),1),"")</f>
        <v/>
      </c>
      <c r="W704" s="22"/>
      <c r="X704" s="21" t="str">
        <f aca="false">IF(AND(F704="Bilbo",E704&lt;&gt;"",G704&lt;&gt;"",H704&lt;&gt;""),E704&amp;"|"&amp;G704&amp;"|"&amp;H704,"")</f>
        <v/>
      </c>
      <c r="Y704" s="21" t="str">
        <f aca="false">IF(B704="","",IF(B704&lt;&gt;B703,1,0))</f>
        <v/>
      </c>
    </row>
    <row r="705" customFormat="false" ht="15" hidden="false" customHeight="true" outlineLevel="0" collapsed="false">
      <c r="A705" s="21" t="str">
        <f aca="false">IF(B705="","",ROW()-4)</f>
        <v/>
      </c>
      <c r="B705" s="22"/>
      <c r="C705" s="21" t="str">
        <f aca="false">IF(B705="","",CHOOSE(WEEKDAY(B705,2),"LUNES","MARTES","MIÉRCOLES","JUEVES","VIERNES","SÁBADO","DOMINGO"))</f>
        <v/>
      </c>
      <c r="M705" s="23"/>
      <c r="Q705" s="21" t="str">
        <f aca="false">IF(OR(K705="",N705=""),"",K705-N705)</f>
        <v/>
      </c>
      <c r="R705" s="21" t="str">
        <f aca="false">IF(OR(J705="",K705=""),"",J705*K705)</f>
        <v/>
      </c>
      <c r="S705" s="21" t="str">
        <f aca="false">IF(AND(ISNUMBER(J705),ISNUMBER(K705),F705&lt;&gt;"Calentamiento",F705&lt;&gt;"Bilbo"),IF(AND(K705&gt;0,K705&lt;=12),ROUND(J705*(1+(K705+IF(ISNUMBER(L705),L705,0))/30),1),""),"")</f>
        <v/>
      </c>
      <c r="T705" s="21" t="str">
        <f aca="false">IF(AND(F705="Bilbo",ISNUMBER(J705),ISNUMBER(K705)),ROUND(J705*(1+K705/30),1),"")</f>
        <v/>
      </c>
      <c r="W705" s="22"/>
      <c r="X705" s="21" t="str">
        <f aca="false">IF(AND(F705="Bilbo",E705&lt;&gt;"",G705&lt;&gt;"",H705&lt;&gt;""),E705&amp;"|"&amp;G705&amp;"|"&amp;H705,"")</f>
        <v/>
      </c>
      <c r="Y705" s="21" t="str">
        <f aca="false">IF(B705="","",IF(B705&lt;&gt;B704,1,0))</f>
        <v/>
      </c>
    </row>
    <row r="706" customFormat="false" ht="15" hidden="false" customHeight="true" outlineLevel="0" collapsed="false">
      <c r="A706" s="21" t="str">
        <f aca="false">IF(B706="","",ROW()-4)</f>
        <v/>
      </c>
      <c r="B706" s="22"/>
      <c r="C706" s="21" t="str">
        <f aca="false">IF(B706="","",CHOOSE(WEEKDAY(B706,2),"LUNES","MARTES","MIÉRCOLES","JUEVES","VIERNES","SÁBADO","DOMINGO"))</f>
        <v/>
      </c>
      <c r="M706" s="23"/>
      <c r="Q706" s="21" t="str">
        <f aca="false">IF(OR(K706="",N706=""),"",K706-N706)</f>
        <v/>
      </c>
      <c r="R706" s="21" t="str">
        <f aca="false">IF(OR(J706="",K706=""),"",J706*K706)</f>
        <v/>
      </c>
      <c r="S706" s="21" t="str">
        <f aca="false">IF(AND(ISNUMBER(J706),ISNUMBER(K706),F706&lt;&gt;"Calentamiento",F706&lt;&gt;"Bilbo"),IF(AND(K706&gt;0,K706&lt;=12),ROUND(J706*(1+(K706+IF(ISNUMBER(L706),L706,0))/30),1),""),"")</f>
        <v/>
      </c>
      <c r="T706" s="21" t="str">
        <f aca="false">IF(AND(F706="Bilbo",ISNUMBER(J706),ISNUMBER(K706)),ROUND(J706*(1+K706/30),1),"")</f>
        <v/>
      </c>
      <c r="W706" s="22"/>
      <c r="X706" s="21" t="str">
        <f aca="false">IF(AND(F706="Bilbo",E706&lt;&gt;"",G706&lt;&gt;"",H706&lt;&gt;""),E706&amp;"|"&amp;G706&amp;"|"&amp;H706,"")</f>
        <v/>
      </c>
      <c r="Y706" s="21" t="str">
        <f aca="false">IF(B706="","",IF(B706&lt;&gt;B705,1,0))</f>
        <v/>
      </c>
    </row>
    <row r="707" customFormat="false" ht="15" hidden="false" customHeight="true" outlineLevel="0" collapsed="false">
      <c r="A707" s="21" t="str">
        <f aca="false">IF(B707="","",ROW()-4)</f>
        <v/>
      </c>
      <c r="B707" s="22"/>
      <c r="C707" s="21" t="str">
        <f aca="false">IF(B707="","",CHOOSE(WEEKDAY(B707,2),"LUNES","MARTES","MIÉRCOLES","JUEVES","VIERNES","SÁBADO","DOMINGO"))</f>
        <v/>
      </c>
      <c r="M707" s="23"/>
      <c r="Q707" s="21" t="str">
        <f aca="false">IF(OR(K707="",N707=""),"",K707-N707)</f>
        <v/>
      </c>
      <c r="R707" s="21" t="str">
        <f aca="false">IF(OR(J707="",K707=""),"",J707*K707)</f>
        <v/>
      </c>
      <c r="S707" s="21" t="str">
        <f aca="false">IF(AND(ISNUMBER(J707),ISNUMBER(K707),F707&lt;&gt;"Calentamiento",F707&lt;&gt;"Bilbo"),IF(AND(K707&gt;0,K707&lt;=12),ROUND(J707*(1+(K707+IF(ISNUMBER(L707),L707,0))/30),1),""),"")</f>
        <v/>
      </c>
      <c r="T707" s="21" t="str">
        <f aca="false">IF(AND(F707="Bilbo",ISNUMBER(J707),ISNUMBER(K707)),ROUND(J707*(1+K707/30),1),"")</f>
        <v/>
      </c>
      <c r="W707" s="22"/>
      <c r="X707" s="21" t="str">
        <f aca="false">IF(AND(F707="Bilbo",E707&lt;&gt;"",G707&lt;&gt;"",H707&lt;&gt;""),E707&amp;"|"&amp;G707&amp;"|"&amp;H707,"")</f>
        <v/>
      </c>
      <c r="Y707" s="21" t="str">
        <f aca="false">IF(B707="","",IF(B707&lt;&gt;B706,1,0))</f>
        <v/>
      </c>
    </row>
    <row r="708" customFormat="false" ht="15" hidden="false" customHeight="true" outlineLevel="0" collapsed="false">
      <c r="A708" s="21" t="str">
        <f aca="false">IF(B708="","",ROW()-4)</f>
        <v/>
      </c>
      <c r="B708" s="22"/>
      <c r="C708" s="21" t="str">
        <f aca="false">IF(B708="","",CHOOSE(WEEKDAY(B708,2),"LUNES","MARTES","MIÉRCOLES","JUEVES","VIERNES","SÁBADO","DOMINGO"))</f>
        <v/>
      </c>
      <c r="M708" s="23"/>
      <c r="Q708" s="21" t="str">
        <f aca="false">IF(OR(K708="",N708=""),"",K708-N708)</f>
        <v/>
      </c>
      <c r="R708" s="21" t="str">
        <f aca="false">IF(OR(J708="",K708=""),"",J708*K708)</f>
        <v/>
      </c>
      <c r="S708" s="21" t="str">
        <f aca="false">IF(AND(ISNUMBER(J708),ISNUMBER(K708),F708&lt;&gt;"Calentamiento",F708&lt;&gt;"Bilbo"),IF(AND(K708&gt;0,K708&lt;=12),ROUND(J708*(1+(K708+IF(ISNUMBER(L708),L708,0))/30),1),""),"")</f>
        <v/>
      </c>
      <c r="T708" s="21" t="str">
        <f aca="false">IF(AND(F708="Bilbo",ISNUMBER(J708),ISNUMBER(K708)),ROUND(J708*(1+K708/30),1),"")</f>
        <v/>
      </c>
      <c r="W708" s="22"/>
      <c r="X708" s="21" t="str">
        <f aca="false">IF(AND(F708="Bilbo",E708&lt;&gt;"",G708&lt;&gt;"",H708&lt;&gt;""),E708&amp;"|"&amp;G708&amp;"|"&amp;H708,"")</f>
        <v/>
      </c>
      <c r="Y708" s="21" t="str">
        <f aca="false">IF(B708="","",IF(B708&lt;&gt;B707,1,0))</f>
        <v/>
      </c>
    </row>
    <row r="709" customFormat="false" ht="15" hidden="false" customHeight="true" outlineLevel="0" collapsed="false">
      <c r="A709" s="21" t="str">
        <f aca="false">IF(B709="","",ROW()-4)</f>
        <v/>
      </c>
      <c r="B709" s="22"/>
      <c r="C709" s="21" t="str">
        <f aca="false">IF(B709="","",CHOOSE(WEEKDAY(B709,2),"LUNES","MARTES","MIÉRCOLES","JUEVES","VIERNES","SÁBADO","DOMINGO"))</f>
        <v/>
      </c>
      <c r="M709" s="23"/>
      <c r="Q709" s="21" t="str">
        <f aca="false">IF(OR(K709="",N709=""),"",K709-N709)</f>
        <v/>
      </c>
      <c r="R709" s="21" t="str">
        <f aca="false">IF(OR(J709="",K709=""),"",J709*K709)</f>
        <v/>
      </c>
      <c r="S709" s="21" t="str">
        <f aca="false">IF(AND(ISNUMBER(J709),ISNUMBER(K709),F709&lt;&gt;"Calentamiento",F709&lt;&gt;"Bilbo"),IF(AND(K709&gt;0,K709&lt;=12),ROUND(J709*(1+(K709+IF(ISNUMBER(L709),L709,0))/30),1),""),"")</f>
        <v/>
      </c>
      <c r="T709" s="21" t="str">
        <f aca="false">IF(AND(F709="Bilbo",ISNUMBER(J709),ISNUMBER(K709)),ROUND(J709*(1+K709/30),1),"")</f>
        <v/>
      </c>
      <c r="W709" s="22"/>
      <c r="X709" s="21" t="str">
        <f aca="false">IF(AND(F709="Bilbo",E709&lt;&gt;"",G709&lt;&gt;"",H709&lt;&gt;""),E709&amp;"|"&amp;G709&amp;"|"&amp;H709,"")</f>
        <v/>
      </c>
      <c r="Y709" s="21" t="str">
        <f aca="false">IF(B709="","",IF(B709&lt;&gt;B708,1,0))</f>
        <v/>
      </c>
    </row>
    <row r="710" customFormat="false" ht="15" hidden="false" customHeight="true" outlineLevel="0" collapsed="false">
      <c r="A710" s="21" t="str">
        <f aca="false">IF(B710="","",ROW()-4)</f>
        <v/>
      </c>
      <c r="B710" s="22"/>
      <c r="C710" s="21" t="str">
        <f aca="false">IF(B710="","",CHOOSE(WEEKDAY(B710,2),"LUNES","MARTES","MIÉRCOLES","JUEVES","VIERNES","SÁBADO","DOMINGO"))</f>
        <v/>
      </c>
      <c r="M710" s="23"/>
      <c r="Q710" s="21" t="str">
        <f aca="false">IF(OR(K710="",N710=""),"",K710-N710)</f>
        <v/>
      </c>
      <c r="R710" s="21" t="str">
        <f aca="false">IF(OR(J710="",K710=""),"",J710*K710)</f>
        <v/>
      </c>
      <c r="S710" s="21" t="str">
        <f aca="false">IF(AND(ISNUMBER(J710),ISNUMBER(K710),F710&lt;&gt;"Calentamiento",F710&lt;&gt;"Bilbo"),IF(AND(K710&gt;0,K710&lt;=12),ROUND(J710*(1+(K710+IF(ISNUMBER(L710),L710,0))/30),1),""),"")</f>
        <v/>
      </c>
      <c r="T710" s="21" t="str">
        <f aca="false">IF(AND(F710="Bilbo",ISNUMBER(J710),ISNUMBER(K710)),ROUND(J710*(1+K710/30),1),"")</f>
        <v/>
      </c>
      <c r="W710" s="22"/>
      <c r="X710" s="21" t="str">
        <f aca="false">IF(AND(F710="Bilbo",E710&lt;&gt;"",G710&lt;&gt;"",H710&lt;&gt;""),E710&amp;"|"&amp;G710&amp;"|"&amp;H710,"")</f>
        <v/>
      </c>
      <c r="Y710" s="21" t="str">
        <f aca="false">IF(B710="","",IF(B710&lt;&gt;B709,1,0))</f>
        <v/>
      </c>
    </row>
    <row r="711" customFormat="false" ht="15" hidden="false" customHeight="true" outlineLevel="0" collapsed="false">
      <c r="A711" s="21" t="str">
        <f aca="false">IF(B711="","",ROW()-4)</f>
        <v/>
      </c>
      <c r="B711" s="22"/>
      <c r="C711" s="21" t="str">
        <f aca="false">IF(B711="","",CHOOSE(WEEKDAY(B711,2),"LUNES","MARTES","MIÉRCOLES","JUEVES","VIERNES","SÁBADO","DOMINGO"))</f>
        <v/>
      </c>
      <c r="M711" s="23"/>
      <c r="Q711" s="21" t="str">
        <f aca="false">IF(OR(K711="",N711=""),"",K711-N711)</f>
        <v/>
      </c>
      <c r="R711" s="21" t="str">
        <f aca="false">IF(OR(J711="",K711=""),"",J711*K711)</f>
        <v/>
      </c>
      <c r="S711" s="21" t="str">
        <f aca="false">IF(AND(ISNUMBER(J711),ISNUMBER(K711),F711&lt;&gt;"Calentamiento",F711&lt;&gt;"Bilbo"),IF(AND(K711&gt;0,K711&lt;=12),ROUND(J711*(1+(K711+IF(ISNUMBER(L711),L711,0))/30),1),""),"")</f>
        <v/>
      </c>
      <c r="T711" s="21" t="str">
        <f aca="false">IF(AND(F711="Bilbo",ISNUMBER(J711),ISNUMBER(K711)),ROUND(J711*(1+K711/30),1),"")</f>
        <v/>
      </c>
      <c r="W711" s="22"/>
      <c r="X711" s="21" t="str">
        <f aca="false">IF(AND(F711="Bilbo",E711&lt;&gt;"",G711&lt;&gt;"",H711&lt;&gt;""),E711&amp;"|"&amp;G711&amp;"|"&amp;H711,"")</f>
        <v/>
      </c>
      <c r="Y711" s="21" t="str">
        <f aca="false">IF(B711="","",IF(B711&lt;&gt;B710,1,0))</f>
        <v/>
      </c>
    </row>
    <row r="712" customFormat="false" ht="15" hidden="false" customHeight="true" outlineLevel="0" collapsed="false">
      <c r="A712" s="21" t="str">
        <f aca="false">IF(B712="","",ROW()-4)</f>
        <v/>
      </c>
      <c r="B712" s="22"/>
      <c r="C712" s="21" t="str">
        <f aca="false">IF(B712="","",CHOOSE(WEEKDAY(B712,2),"LUNES","MARTES","MIÉRCOLES","JUEVES","VIERNES","SÁBADO","DOMINGO"))</f>
        <v/>
      </c>
      <c r="M712" s="23"/>
      <c r="Q712" s="21" t="str">
        <f aca="false">IF(OR(K712="",N712=""),"",K712-N712)</f>
        <v/>
      </c>
      <c r="R712" s="21" t="str">
        <f aca="false">IF(OR(J712="",K712=""),"",J712*K712)</f>
        <v/>
      </c>
      <c r="S712" s="21" t="str">
        <f aca="false">IF(AND(ISNUMBER(J712),ISNUMBER(K712),F712&lt;&gt;"Calentamiento",F712&lt;&gt;"Bilbo"),IF(AND(K712&gt;0,K712&lt;=12),ROUND(J712*(1+(K712+IF(ISNUMBER(L712),L712,0))/30),1),""),"")</f>
        <v/>
      </c>
      <c r="T712" s="21" t="str">
        <f aca="false">IF(AND(F712="Bilbo",ISNUMBER(J712),ISNUMBER(K712)),ROUND(J712*(1+K712/30),1),"")</f>
        <v/>
      </c>
      <c r="W712" s="22"/>
      <c r="X712" s="21" t="str">
        <f aca="false">IF(AND(F712="Bilbo",E712&lt;&gt;"",G712&lt;&gt;"",H712&lt;&gt;""),E712&amp;"|"&amp;G712&amp;"|"&amp;H712,"")</f>
        <v/>
      </c>
      <c r="Y712" s="21" t="str">
        <f aca="false">IF(B712="","",IF(B712&lt;&gt;B711,1,0))</f>
        <v/>
      </c>
    </row>
    <row r="713" customFormat="false" ht="15" hidden="false" customHeight="true" outlineLevel="0" collapsed="false">
      <c r="A713" s="21" t="str">
        <f aca="false">IF(B713="","",ROW()-4)</f>
        <v/>
      </c>
      <c r="B713" s="22"/>
      <c r="C713" s="21" t="str">
        <f aca="false">IF(B713="","",CHOOSE(WEEKDAY(B713,2),"LUNES","MARTES","MIÉRCOLES","JUEVES","VIERNES","SÁBADO","DOMINGO"))</f>
        <v/>
      </c>
      <c r="M713" s="23"/>
      <c r="Q713" s="21" t="str">
        <f aca="false">IF(OR(K713="",N713=""),"",K713-N713)</f>
        <v/>
      </c>
      <c r="R713" s="21" t="str">
        <f aca="false">IF(OR(J713="",K713=""),"",J713*K713)</f>
        <v/>
      </c>
      <c r="S713" s="21" t="str">
        <f aca="false">IF(AND(ISNUMBER(J713),ISNUMBER(K713),F713&lt;&gt;"Calentamiento",F713&lt;&gt;"Bilbo"),IF(AND(K713&gt;0,K713&lt;=12),ROUND(J713*(1+(K713+IF(ISNUMBER(L713),L713,0))/30),1),""),"")</f>
        <v/>
      </c>
      <c r="T713" s="21" t="str">
        <f aca="false">IF(AND(F713="Bilbo",ISNUMBER(J713),ISNUMBER(K713)),ROUND(J713*(1+K713/30),1),"")</f>
        <v/>
      </c>
      <c r="W713" s="22"/>
      <c r="X713" s="21" t="str">
        <f aca="false">IF(AND(F713="Bilbo",E713&lt;&gt;"",G713&lt;&gt;"",H713&lt;&gt;""),E713&amp;"|"&amp;G713&amp;"|"&amp;H713,"")</f>
        <v/>
      </c>
      <c r="Y713" s="21" t="str">
        <f aca="false">IF(B713="","",IF(B713&lt;&gt;B712,1,0))</f>
        <v/>
      </c>
    </row>
    <row r="714" customFormat="false" ht="15" hidden="false" customHeight="true" outlineLevel="0" collapsed="false">
      <c r="A714" s="21" t="str">
        <f aca="false">IF(B714="","",ROW()-4)</f>
        <v/>
      </c>
      <c r="B714" s="22"/>
      <c r="C714" s="21" t="str">
        <f aca="false">IF(B714="","",CHOOSE(WEEKDAY(B714,2),"LUNES","MARTES","MIÉRCOLES","JUEVES","VIERNES","SÁBADO","DOMINGO"))</f>
        <v/>
      </c>
      <c r="M714" s="23"/>
      <c r="Q714" s="21" t="str">
        <f aca="false">IF(OR(K714="",N714=""),"",K714-N714)</f>
        <v/>
      </c>
      <c r="R714" s="21" t="str">
        <f aca="false">IF(OR(J714="",K714=""),"",J714*K714)</f>
        <v/>
      </c>
      <c r="S714" s="21" t="str">
        <f aca="false">IF(AND(ISNUMBER(J714),ISNUMBER(K714),F714&lt;&gt;"Calentamiento",F714&lt;&gt;"Bilbo"),IF(AND(K714&gt;0,K714&lt;=12),ROUND(J714*(1+(K714+IF(ISNUMBER(L714),L714,0))/30),1),""),"")</f>
        <v/>
      </c>
      <c r="T714" s="21" t="str">
        <f aca="false">IF(AND(F714="Bilbo",ISNUMBER(J714),ISNUMBER(K714)),ROUND(J714*(1+K714/30),1),"")</f>
        <v/>
      </c>
      <c r="W714" s="22"/>
      <c r="X714" s="21" t="str">
        <f aca="false">IF(AND(F714="Bilbo",E714&lt;&gt;"",G714&lt;&gt;"",H714&lt;&gt;""),E714&amp;"|"&amp;G714&amp;"|"&amp;H714,"")</f>
        <v/>
      </c>
      <c r="Y714" s="21" t="str">
        <f aca="false">IF(B714="","",IF(B714&lt;&gt;B713,1,0))</f>
        <v/>
      </c>
    </row>
    <row r="715" customFormat="false" ht="15" hidden="false" customHeight="true" outlineLevel="0" collapsed="false">
      <c r="A715" s="21" t="str">
        <f aca="false">IF(B715="","",ROW()-4)</f>
        <v/>
      </c>
      <c r="B715" s="22"/>
      <c r="C715" s="21" t="str">
        <f aca="false">IF(B715="","",CHOOSE(WEEKDAY(B715,2),"LUNES","MARTES","MIÉRCOLES","JUEVES","VIERNES","SÁBADO","DOMINGO"))</f>
        <v/>
      </c>
      <c r="M715" s="23"/>
      <c r="Q715" s="21" t="str">
        <f aca="false">IF(OR(K715="",N715=""),"",K715-N715)</f>
        <v/>
      </c>
      <c r="R715" s="21" t="str">
        <f aca="false">IF(OR(J715="",K715=""),"",J715*K715)</f>
        <v/>
      </c>
      <c r="S715" s="21" t="str">
        <f aca="false">IF(AND(ISNUMBER(J715),ISNUMBER(K715),F715&lt;&gt;"Calentamiento",F715&lt;&gt;"Bilbo"),IF(AND(K715&gt;0,K715&lt;=12),ROUND(J715*(1+(K715+IF(ISNUMBER(L715),L715,0))/30),1),""),"")</f>
        <v/>
      </c>
      <c r="T715" s="21" t="str">
        <f aca="false">IF(AND(F715="Bilbo",ISNUMBER(J715),ISNUMBER(K715)),ROUND(J715*(1+K715/30),1),"")</f>
        <v/>
      </c>
      <c r="W715" s="22"/>
      <c r="X715" s="21" t="str">
        <f aca="false">IF(AND(F715="Bilbo",E715&lt;&gt;"",G715&lt;&gt;"",H715&lt;&gt;""),E715&amp;"|"&amp;G715&amp;"|"&amp;H715,"")</f>
        <v/>
      </c>
      <c r="Y715" s="21" t="str">
        <f aca="false">IF(B715="","",IF(B715&lt;&gt;B714,1,0))</f>
        <v/>
      </c>
    </row>
    <row r="716" customFormat="false" ht="15" hidden="false" customHeight="true" outlineLevel="0" collapsed="false">
      <c r="A716" s="21" t="str">
        <f aca="false">IF(B716="","",ROW()-4)</f>
        <v/>
      </c>
      <c r="B716" s="22"/>
      <c r="C716" s="21" t="str">
        <f aca="false">IF(B716="","",CHOOSE(WEEKDAY(B716,2),"LUNES","MARTES","MIÉRCOLES","JUEVES","VIERNES","SÁBADO","DOMINGO"))</f>
        <v/>
      </c>
      <c r="M716" s="23"/>
      <c r="Q716" s="21" t="str">
        <f aca="false">IF(OR(K716="",N716=""),"",K716-N716)</f>
        <v/>
      </c>
      <c r="R716" s="21" t="str">
        <f aca="false">IF(OR(J716="",K716=""),"",J716*K716)</f>
        <v/>
      </c>
      <c r="S716" s="21" t="str">
        <f aca="false">IF(AND(ISNUMBER(J716),ISNUMBER(K716),F716&lt;&gt;"Calentamiento",F716&lt;&gt;"Bilbo"),IF(AND(K716&gt;0,K716&lt;=12),ROUND(J716*(1+(K716+IF(ISNUMBER(L716),L716,0))/30),1),""),"")</f>
        <v/>
      </c>
      <c r="T716" s="21" t="str">
        <f aca="false">IF(AND(F716="Bilbo",ISNUMBER(J716),ISNUMBER(K716)),ROUND(J716*(1+K716/30),1),"")</f>
        <v/>
      </c>
      <c r="W716" s="22"/>
      <c r="X716" s="21" t="str">
        <f aca="false">IF(AND(F716="Bilbo",E716&lt;&gt;"",G716&lt;&gt;"",H716&lt;&gt;""),E716&amp;"|"&amp;G716&amp;"|"&amp;H716,"")</f>
        <v/>
      </c>
      <c r="Y716" s="21" t="str">
        <f aca="false">IF(B716="","",IF(B716&lt;&gt;B715,1,0))</f>
        <v/>
      </c>
    </row>
    <row r="717" customFormat="false" ht="15" hidden="false" customHeight="true" outlineLevel="0" collapsed="false">
      <c r="A717" s="21" t="str">
        <f aca="false">IF(B717="","",ROW()-4)</f>
        <v/>
      </c>
      <c r="B717" s="22"/>
      <c r="C717" s="21" t="str">
        <f aca="false">IF(B717="","",CHOOSE(WEEKDAY(B717,2),"LUNES","MARTES","MIÉRCOLES","JUEVES","VIERNES","SÁBADO","DOMINGO"))</f>
        <v/>
      </c>
      <c r="M717" s="23"/>
      <c r="Q717" s="21" t="str">
        <f aca="false">IF(OR(K717="",N717=""),"",K717-N717)</f>
        <v/>
      </c>
      <c r="R717" s="21" t="str">
        <f aca="false">IF(OR(J717="",K717=""),"",J717*K717)</f>
        <v/>
      </c>
      <c r="S717" s="21" t="str">
        <f aca="false">IF(AND(ISNUMBER(J717),ISNUMBER(K717),F717&lt;&gt;"Calentamiento",F717&lt;&gt;"Bilbo"),IF(AND(K717&gt;0,K717&lt;=12),ROUND(J717*(1+(K717+IF(ISNUMBER(L717),L717,0))/30),1),""),"")</f>
        <v/>
      </c>
      <c r="T717" s="21" t="str">
        <f aca="false">IF(AND(F717="Bilbo",ISNUMBER(J717),ISNUMBER(K717)),ROUND(J717*(1+K717/30),1),"")</f>
        <v/>
      </c>
      <c r="W717" s="22"/>
      <c r="X717" s="21" t="str">
        <f aca="false">IF(AND(F717="Bilbo",E717&lt;&gt;"",G717&lt;&gt;"",H717&lt;&gt;""),E717&amp;"|"&amp;G717&amp;"|"&amp;H717,"")</f>
        <v/>
      </c>
      <c r="Y717" s="21" t="str">
        <f aca="false">IF(B717="","",IF(B717&lt;&gt;B716,1,0))</f>
        <v/>
      </c>
    </row>
    <row r="718" customFormat="false" ht="15" hidden="false" customHeight="true" outlineLevel="0" collapsed="false">
      <c r="A718" s="21" t="str">
        <f aca="false">IF(B718="","",ROW()-4)</f>
        <v/>
      </c>
      <c r="B718" s="22"/>
      <c r="C718" s="21" t="str">
        <f aca="false">IF(B718="","",CHOOSE(WEEKDAY(B718,2),"LUNES","MARTES","MIÉRCOLES","JUEVES","VIERNES","SÁBADO","DOMINGO"))</f>
        <v/>
      </c>
      <c r="M718" s="23"/>
      <c r="Q718" s="21" t="str">
        <f aca="false">IF(OR(K718="",N718=""),"",K718-N718)</f>
        <v/>
      </c>
      <c r="R718" s="21" t="str">
        <f aca="false">IF(OR(J718="",K718=""),"",J718*K718)</f>
        <v/>
      </c>
      <c r="S718" s="21" t="str">
        <f aca="false">IF(AND(ISNUMBER(J718),ISNUMBER(K718),F718&lt;&gt;"Calentamiento",F718&lt;&gt;"Bilbo"),IF(AND(K718&gt;0,K718&lt;=12),ROUND(J718*(1+(K718+IF(ISNUMBER(L718),L718,0))/30),1),""),"")</f>
        <v/>
      </c>
      <c r="T718" s="21" t="str">
        <f aca="false">IF(AND(F718="Bilbo",ISNUMBER(J718),ISNUMBER(K718)),ROUND(J718*(1+K718/30),1),"")</f>
        <v/>
      </c>
      <c r="W718" s="22"/>
      <c r="X718" s="21" t="str">
        <f aca="false">IF(AND(F718="Bilbo",E718&lt;&gt;"",G718&lt;&gt;"",H718&lt;&gt;""),E718&amp;"|"&amp;G718&amp;"|"&amp;H718,"")</f>
        <v/>
      </c>
      <c r="Y718" s="21" t="str">
        <f aca="false">IF(B718="","",IF(B718&lt;&gt;B717,1,0))</f>
        <v/>
      </c>
    </row>
    <row r="719" customFormat="false" ht="15" hidden="false" customHeight="true" outlineLevel="0" collapsed="false">
      <c r="A719" s="21" t="str">
        <f aca="false">IF(B719="","",ROW()-4)</f>
        <v/>
      </c>
      <c r="B719" s="22"/>
      <c r="C719" s="21" t="str">
        <f aca="false">IF(B719="","",CHOOSE(WEEKDAY(B719,2),"LUNES","MARTES","MIÉRCOLES","JUEVES","VIERNES","SÁBADO","DOMINGO"))</f>
        <v/>
      </c>
      <c r="M719" s="23"/>
      <c r="Q719" s="21" t="str">
        <f aca="false">IF(OR(K719="",N719=""),"",K719-N719)</f>
        <v/>
      </c>
      <c r="R719" s="21" t="str">
        <f aca="false">IF(OR(J719="",K719=""),"",J719*K719)</f>
        <v/>
      </c>
      <c r="S719" s="21" t="str">
        <f aca="false">IF(AND(ISNUMBER(J719),ISNUMBER(K719),F719&lt;&gt;"Calentamiento",F719&lt;&gt;"Bilbo"),IF(AND(K719&gt;0,K719&lt;=12),ROUND(J719*(1+(K719+IF(ISNUMBER(L719),L719,0))/30),1),""),"")</f>
        <v/>
      </c>
      <c r="T719" s="21" t="str">
        <f aca="false">IF(AND(F719="Bilbo",ISNUMBER(J719),ISNUMBER(K719)),ROUND(J719*(1+K719/30),1),"")</f>
        <v/>
      </c>
      <c r="W719" s="22"/>
      <c r="X719" s="21" t="str">
        <f aca="false">IF(AND(F719="Bilbo",E719&lt;&gt;"",G719&lt;&gt;"",H719&lt;&gt;""),E719&amp;"|"&amp;G719&amp;"|"&amp;H719,"")</f>
        <v/>
      </c>
      <c r="Y719" s="21" t="str">
        <f aca="false">IF(B719="","",IF(B719&lt;&gt;B718,1,0))</f>
        <v/>
      </c>
    </row>
    <row r="720" customFormat="false" ht="15" hidden="false" customHeight="true" outlineLevel="0" collapsed="false">
      <c r="A720" s="21" t="str">
        <f aca="false">IF(B720="","",ROW()-4)</f>
        <v/>
      </c>
      <c r="B720" s="22"/>
      <c r="C720" s="21" t="str">
        <f aca="false">IF(B720="","",CHOOSE(WEEKDAY(B720,2),"LUNES","MARTES","MIÉRCOLES","JUEVES","VIERNES","SÁBADO","DOMINGO"))</f>
        <v/>
      </c>
      <c r="M720" s="23"/>
      <c r="Q720" s="21" t="str">
        <f aca="false">IF(OR(K720="",N720=""),"",K720-N720)</f>
        <v/>
      </c>
      <c r="R720" s="21" t="str">
        <f aca="false">IF(OR(J720="",K720=""),"",J720*K720)</f>
        <v/>
      </c>
      <c r="S720" s="21" t="str">
        <f aca="false">IF(AND(ISNUMBER(J720),ISNUMBER(K720),F720&lt;&gt;"Calentamiento",F720&lt;&gt;"Bilbo"),IF(AND(K720&gt;0,K720&lt;=12),ROUND(J720*(1+(K720+IF(ISNUMBER(L720),L720,0))/30),1),""),"")</f>
        <v/>
      </c>
      <c r="T720" s="21" t="str">
        <f aca="false">IF(AND(F720="Bilbo",ISNUMBER(J720),ISNUMBER(K720)),ROUND(J720*(1+K720/30),1),"")</f>
        <v/>
      </c>
      <c r="W720" s="22"/>
      <c r="X720" s="21" t="str">
        <f aca="false">IF(AND(F720="Bilbo",E720&lt;&gt;"",G720&lt;&gt;"",H720&lt;&gt;""),E720&amp;"|"&amp;G720&amp;"|"&amp;H720,"")</f>
        <v/>
      </c>
      <c r="Y720" s="21" t="str">
        <f aca="false">IF(B720="","",IF(B720&lt;&gt;B719,1,0))</f>
        <v/>
      </c>
    </row>
    <row r="721" customFormat="false" ht="15" hidden="false" customHeight="true" outlineLevel="0" collapsed="false">
      <c r="A721" s="21" t="str">
        <f aca="false">IF(B721="","",ROW()-4)</f>
        <v/>
      </c>
      <c r="B721" s="22"/>
      <c r="C721" s="21" t="str">
        <f aca="false">IF(B721="","",CHOOSE(WEEKDAY(B721,2),"LUNES","MARTES","MIÉRCOLES","JUEVES","VIERNES","SÁBADO","DOMINGO"))</f>
        <v/>
      </c>
      <c r="M721" s="23"/>
      <c r="Q721" s="21" t="str">
        <f aca="false">IF(OR(K721="",N721=""),"",K721-N721)</f>
        <v/>
      </c>
      <c r="R721" s="21" t="str">
        <f aca="false">IF(OR(J721="",K721=""),"",J721*K721)</f>
        <v/>
      </c>
      <c r="S721" s="21" t="str">
        <f aca="false">IF(AND(ISNUMBER(J721),ISNUMBER(K721),F721&lt;&gt;"Calentamiento",F721&lt;&gt;"Bilbo"),IF(AND(K721&gt;0,K721&lt;=12),ROUND(J721*(1+(K721+IF(ISNUMBER(L721),L721,0))/30),1),""),"")</f>
        <v/>
      </c>
      <c r="T721" s="21" t="str">
        <f aca="false">IF(AND(F721="Bilbo",ISNUMBER(J721),ISNUMBER(K721)),ROUND(J721*(1+K721/30),1),"")</f>
        <v/>
      </c>
      <c r="W721" s="22"/>
      <c r="X721" s="21" t="str">
        <f aca="false">IF(AND(F721="Bilbo",E721&lt;&gt;"",G721&lt;&gt;"",H721&lt;&gt;""),E721&amp;"|"&amp;G721&amp;"|"&amp;H721,"")</f>
        <v/>
      </c>
      <c r="Y721" s="21" t="str">
        <f aca="false">IF(B721="","",IF(B721&lt;&gt;B720,1,0))</f>
        <v/>
      </c>
    </row>
    <row r="722" customFormat="false" ht="15" hidden="false" customHeight="true" outlineLevel="0" collapsed="false">
      <c r="A722" s="21" t="str">
        <f aca="false">IF(B722="","",ROW()-4)</f>
        <v/>
      </c>
      <c r="B722" s="22"/>
      <c r="C722" s="21" t="str">
        <f aca="false">IF(B722="","",CHOOSE(WEEKDAY(B722,2),"LUNES","MARTES","MIÉRCOLES","JUEVES","VIERNES","SÁBADO","DOMINGO"))</f>
        <v/>
      </c>
      <c r="M722" s="23"/>
      <c r="Q722" s="21" t="str">
        <f aca="false">IF(OR(K722="",N722=""),"",K722-N722)</f>
        <v/>
      </c>
      <c r="R722" s="21" t="str">
        <f aca="false">IF(OR(J722="",K722=""),"",J722*K722)</f>
        <v/>
      </c>
      <c r="S722" s="21" t="str">
        <f aca="false">IF(AND(ISNUMBER(J722),ISNUMBER(K722),F722&lt;&gt;"Calentamiento",F722&lt;&gt;"Bilbo"),IF(AND(K722&gt;0,K722&lt;=12),ROUND(J722*(1+(K722+IF(ISNUMBER(L722),L722,0))/30),1),""),"")</f>
        <v/>
      </c>
      <c r="T722" s="21" t="str">
        <f aca="false">IF(AND(F722="Bilbo",ISNUMBER(J722),ISNUMBER(K722)),ROUND(J722*(1+K722/30),1),"")</f>
        <v/>
      </c>
      <c r="W722" s="22"/>
      <c r="X722" s="21" t="str">
        <f aca="false">IF(AND(F722="Bilbo",E722&lt;&gt;"",G722&lt;&gt;"",H722&lt;&gt;""),E722&amp;"|"&amp;G722&amp;"|"&amp;H722,"")</f>
        <v/>
      </c>
      <c r="Y722" s="21" t="str">
        <f aca="false">IF(B722="","",IF(B722&lt;&gt;B721,1,0))</f>
        <v/>
      </c>
    </row>
    <row r="723" customFormat="false" ht="15" hidden="false" customHeight="true" outlineLevel="0" collapsed="false">
      <c r="A723" s="21" t="str">
        <f aca="false">IF(B723="","",ROW()-4)</f>
        <v/>
      </c>
      <c r="B723" s="22"/>
      <c r="C723" s="21" t="str">
        <f aca="false">IF(B723="","",CHOOSE(WEEKDAY(B723,2),"LUNES","MARTES","MIÉRCOLES","JUEVES","VIERNES","SÁBADO","DOMINGO"))</f>
        <v/>
      </c>
      <c r="M723" s="23"/>
      <c r="Q723" s="21" t="str">
        <f aca="false">IF(OR(K723="",N723=""),"",K723-N723)</f>
        <v/>
      </c>
      <c r="R723" s="21" t="str">
        <f aca="false">IF(OR(J723="",K723=""),"",J723*K723)</f>
        <v/>
      </c>
      <c r="S723" s="21" t="str">
        <f aca="false">IF(AND(ISNUMBER(J723),ISNUMBER(K723),F723&lt;&gt;"Calentamiento",F723&lt;&gt;"Bilbo"),IF(AND(K723&gt;0,K723&lt;=12),ROUND(J723*(1+(K723+IF(ISNUMBER(L723),L723,0))/30),1),""),"")</f>
        <v/>
      </c>
      <c r="T723" s="21" t="str">
        <f aca="false">IF(AND(F723="Bilbo",ISNUMBER(J723),ISNUMBER(K723)),ROUND(J723*(1+K723/30),1),"")</f>
        <v/>
      </c>
      <c r="W723" s="22"/>
      <c r="X723" s="21" t="str">
        <f aca="false">IF(AND(F723="Bilbo",E723&lt;&gt;"",G723&lt;&gt;"",H723&lt;&gt;""),E723&amp;"|"&amp;G723&amp;"|"&amp;H723,"")</f>
        <v/>
      </c>
      <c r="Y723" s="21" t="str">
        <f aca="false">IF(B723="","",IF(B723&lt;&gt;B722,1,0))</f>
        <v/>
      </c>
    </row>
    <row r="724" customFormat="false" ht="15" hidden="false" customHeight="true" outlineLevel="0" collapsed="false">
      <c r="A724" s="21" t="str">
        <f aca="false">IF(B724="","",ROW()-4)</f>
        <v/>
      </c>
      <c r="B724" s="22"/>
      <c r="C724" s="21" t="str">
        <f aca="false">IF(B724="","",CHOOSE(WEEKDAY(B724,2),"LUNES","MARTES","MIÉRCOLES","JUEVES","VIERNES","SÁBADO","DOMINGO"))</f>
        <v/>
      </c>
      <c r="M724" s="23"/>
      <c r="Q724" s="21" t="str">
        <f aca="false">IF(OR(K724="",N724=""),"",K724-N724)</f>
        <v/>
      </c>
      <c r="R724" s="21" t="str">
        <f aca="false">IF(OR(J724="",K724=""),"",J724*K724)</f>
        <v/>
      </c>
      <c r="S724" s="21" t="str">
        <f aca="false">IF(AND(ISNUMBER(J724),ISNUMBER(K724),F724&lt;&gt;"Calentamiento",F724&lt;&gt;"Bilbo"),IF(AND(K724&gt;0,K724&lt;=12),ROUND(J724*(1+(K724+IF(ISNUMBER(L724),L724,0))/30),1),""),"")</f>
        <v/>
      </c>
      <c r="T724" s="21" t="str">
        <f aca="false">IF(AND(F724="Bilbo",ISNUMBER(J724),ISNUMBER(K724)),ROUND(J724*(1+K724/30),1),"")</f>
        <v/>
      </c>
      <c r="W724" s="22"/>
      <c r="X724" s="21" t="str">
        <f aca="false">IF(AND(F724="Bilbo",E724&lt;&gt;"",G724&lt;&gt;"",H724&lt;&gt;""),E724&amp;"|"&amp;G724&amp;"|"&amp;H724,"")</f>
        <v/>
      </c>
      <c r="Y724" s="21" t="str">
        <f aca="false">IF(B724="","",IF(B724&lt;&gt;B723,1,0))</f>
        <v/>
      </c>
    </row>
    <row r="725" customFormat="false" ht="15" hidden="false" customHeight="true" outlineLevel="0" collapsed="false">
      <c r="A725" s="21" t="str">
        <f aca="false">IF(B725="","",ROW()-4)</f>
        <v/>
      </c>
      <c r="B725" s="22"/>
      <c r="C725" s="21" t="str">
        <f aca="false">IF(B725="","",CHOOSE(WEEKDAY(B725,2),"LUNES","MARTES","MIÉRCOLES","JUEVES","VIERNES","SÁBADO","DOMINGO"))</f>
        <v/>
      </c>
      <c r="M725" s="23"/>
      <c r="Q725" s="21" t="str">
        <f aca="false">IF(OR(K725="",N725=""),"",K725-N725)</f>
        <v/>
      </c>
      <c r="R725" s="21" t="str">
        <f aca="false">IF(OR(J725="",K725=""),"",J725*K725)</f>
        <v/>
      </c>
      <c r="S725" s="21" t="str">
        <f aca="false">IF(AND(ISNUMBER(J725),ISNUMBER(K725),F725&lt;&gt;"Calentamiento",F725&lt;&gt;"Bilbo"),IF(AND(K725&gt;0,K725&lt;=12),ROUND(J725*(1+(K725+IF(ISNUMBER(L725),L725,0))/30),1),""),"")</f>
        <v/>
      </c>
      <c r="T725" s="21" t="str">
        <f aca="false">IF(AND(F725="Bilbo",ISNUMBER(J725),ISNUMBER(K725)),ROUND(J725*(1+K725/30),1),"")</f>
        <v/>
      </c>
      <c r="W725" s="22"/>
      <c r="X725" s="21" t="str">
        <f aca="false">IF(AND(F725="Bilbo",E725&lt;&gt;"",G725&lt;&gt;"",H725&lt;&gt;""),E725&amp;"|"&amp;G725&amp;"|"&amp;H725,"")</f>
        <v/>
      </c>
      <c r="Y725" s="21" t="str">
        <f aca="false">IF(B725="","",IF(B725&lt;&gt;B724,1,0))</f>
        <v/>
      </c>
    </row>
    <row r="726" customFormat="false" ht="15" hidden="false" customHeight="true" outlineLevel="0" collapsed="false">
      <c r="A726" s="21" t="str">
        <f aca="false">IF(B726="","",ROW()-4)</f>
        <v/>
      </c>
      <c r="B726" s="22"/>
      <c r="C726" s="21" t="str">
        <f aca="false">IF(B726="","",CHOOSE(WEEKDAY(B726,2),"LUNES","MARTES","MIÉRCOLES","JUEVES","VIERNES","SÁBADO","DOMINGO"))</f>
        <v/>
      </c>
      <c r="M726" s="23"/>
      <c r="Q726" s="21" t="str">
        <f aca="false">IF(OR(K726="",N726=""),"",K726-N726)</f>
        <v/>
      </c>
      <c r="R726" s="21" t="str">
        <f aca="false">IF(OR(J726="",K726=""),"",J726*K726)</f>
        <v/>
      </c>
      <c r="S726" s="21" t="str">
        <f aca="false">IF(AND(ISNUMBER(J726),ISNUMBER(K726),F726&lt;&gt;"Calentamiento",F726&lt;&gt;"Bilbo"),IF(AND(K726&gt;0,K726&lt;=12),ROUND(J726*(1+(K726+IF(ISNUMBER(L726),L726,0))/30),1),""),"")</f>
        <v/>
      </c>
      <c r="T726" s="21" t="str">
        <f aca="false">IF(AND(F726="Bilbo",ISNUMBER(J726),ISNUMBER(K726)),ROUND(J726*(1+K726/30),1),"")</f>
        <v/>
      </c>
      <c r="W726" s="22"/>
      <c r="X726" s="21" t="str">
        <f aca="false">IF(AND(F726="Bilbo",E726&lt;&gt;"",G726&lt;&gt;"",H726&lt;&gt;""),E726&amp;"|"&amp;G726&amp;"|"&amp;H726,"")</f>
        <v/>
      </c>
      <c r="Y726" s="21" t="str">
        <f aca="false">IF(B726="","",IF(B726&lt;&gt;B725,1,0))</f>
        <v/>
      </c>
    </row>
    <row r="727" customFormat="false" ht="15" hidden="false" customHeight="true" outlineLevel="0" collapsed="false">
      <c r="A727" s="21" t="str">
        <f aca="false">IF(B727="","",ROW()-4)</f>
        <v/>
      </c>
      <c r="B727" s="22"/>
      <c r="C727" s="21" t="str">
        <f aca="false">IF(B727="","",CHOOSE(WEEKDAY(B727,2),"LUNES","MARTES","MIÉRCOLES","JUEVES","VIERNES","SÁBADO","DOMINGO"))</f>
        <v/>
      </c>
      <c r="M727" s="23"/>
      <c r="Q727" s="21" t="str">
        <f aca="false">IF(OR(K727="",N727=""),"",K727-N727)</f>
        <v/>
      </c>
      <c r="R727" s="21" t="str">
        <f aca="false">IF(OR(J727="",K727=""),"",J727*K727)</f>
        <v/>
      </c>
      <c r="S727" s="21" t="str">
        <f aca="false">IF(AND(ISNUMBER(J727),ISNUMBER(K727),F727&lt;&gt;"Calentamiento",F727&lt;&gt;"Bilbo"),IF(AND(K727&gt;0,K727&lt;=12),ROUND(J727*(1+(K727+IF(ISNUMBER(L727),L727,0))/30),1),""),"")</f>
        <v/>
      </c>
      <c r="T727" s="21" t="str">
        <f aca="false">IF(AND(F727="Bilbo",ISNUMBER(J727),ISNUMBER(K727)),ROUND(J727*(1+K727/30),1),"")</f>
        <v/>
      </c>
      <c r="W727" s="22"/>
      <c r="X727" s="21" t="str">
        <f aca="false">IF(AND(F727="Bilbo",E727&lt;&gt;"",G727&lt;&gt;"",H727&lt;&gt;""),E727&amp;"|"&amp;G727&amp;"|"&amp;H727,"")</f>
        <v/>
      </c>
      <c r="Y727" s="21" t="str">
        <f aca="false">IF(B727="","",IF(B727&lt;&gt;B726,1,0))</f>
        <v/>
      </c>
    </row>
    <row r="728" customFormat="false" ht="15" hidden="false" customHeight="true" outlineLevel="0" collapsed="false">
      <c r="A728" s="21" t="str">
        <f aca="false">IF(B728="","",ROW()-4)</f>
        <v/>
      </c>
      <c r="B728" s="22"/>
      <c r="C728" s="21" t="str">
        <f aca="false">IF(B728="","",CHOOSE(WEEKDAY(B728,2),"LUNES","MARTES","MIÉRCOLES","JUEVES","VIERNES","SÁBADO","DOMINGO"))</f>
        <v/>
      </c>
      <c r="M728" s="23"/>
      <c r="Q728" s="21" t="str">
        <f aca="false">IF(OR(K728="",N728=""),"",K728-N728)</f>
        <v/>
      </c>
      <c r="R728" s="21" t="str">
        <f aca="false">IF(OR(J728="",K728=""),"",J728*K728)</f>
        <v/>
      </c>
      <c r="S728" s="21" t="str">
        <f aca="false">IF(AND(ISNUMBER(J728),ISNUMBER(K728),F728&lt;&gt;"Calentamiento",F728&lt;&gt;"Bilbo"),IF(AND(K728&gt;0,K728&lt;=12),ROUND(J728*(1+(K728+IF(ISNUMBER(L728),L728,0))/30),1),""),"")</f>
        <v/>
      </c>
      <c r="T728" s="21" t="str">
        <f aca="false">IF(AND(F728="Bilbo",ISNUMBER(J728),ISNUMBER(K728)),ROUND(J728*(1+K728/30),1),"")</f>
        <v/>
      </c>
      <c r="W728" s="22"/>
      <c r="X728" s="21" t="str">
        <f aca="false">IF(AND(F728="Bilbo",E728&lt;&gt;"",G728&lt;&gt;"",H728&lt;&gt;""),E728&amp;"|"&amp;G728&amp;"|"&amp;H728,"")</f>
        <v/>
      </c>
      <c r="Y728" s="21" t="str">
        <f aca="false">IF(B728="","",IF(B728&lt;&gt;B727,1,0))</f>
        <v/>
      </c>
    </row>
    <row r="729" customFormat="false" ht="15" hidden="false" customHeight="true" outlineLevel="0" collapsed="false">
      <c r="A729" s="21" t="str">
        <f aca="false">IF(B729="","",ROW()-4)</f>
        <v/>
      </c>
      <c r="B729" s="22"/>
      <c r="C729" s="21" t="str">
        <f aca="false">IF(B729="","",CHOOSE(WEEKDAY(B729,2),"LUNES","MARTES","MIÉRCOLES","JUEVES","VIERNES","SÁBADO","DOMINGO"))</f>
        <v/>
      </c>
      <c r="M729" s="23"/>
      <c r="Q729" s="21" t="str">
        <f aca="false">IF(OR(K729="",N729=""),"",K729-N729)</f>
        <v/>
      </c>
      <c r="R729" s="21" t="str">
        <f aca="false">IF(OR(J729="",K729=""),"",J729*K729)</f>
        <v/>
      </c>
      <c r="S729" s="21" t="str">
        <f aca="false">IF(AND(ISNUMBER(J729),ISNUMBER(K729),F729&lt;&gt;"Calentamiento",F729&lt;&gt;"Bilbo"),IF(AND(K729&gt;0,K729&lt;=12),ROUND(J729*(1+(K729+IF(ISNUMBER(L729),L729,0))/30),1),""),"")</f>
        <v/>
      </c>
      <c r="T729" s="21" t="str">
        <f aca="false">IF(AND(F729="Bilbo",ISNUMBER(J729),ISNUMBER(K729)),ROUND(J729*(1+K729/30),1),"")</f>
        <v/>
      </c>
      <c r="W729" s="22"/>
      <c r="X729" s="21" t="str">
        <f aca="false">IF(AND(F729="Bilbo",E729&lt;&gt;"",G729&lt;&gt;"",H729&lt;&gt;""),E729&amp;"|"&amp;G729&amp;"|"&amp;H729,"")</f>
        <v/>
      </c>
      <c r="Y729" s="21" t="str">
        <f aca="false">IF(B729="","",IF(B729&lt;&gt;B728,1,0))</f>
        <v/>
      </c>
    </row>
    <row r="730" customFormat="false" ht="15" hidden="false" customHeight="true" outlineLevel="0" collapsed="false">
      <c r="A730" s="21" t="str">
        <f aca="false">IF(B730="","",ROW()-4)</f>
        <v/>
      </c>
      <c r="B730" s="22"/>
      <c r="C730" s="21" t="str">
        <f aca="false">IF(B730="","",CHOOSE(WEEKDAY(B730,2),"LUNES","MARTES","MIÉRCOLES","JUEVES","VIERNES","SÁBADO","DOMINGO"))</f>
        <v/>
      </c>
      <c r="M730" s="23"/>
      <c r="Q730" s="21" t="str">
        <f aca="false">IF(OR(K730="",N730=""),"",K730-N730)</f>
        <v/>
      </c>
      <c r="R730" s="21" t="str">
        <f aca="false">IF(OR(J730="",K730=""),"",J730*K730)</f>
        <v/>
      </c>
      <c r="S730" s="21" t="str">
        <f aca="false">IF(AND(ISNUMBER(J730),ISNUMBER(K730),F730&lt;&gt;"Calentamiento",F730&lt;&gt;"Bilbo"),IF(AND(K730&gt;0,K730&lt;=12),ROUND(J730*(1+(K730+IF(ISNUMBER(L730),L730,0))/30),1),""),"")</f>
        <v/>
      </c>
      <c r="T730" s="21" t="str">
        <f aca="false">IF(AND(F730="Bilbo",ISNUMBER(J730),ISNUMBER(K730)),ROUND(J730*(1+K730/30),1),"")</f>
        <v/>
      </c>
      <c r="W730" s="22"/>
      <c r="X730" s="21" t="str">
        <f aca="false">IF(AND(F730="Bilbo",E730&lt;&gt;"",G730&lt;&gt;"",H730&lt;&gt;""),E730&amp;"|"&amp;G730&amp;"|"&amp;H730,"")</f>
        <v/>
      </c>
      <c r="Y730" s="21" t="str">
        <f aca="false">IF(B730="","",IF(B730&lt;&gt;B729,1,0))</f>
        <v/>
      </c>
    </row>
    <row r="731" customFormat="false" ht="15" hidden="false" customHeight="true" outlineLevel="0" collapsed="false">
      <c r="A731" s="21" t="str">
        <f aca="false">IF(B731="","",ROW()-4)</f>
        <v/>
      </c>
      <c r="B731" s="22"/>
      <c r="C731" s="21" t="str">
        <f aca="false">IF(B731="","",CHOOSE(WEEKDAY(B731,2),"LUNES","MARTES","MIÉRCOLES","JUEVES","VIERNES","SÁBADO","DOMINGO"))</f>
        <v/>
      </c>
      <c r="M731" s="23"/>
      <c r="Q731" s="21" t="str">
        <f aca="false">IF(OR(K731="",N731=""),"",K731-N731)</f>
        <v/>
      </c>
      <c r="R731" s="21" t="str">
        <f aca="false">IF(OR(J731="",K731=""),"",J731*K731)</f>
        <v/>
      </c>
      <c r="S731" s="21" t="str">
        <f aca="false">IF(AND(ISNUMBER(J731),ISNUMBER(K731),F731&lt;&gt;"Calentamiento",F731&lt;&gt;"Bilbo"),IF(AND(K731&gt;0,K731&lt;=12),ROUND(J731*(1+(K731+IF(ISNUMBER(L731),L731,0))/30),1),""),"")</f>
        <v/>
      </c>
      <c r="T731" s="21" t="str">
        <f aca="false">IF(AND(F731="Bilbo",ISNUMBER(J731),ISNUMBER(K731)),ROUND(J731*(1+K731/30),1),"")</f>
        <v/>
      </c>
      <c r="W731" s="22"/>
      <c r="X731" s="21" t="str">
        <f aca="false">IF(AND(F731="Bilbo",E731&lt;&gt;"",G731&lt;&gt;"",H731&lt;&gt;""),E731&amp;"|"&amp;G731&amp;"|"&amp;H731,"")</f>
        <v/>
      </c>
      <c r="Y731" s="21" t="str">
        <f aca="false">IF(B731="","",IF(B731&lt;&gt;B730,1,0))</f>
        <v/>
      </c>
    </row>
    <row r="732" customFormat="false" ht="15" hidden="false" customHeight="true" outlineLevel="0" collapsed="false">
      <c r="A732" s="21" t="str">
        <f aca="false">IF(B732="","",ROW()-4)</f>
        <v/>
      </c>
      <c r="B732" s="22"/>
      <c r="C732" s="21" t="str">
        <f aca="false">IF(B732="","",CHOOSE(WEEKDAY(B732,2),"LUNES","MARTES","MIÉRCOLES","JUEVES","VIERNES","SÁBADO","DOMINGO"))</f>
        <v/>
      </c>
      <c r="M732" s="23"/>
      <c r="Q732" s="21" t="str">
        <f aca="false">IF(OR(K732="",N732=""),"",K732-N732)</f>
        <v/>
      </c>
      <c r="R732" s="21" t="str">
        <f aca="false">IF(OR(J732="",K732=""),"",J732*K732)</f>
        <v/>
      </c>
      <c r="S732" s="21" t="str">
        <f aca="false">IF(AND(ISNUMBER(J732),ISNUMBER(K732),F732&lt;&gt;"Calentamiento",F732&lt;&gt;"Bilbo"),IF(AND(K732&gt;0,K732&lt;=12),ROUND(J732*(1+(K732+IF(ISNUMBER(L732),L732,0))/30),1),""),"")</f>
        <v/>
      </c>
      <c r="T732" s="21" t="str">
        <f aca="false">IF(AND(F732="Bilbo",ISNUMBER(J732),ISNUMBER(K732)),ROUND(J732*(1+K732/30),1),"")</f>
        <v/>
      </c>
      <c r="W732" s="22"/>
      <c r="X732" s="21" t="str">
        <f aca="false">IF(AND(F732="Bilbo",E732&lt;&gt;"",G732&lt;&gt;"",H732&lt;&gt;""),E732&amp;"|"&amp;G732&amp;"|"&amp;H732,"")</f>
        <v/>
      </c>
      <c r="Y732" s="21" t="str">
        <f aca="false">IF(B732="","",IF(B732&lt;&gt;B731,1,0))</f>
        <v/>
      </c>
    </row>
    <row r="733" customFormat="false" ht="15" hidden="false" customHeight="true" outlineLevel="0" collapsed="false">
      <c r="A733" s="21" t="str">
        <f aca="false">IF(B733="","",ROW()-4)</f>
        <v/>
      </c>
      <c r="B733" s="22"/>
      <c r="C733" s="21" t="str">
        <f aca="false">IF(B733="","",CHOOSE(WEEKDAY(B733,2),"LUNES","MARTES","MIÉRCOLES","JUEVES","VIERNES","SÁBADO","DOMINGO"))</f>
        <v/>
      </c>
      <c r="M733" s="23"/>
      <c r="Q733" s="21" t="str">
        <f aca="false">IF(OR(K733="",N733=""),"",K733-N733)</f>
        <v/>
      </c>
      <c r="R733" s="21" t="str">
        <f aca="false">IF(OR(J733="",K733=""),"",J733*K733)</f>
        <v/>
      </c>
      <c r="S733" s="21" t="str">
        <f aca="false">IF(AND(ISNUMBER(J733),ISNUMBER(K733),F733&lt;&gt;"Calentamiento",F733&lt;&gt;"Bilbo"),IF(AND(K733&gt;0,K733&lt;=12),ROUND(J733*(1+(K733+IF(ISNUMBER(L733),L733,0))/30),1),""),"")</f>
        <v/>
      </c>
      <c r="T733" s="21" t="str">
        <f aca="false">IF(AND(F733="Bilbo",ISNUMBER(J733),ISNUMBER(K733)),ROUND(J733*(1+K733/30),1),"")</f>
        <v/>
      </c>
      <c r="W733" s="22"/>
      <c r="X733" s="21" t="str">
        <f aca="false">IF(AND(F733="Bilbo",E733&lt;&gt;"",G733&lt;&gt;"",H733&lt;&gt;""),E733&amp;"|"&amp;G733&amp;"|"&amp;H733,"")</f>
        <v/>
      </c>
      <c r="Y733" s="21" t="str">
        <f aca="false">IF(B733="","",IF(B733&lt;&gt;B732,1,0))</f>
        <v/>
      </c>
    </row>
    <row r="734" customFormat="false" ht="15" hidden="false" customHeight="true" outlineLevel="0" collapsed="false">
      <c r="A734" s="21" t="str">
        <f aca="false">IF(B734="","",ROW()-4)</f>
        <v/>
      </c>
      <c r="B734" s="22"/>
      <c r="C734" s="21" t="str">
        <f aca="false">IF(B734="","",CHOOSE(WEEKDAY(B734,2),"LUNES","MARTES","MIÉRCOLES","JUEVES","VIERNES","SÁBADO","DOMINGO"))</f>
        <v/>
      </c>
      <c r="M734" s="23"/>
      <c r="Q734" s="21" t="str">
        <f aca="false">IF(OR(K734="",N734=""),"",K734-N734)</f>
        <v/>
      </c>
      <c r="R734" s="21" t="str">
        <f aca="false">IF(OR(J734="",K734=""),"",J734*K734)</f>
        <v/>
      </c>
      <c r="S734" s="21" t="str">
        <f aca="false">IF(AND(ISNUMBER(J734),ISNUMBER(K734),F734&lt;&gt;"Calentamiento",F734&lt;&gt;"Bilbo"),IF(AND(K734&gt;0,K734&lt;=12),ROUND(J734*(1+(K734+IF(ISNUMBER(L734),L734,0))/30),1),""),"")</f>
        <v/>
      </c>
      <c r="T734" s="21" t="str">
        <f aca="false">IF(AND(F734="Bilbo",ISNUMBER(J734),ISNUMBER(K734)),ROUND(J734*(1+K734/30),1),"")</f>
        <v/>
      </c>
      <c r="W734" s="22"/>
      <c r="X734" s="21" t="str">
        <f aca="false">IF(AND(F734="Bilbo",E734&lt;&gt;"",G734&lt;&gt;"",H734&lt;&gt;""),E734&amp;"|"&amp;G734&amp;"|"&amp;H734,"")</f>
        <v/>
      </c>
      <c r="Y734" s="21" t="str">
        <f aca="false">IF(B734="","",IF(B734&lt;&gt;B733,1,0))</f>
        <v/>
      </c>
    </row>
    <row r="735" customFormat="false" ht="15" hidden="false" customHeight="true" outlineLevel="0" collapsed="false">
      <c r="A735" s="21" t="str">
        <f aca="false">IF(B735="","",ROW()-4)</f>
        <v/>
      </c>
      <c r="B735" s="22"/>
      <c r="C735" s="21" t="str">
        <f aca="false">IF(B735="","",CHOOSE(WEEKDAY(B735,2),"LUNES","MARTES","MIÉRCOLES","JUEVES","VIERNES","SÁBADO","DOMINGO"))</f>
        <v/>
      </c>
      <c r="M735" s="23"/>
      <c r="Q735" s="21" t="str">
        <f aca="false">IF(OR(K735="",N735=""),"",K735-N735)</f>
        <v/>
      </c>
      <c r="R735" s="21" t="str">
        <f aca="false">IF(OR(J735="",K735=""),"",J735*K735)</f>
        <v/>
      </c>
      <c r="S735" s="21" t="str">
        <f aca="false">IF(AND(ISNUMBER(J735),ISNUMBER(K735),F735&lt;&gt;"Calentamiento",F735&lt;&gt;"Bilbo"),IF(AND(K735&gt;0,K735&lt;=12),ROUND(J735*(1+(K735+IF(ISNUMBER(L735),L735,0))/30),1),""),"")</f>
        <v/>
      </c>
      <c r="T735" s="21" t="str">
        <f aca="false">IF(AND(F735="Bilbo",ISNUMBER(J735),ISNUMBER(K735)),ROUND(J735*(1+K735/30),1),"")</f>
        <v/>
      </c>
      <c r="W735" s="22"/>
      <c r="X735" s="21" t="str">
        <f aca="false">IF(AND(F735="Bilbo",E735&lt;&gt;"",G735&lt;&gt;"",H735&lt;&gt;""),E735&amp;"|"&amp;G735&amp;"|"&amp;H735,"")</f>
        <v/>
      </c>
      <c r="Y735" s="21" t="str">
        <f aca="false">IF(B735="","",IF(B735&lt;&gt;B734,1,0))</f>
        <v/>
      </c>
    </row>
    <row r="736" customFormat="false" ht="15" hidden="false" customHeight="true" outlineLevel="0" collapsed="false">
      <c r="A736" s="21" t="str">
        <f aca="false">IF(B736="","",ROW()-4)</f>
        <v/>
      </c>
      <c r="B736" s="22"/>
      <c r="C736" s="21" t="str">
        <f aca="false">IF(B736="","",CHOOSE(WEEKDAY(B736,2),"LUNES","MARTES","MIÉRCOLES","JUEVES","VIERNES","SÁBADO","DOMINGO"))</f>
        <v/>
      </c>
      <c r="M736" s="23"/>
      <c r="Q736" s="21" t="str">
        <f aca="false">IF(OR(K736="",N736=""),"",K736-N736)</f>
        <v/>
      </c>
      <c r="R736" s="21" t="str">
        <f aca="false">IF(OR(J736="",K736=""),"",J736*K736)</f>
        <v/>
      </c>
      <c r="S736" s="21" t="str">
        <f aca="false">IF(AND(ISNUMBER(J736),ISNUMBER(K736),F736&lt;&gt;"Calentamiento",F736&lt;&gt;"Bilbo"),IF(AND(K736&gt;0,K736&lt;=12),ROUND(J736*(1+(K736+IF(ISNUMBER(L736),L736,0))/30),1),""),"")</f>
        <v/>
      </c>
      <c r="T736" s="21" t="str">
        <f aca="false">IF(AND(F736="Bilbo",ISNUMBER(J736),ISNUMBER(K736)),ROUND(J736*(1+K736/30),1),"")</f>
        <v/>
      </c>
      <c r="W736" s="22"/>
      <c r="X736" s="21" t="str">
        <f aca="false">IF(AND(F736="Bilbo",E736&lt;&gt;"",G736&lt;&gt;"",H736&lt;&gt;""),E736&amp;"|"&amp;G736&amp;"|"&amp;H736,"")</f>
        <v/>
      </c>
      <c r="Y736" s="21" t="str">
        <f aca="false">IF(B736="","",IF(B736&lt;&gt;B735,1,0))</f>
        <v/>
      </c>
    </row>
    <row r="737" customFormat="false" ht="15" hidden="false" customHeight="true" outlineLevel="0" collapsed="false">
      <c r="A737" s="21" t="str">
        <f aca="false">IF(B737="","",ROW()-4)</f>
        <v/>
      </c>
      <c r="B737" s="22"/>
      <c r="C737" s="21" t="str">
        <f aca="false">IF(B737="","",CHOOSE(WEEKDAY(B737,2),"LUNES","MARTES","MIÉRCOLES","JUEVES","VIERNES","SÁBADO","DOMINGO"))</f>
        <v/>
      </c>
      <c r="M737" s="23"/>
      <c r="Q737" s="21" t="str">
        <f aca="false">IF(OR(K737="",N737=""),"",K737-N737)</f>
        <v/>
      </c>
      <c r="R737" s="21" t="str">
        <f aca="false">IF(OR(J737="",K737=""),"",J737*K737)</f>
        <v/>
      </c>
      <c r="S737" s="21" t="str">
        <f aca="false">IF(AND(ISNUMBER(J737),ISNUMBER(K737),F737&lt;&gt;"Calentamiento",F737&lt;&gt;"Bilbo"),IF(AND(K737&gt;0,K737&lt;=12),ROUND(J737*(1+(K737+IF(ISNUMBER(L737),L737,0))/30),1),""),"")</f>
        <v/>
      </c>
      <c r="T737" s="21" t="str">
        <f aca="false">IF(AND(F737="Bilbo",ISNUMBER(J737),ISNUMBER(K737)),ROUND(J737*(1+K737/30),1),"")</f>
        <v/>
      </c>
      <c r="W737" s="22"/>
      <c r="X737" s="21" t="str">
        <f aca="false">IF(AND(F737="Bilbo",E737&lt;&gt;"",G737&lt;&gt;"",H737&lt;&gt;""),E737&amp;"|"&amp;G737&amp;"|"&amp;H737,"")</f>
        <v/>
      </c>
      <c r="Y737" s="21" t="str">
        <f aca="false">IF(B737="","",IF(B737&lt;&gt;B736,1,0))</f>
        <v/>
      </c>
    </row>
    <row r="738" customFormat="false" ht="15" hidden="false" customHeight="true" outlineLevel="0" collapsed="false">
      <c r="A738" s="21" t="str">
        <f aca="false">IF(B738="","",ROW()-4)</f>
        <v/>
      </c>
      <c r="B738" s="22"/>
      <c r="C738" s="21" t="str">
        <f aca="false">IF(B738="","",CHOOSE(WEEKDAY(B738,2),"LUNES","MARTES","MIÉRCOLES","JUEVES","VIERNES","SÁBADO","DOMINGO"))</f>
        <v/>
      </c>
      <c r="M738" s="23"/>
      <c r="Q738" s="21" t="str">
        <f aca="false">IF(OR(K738="",N738=""),"",K738-N738)</f>
        <v/>
      </c>
      <c r="R738" s="21" t="str">
        <f aca="false">IF(OR(J738="",K738=""),"",J738*K738)</f>
        <v/>
      </c>
      <c r="S738" s="21" t="str">
        <f aca="false">IF(AND(ISNUMBER(J738),ISNUMBER(K738),F738&lt;&gt;"Calentamiento",F738&lt;&gt;"Bilbo"),IF(AND(K738&gt;0,K738&lt;=12),ROUND(J738*(1+(K738+IF(ISNUMBER(L738),L738,0))/30),1),""),"")</f>
        <v/>
      </c>
      <c r="T738" s="21" t="str">
        <f aca="false">IF(AND(F738="Bilbo",ISNUMBER(J738),ISNUMBER(K738)),ROUND(J738*(1+K738/30),1),"")</f>
        <v/>
      </c>
      <c r="W738" s="22"/>
      <c r="X738" s="21" t="str">
        <f aca="false">IF(AND(F738="Bilbo",E738&lt;&gt;"",G738&lt;&gt;"",H738&lt;&gt;""),E738&amp;"|"&amp;G738&amp;"|"&amp;H738,"")</f>
        <v/>
      </c>
      <c r="Y738" s="21" t="str">
        <f aca="false">IF(B738="","",IF(B738&lt;&gt;B737,1,0))</f>
        <v/>
      </c>
    </row>
    <row r="739" customFormat="false" ht="15" hidden="false" customHeight="true" outlineLevel="0" collapsed="false">
      <c r="A739" s="21" t="str">
        <f aca="false">IF(B739="","",ROW()-4)</f>
        <v/>
      </c>
      <c r="B739" s="22"/>
      <c r="C739" s="21" t="str">
        <f aca="false">IF(B739="","",CHOOSE(WEEKDAY(B739,2),"LUNES","MARTES","MIÉRCOLES","JUEVES","VIERNES","SÁBADO","DOMINGO"))</f>
        <v/>
      </c>
      <c r="M739" s="23"/>
      <c r="Q739" s="21" t="str">
        <f aca="false">IF(OR(K739="",N739=""),"",K739-N739)</f>
        <v/>
      </c>
      <c r="R739" s="21" t="str">
        <f aca="false">IF(OR(J739="",K739=""),"",J739*K739)</f>
        <v/>
      </c>
      <c r="S739" s="21" t="str">
        <f aca="false">IF(AND(ISNUMBER(J739),ISNUMBER(K739),F739&lt;&gt;"Calentamiento",F739&lt;&gt;"Bilbo"),IF(AND(K739&gt;0,K739&lt;=12),ROUND(J739*(1+(K739+IF(ISNUMBER(L739),L739,0))/30),1),""),"")</f>
        <v/>
      </c>
      <c r="T739" s="21" t="str">
        <f aca="false">IF(AND(F739="Bilbo",ISNUMBER(J739),ISNUMBER(K739)),ROUND(J739*(1+K739/30),1),"")</f>
        <v/>
      </c>
      <c r="W739" s="22"/>
      <c r="X739" s="21" t="str">
        <f aca="false">IF(AND(F739="Bilbo",E739&lt;&gt;"",G739&lt;&gt;"",H739&lt;&gt;""),E739&amp;"|"&amp;G739&amp;"|"&amp;H739,"")</f>
        <v/>
      </c>
      <c r="Y739" s="21" t="str">
        <f aca="false">IF(B739="","",IF(B739&lt;&gt;B738,1,0))</f>
        <v/>
      </c>
    </row>
    <row r="740" customFormat="false" ht="15" hidden="false" customHeight="true" outlineLevel="0" collapsed="false">
      <c r="A740" s="21" t="str">
        <f aca="false">IF(B740="","",ROW()-4)</f>
        <v/>
      </c>
      <c r="B740" s="22"/>
      <c r="C740" s="21" t="str">
        <f aca="false">IF(B740="","",CHOOSE(WEEKDAY(B740,2),"LUNES","MARTES","MIÉRCOLES","JUEVES","VIERNES","SÁBADO","DOMINGO"))</f>
        <v/>
      </c>
      <c r="M740" s="23"/>
      <c r="Q740" s="21" t="str">
        <f aca="false">IF(OR(K740="",N740=""),"",K740-N740)</f>
        <v/>
      </c>
      <c r="R740" s="21" t="str">
        <f aca="false">IF(OR(J740="",K740=""),"",J740*K740)</f>
        <v/>
      </c>
      <c r="S740" s="21" t="str">
        <f aca="false">IF(AND(ISNUMBER(J740),ISNUMBER(K740),F740&lt;&gt;"Calentamiento",F740&lt;&gt;"Bilbo"),IF(AND(K740&gt;0,K740&lt;=12),ROUND(J740*(1+(K740+IF(ISNUMBER(L740),L740,0))/30),1),""),"")</f>
        <v/>
      </c>
      <c r="T740" s="21" t="str">
        <f aca="false">IF(AND(F740="Bilbo",ISNUMBER(J740),ISNUMBER(K740)),ROUND(J740*(1+K740/30),1),"")</f>
        <v/>
      </c>
      <c r="W740" s="22"/>
      <c r="X740" s="21" t="str">
        <f aca="false">IF(AND(F740="Bilbo",E740&lt;&gt;"",G740&lt;&gt;"",H740&lt;&gt;""),E740&amp;"|"&amp;G740&amp;"|"&amp;H740,"")</f>
        <v/>
      </c>
      <c r="Y740" s="21" t="str">
        <f aca="false">IF(B740="","",IF(B740&lt;&gt;B739,1,0))</f>
        <v/>
      </c>
    </row>
    <row r="741" customFormat="false" ht="15" hidden="false" customHeight="true" outlineLevel="0" collapsed="false">
      <c r="A741" s="21" t="str">
        <f aca="false">IF(B741="","",ROW()-4)</f>
        <v/>
      </c>
      <c r="B741" s="22"/>
      <c r="C741" s="21" t="str">
        <f aca="false">IF(B741="","",CHOOSE(WEEKDAY(B741,2),"LUNES","MARTES","MIÉRCOLES","JUEVES","VIERNES","SÁBADO","DOMINGO"))</f>
        <v/>
      </c>
      <c r="M741" s="23"/>
      <c r="Q741" s="21" t="str">
        <f aca="false">IF(OR(K741="",N741=""),"",K741-N741)</f>
        <v/>
      </c>
      <c r="R741" s="21" t="str">
        <f aca="false">IF(OR(J741="",K741=""),"",J741*K741)</f>
        <v/>
      </c>
      <c r="S741" s="21" t="str">
        <f aca="false">IF(AND(ISNUMBER(J741),ISNUMBER(K741),F741&lt;&gt;"Calentamiento",F741&lt;&gt;"Bilbo"),IF(AND(K741&gt;0,K741&lt;=12),ROUND(J741*(1+(K741+IF(ISNUMBER(L741),L741,0))/30),1),""),"")</f>
        <v/>
      </c>
      <c r="T741" s="21" t="str">
        <f aca="false">IF(AND(F741="Bilbo",ISNUMBER(J741),ISNUMBER(K741)),ROUND(J741*(1+K741/30),1),"")</f>
        <v/>
      </c>
      <c r="W741" s="22"/>
      <c r="X741" s="21" t="str">
        <f aca="false">IF(AND(F741="Bilbo",E741&lt;&gt;"",G741&lt;&gt;"",H741&lt;&gt;""),E741&amp;"|"&amp;G741&amp;"|"&amp;H741,"")</f>
        <v/>
      </c>
      <c r="Y741" s="21" t="str">
        <f aca="false">IF(B741="","",IF(B741&lt;&gt;B740,1,0))</f>
        <v/>
      </c>
    </row>
    <row r="742" customFormat="false" ht="15" hidden="false" customHeight="true" outlineLevel="0" collapsed="false">
      <c r="A742" s="21" t="str">
        <f aca="false">IF(B742="","",ROW()-4)</f>
        <v/>
      </c>
      <c r="B742" s="22"/>
      <c r="C742" s="21" t="str">
        <f aca="false">IF(B742="","",CHOOSE(WEEKDAY(B742,2),"LUNES","MARTES","MIÉRCOLES","JUEVES","VIERNES","SÁBADO","DOMINGO"))</f>
        <v/>
      </c>
      <c r="M742" s="23"/>
      <c r="Q742" s="21" t="str">
        <f aca="false">IF(OR(K742="",N742=""),"",K742-N742)</f>
        <v/>
      </c>
      <c r="R742" s="21" t="str">
        <f aca="false">IF(OR(J742="",K742=""),"",J742*K742)</f>
        <v/>
      </c>
      <c r="S742" s="21" t="str">
        <f aca="false">IF(AND(ISNUMBER(J742),ISNUMBER(K742),F742&lt;&gt;"Calentamiento",F742&lt;&gt;"Bilbo"),IF(AND(K742&gt;0,K742&lt;=12),ROUND(J742*(1+(K742+IF(ISNUMBER(L742),L742,0))/30),1),""),"")</f>
        <v/>
      </c>
      <c r="T742" s="21" t="str">
        <f aca="false">IF(AND(F742="Bilbo",ISNUMBER(J742),ISNUMBER(K742)),ROUND(J742*(1+K742/30),1),"")</f>
        <v/>
      </c>
      <c r="W742" s="22"/>
      <c r="X742" s="21" t="str">
        <f aca="false">IF(AND(F742="Bilbo",E742&lt;&gt;"",G742&lt;&gt;"",H742&lt;&gt;""),E742&amp;"|"&amp;G742&amp;"|"&amp;H742,"")</f>
        <v/>
      </c>
      <c r="Y742" s="21" t="str">
        <f aca="false">IF(B742="","",IF(B742&lt;&gt;B741,1,0))</f>
        <v/>
      </c>
    </row>
    <row r="743" customFormat="false" ht="15" hidden="false" customHeight="true" outlineLevel="0" collapsed="false">
      <c r="A743" s="21" t="str">
        <f aca="false">IF(B743="","",ROW()-4)</f>
        <v/>
      </c>
      <c r="B743" s="22"/>
      <c r="C743" s="21" t="str">
        <f aca="false">IF(B743="","",CHOOSE(WEEKDAY(B743,2),"LUNES","MARTES","MIÉRCOLES","JUEVES","VIERNES","SÁBADO","DOMINGO"))</f>
        <v/>
      </c>
      <c r="M743" s="23"/>
      <c r="Q743" s="21" t="str">
        <f aca="false">IF(OR(K743="",N743=""),"",K743-N743)</f>
        <v/>
      </c>
      <c r="R743" s="21" t="str">
        <f aca="false">IF(OR(J743="",K743=""),"",J743*K743)</f>
        <v/>
      </c>
      <c r="S743" s="21" t="str">
        <f aca="false">IF(AND(ISNUMBER(J743),ISNUMBER(K743),F743&lt;&gt;"Calentamiento",F743&lt;&gt;"Bilbo"),IF(AND(K743&gt;0,K743&lt;=12),ROUND(J743*(1+(K743+IF(ISNUMBER(L743),L743,0))/30),1),""),"")</f>
        <v/>
      </c>
      <c r="T743" s="21" t="str">
        <f aca="false">IF(AND(F743="Bilbo",ISNUMBER(J743),ISNUMBER(K743)),ROUND(J743*(1+K743/30),1),"")</f>
        <v/>
      </c>
      <c r="W743" s="22"/>
      <c r="X743" s="21" t="str">
        <f aca="false">IF(AND(F743="Bilbo",E743&lt;&gt;"",G743&lt;&gt;"",H743&lt;&gt;""),E743&amp;"|"&amp;G743&amp;"|"&amp;H743,"")</f>
        <v/>
      </c>
      <c r="Y743" s="21" t="str">
        <f aca="false">IF(B743="","",IF(B743&lt;&gt;B742,1,0))</f>
        <v/>
      </c>
    </row>
    <row r="744" customFormat="false" ht="15" hidden="false" customHeight="true" outlineLevel="0" collapsed="false">
      <c r="A744" s="21" t="str">
        <f aca="false">IF(B744="","",ROW()-4)</f>
        <v/>
      </c>
      <c r="B744" s="22"/>
      <c r="C744" s="21" t="str">
        <f aca="false">IF(B744="","",CHOOSE(WEEKDAY(B744,2),"LUNES","MARTES","MIÉRCOLES","JUEVES","VIERNES","SÁBADO","DOMINGO"))</f>
        <v/>
      </c>
      <c r="M744" s="23"/>
      <c r="Q744" s="21" t="str">
        <f aca="false">IF(OR(K744="",N744=""),"",K744-N744)</f>
        <v/>
      </c>
      <c r="R744" s="21" t="str">
        <f aca="false">IF(OR(J744="",K744=""),"",J744*K744)</f>
        <v/>
      </c>
      <c r="S744" s="21" t="str">
        <f aca="false">IF(AND(ISNUMBER(J744),ISNUMBER(K744),F744&lt;&gt;"Calentamiento",F744&lt;&gt;"Bilbo"),IF(AND(K744&gt;0,K744&lt;=12),ROUND(J744*(1+(K744+IF(ISNUMBER(L744),L744,0))/30),1),""),"")</f>
        <v/>
      </c>
      <c r="T744" s="21" t="str">
        <f aca="false">IF(AND(F744="Bilbo",ISNUMBER(J744),ISNUMBER(K744)),ROUND(J744*(1+K744/30),1),"")</f>
        <v/>
      </c>
      <c r="W744" s="22"/>
      <c r="X744" s="21" t="str">
        <f aca="false">IF(AND(F744="Bilbo",E744&lt;&gt;"",G744&lt;&gt;"",H744&lt;&gt;""),E744&amp;"|"&amp;G744&amp;"|"&amp;H744,"")</f>
        <v/>
      </c>
      <c r="Y744" s="21" t="str">
        <f aca="false">IF(B744="","",IF(B744&lt;&gt;B743,1,0))</f>
        <v/>
      </c>
    </row>
    <row r="745" customFormat="false" ht="15" hidden="false" customHeight="true" outlineLevel="0" collapsed="false">
      <c r="A745" s="21" t="str">
        <f aca="false">IF(B745="","",ROW()-4)</f>
        <v/>
      </c>
      <c r="B745" s="22"/>
      <c r="C745" s="21" t="str">
        <f aca="false">IF(B745="","",CHOOSE(WEEKDAY(B745,2),"LUNES","MARTES","MIÉRCOLES","JUEVES","VIERNES","SÁBADO","DOMINGO"))</f>
        <v/>
      </c>
      <c r="M745" s="23"/>
      <c r="Q745" s="21" t="str">
        <f aca="false">IF(OR(K745="",N745=""),"",K745-N745)</f>
        <v/>
      </c>
      <c r="R745" s="21" t="str">
        <f aca="false">IF(OR(J745="",K745=""),"",J745*K745)</f>
        <v/>
      </c>
      <c r="S745" s="21" t="str">
        <f aca="false">IF(AND(ISNUMBER(J745),ISNUMBER(K745),F745&lt;&gt;"Calentamiento",F745&lt;&gt;"Bilbo"),IF(AND(K745&gt;0,K745&lt;=12),ROUND(J745*(1+(K745+IF(ISNUMBER(L745),L745,0))/30),1),""),"")</f>
        <v/>
      </c>
      <c r="T745" s="21" t="str">
        <f aca="false">IF(AND(F745="Bilbo",ISNUMBER(J745),ISNUMBER(K745)),ROUND(J745*(1+K745/30),1),"")</f>
        <v/>
      </c>
      <c r="W745" s="22"/>
      <c r="X745" s="21" t="str">
        <f aca="false">IF(AND(F745="Bilbo",E745&lt;&gt;"",G745&lt;&gt;"",H745&lt;&gt;""),E745&amp;"|"&amp;G745&amp;"|"&amp;H745,"")</f>
        <v/>
      </c>
      <c r="Y745" s="21" t="str">
        <f aca="false">IF(B745="","",IF(B745&lt;&gt;B744,1,0))</f>
        <v/>
      </c>
    </row>
    <row r="746" customFormat="false" ht="15" hidden="false" customHeight="true" outlineLevel="0" collapsed="false">
      <c r="A746" s="21" t="str">
        <f aca="false">IF(B746="","",ROW()-4)</f>
        <v/>
      </c>
      <c r="B746" s="22"/>
      <c r="C746" s="21" t="str">
        <f aca="false">IF(B746="","",CHOOSE(WEEKDAY(B746,2),"LUNES","MARTES","MIÉRCOLES","JUEVES","VIERNES","SÁBADO","DOMINGO"))</f>
        <v/>
      </c>
      <c r="M746" s="23"/>
      <c r="Q746" s="21" t="str">
        <f aca="false">IF(OR(K746="",N746=""),"",K746-N746)</f>
        <v/>
      </c>
      <c r="R746" s="21" t="str">
        <f aca="false">IF(OR(J746="",K746=""),"",J746*K746)</f>
        <v/>
      </c>
      <c r="S746" s="21" t="str">
        <f aca="false">IF(AND(ISNUMBER(J746),ISNUMBER(K746),F746&lt;&gt;"Calentamiento",F746&lt;&gt;"Bilbo"),IF(AND(K746&gt;0,K746&lt;=12),ROUND(J746*(1+(K746+IF(ISNUMBER(L746),L746,0))/30),1),""),"")</f>
        <v/>
      </c>
      <c r="T746" s="21" t="str">
        <f aca="false">IF(AND(F746="Bilbo",ISNUMBER(J746),ISNUMBER(K746)),ROUND(J746*(1+K746/30),1),"")</f>
        <v/>
      </c>
      <c r="W746" s="22"/>
      <c r="X746" s="21" t="str">
        <f aca="false">IF(AND(F746="Bilbo",E746&lt;&gt;"",G746&lt;&gt;"",H746&lt;&gt;""),E746&amp;"|"&amp;G746&amp;"|"&amp;H746,"")</f>
        <v/>
      </c>
      <c r="Y746" s="21" t="str">
        <f aca="false">IF(B746="","",IF(B746&lt;&gt;B745,1,0))</f>
        <v/>
      </c>
    </row>
    <row r="747" customFormat="false" ht="15" hidden="false" customHeight="true" outlineLevel="0" collapsed="false">
      <c r="A747" s="21" t="str">
        <f aca="false">IF(B747="","",ROW()-4)</f>
        <v/>
      </c>
      <c r="B747" s="22"/>
      <c r="C747" s="21" t="str">
        <f aca="false">IF(B747="","",CHOOSE(WEEKDAY(B747,2),"LUNES","MARTES","MIÉRCOLES","JUEVES","VIERNES","SÁBADO","DOMINGO"))</f>
        <v/>
      </c>
      <c r="M747" s="23"/>
      <c r="Q747" s="21" t="str">
        <f aca="false">IF(OR(K747="",N747=""),"",K747-N747)</f>
        <v/>
      </c>
      <c r="R747" s="21" t="str">
        <f aca="false">IF(OR(J747="",K747=""),"",J747*K747)</f>
        <v/>
      </c>
      <c r="S747" s="21" t="str">
        <f aca="false">IF(AND(ISNUMBER(J747),ISNUMBER(K747),F747&lt;&gt;"Calentamiento",F747&lt;&gt;"Bilbo"),IF(AND(K747&gt;0,K747&lt;=12),ROUND(J747*(1+(K747+IF(ISNUMBER(L747),L747,0))/30),1),""),"")</f>
        <v/>
      </c>
      <c r="T747" s="21" t="str">
        <f aca="false">IF(AND(F747="Bilbo",ISNUMBER(J747),ISNUMBER(K747)),ROUND(J747*(1+K747/30),1),"")</f>
        <v/>
      </c>
      <c r="W747" s="22"/>
      <c r="X747" s="21" t="str">
        <f aca="false">IF(AND(F747="Bilbo",E747&lt;&gt;"",G747&lt;&gt;"",H747&lt;&gt;""),E747&amp;"|"&amp;G747&amp;"|"&amp;H747,"")</f>
        <v/>
      </c>
      <c r="Y747" s="21" t="str">
        <f aca="false">IF(B747="","",IF(B747&lt;&gt;B746,1,0))</f>
        <v/>
      </c>
    </row>
    <row r="748" customFormat="false" ht="15" hidden="false" customHeight="true" outlineLevel="0" collapsed="false">
      <c r="A748" s="21" t="str">
        <f aca="false">IF(B748="","",ROW()-4)</f>
        <v/>
      </c>
      <c r="B748" s="22"/>
      <c r="C748" s="21" t="str">
        <f aca="false">IF(B748="","",CHOOSE(WEEKDAY(B748,2),"LUNES","MARTES","MIÉRCOLES","JUEVES","VIERNES","SÁBADO","DOMINGO"))</f>
        <v/>
      </c>
      <c r="M748" s="23"/>
      <c r="Q748" s="21" t="str">
        <f aca="false">IF(OR(K748="",N748=""),"",K748-N748)</f>
        <v/>
      </c>
      <c r="R748" s="21" t="str">
        <f aca="false">IF(OR(J748="",K748=""),"",J748*K748)</f>
        <v/>
      </c>
      <c r="S748" s="21" t="str">
        <f aca="false">IF(AND(ISNUMBER(J748),ISNUMBER(K748),F748&lt;&gt;"Calentamiento",F748&lt;&gt;"Bilbo"),IF(AND(K748&gt;0,K748&lt;=12),ROUND(J748*(1+(K748+IF(ISNUMBER(L748),L748,0))/30),1),""),"")</f>
        <v/>
      </c>
      <c r="T748" s="21" t="str">
        <f aca="false">IF(AND(F748="Bilbo",ISNUMBER(J748),ISNUMBER(K748)),ROUND(J748*(1+K748/30),1),"")</f>
        <v/>
      </c>
      <c r="W748" s="22"/>
      <c r="X748" s="21" t="str">
        <f aca="false">IF(AND(F748="Bilbo",E748&lt;&gt;"",G748&lt;&gt;"",H748&lt;&gt;""),E748&amp;"|"&amp;G748&amp;"|"&amp;H748,"")</f>
        <v/>
      </c>
      <c r="Y748" s="21" t="str">
        <f aca="false">IF(B748="","",IF(B748&lt;&gt;B747,1,0))</f>
        <v/>
      </c>
    </row>
    <row r="749" customFormat="false" ht="15" hidden="false" customHeight="true" outlineLevel="0" collapsed="false">
      <c r="A749" s="21" t="str">
        <f aca="false">IF(B749="","",ROW()-4)</f>
        <v/>
      </c>
      <c r="B749" s="22"/>
      <c r="C749" s="21" t="str">
        <f aca="false">IF(B749="","",CHOOSE(WEEKDAY(B749,2),"LUNES","MARTES","MIÉRCOLES","JUEVES","VIERNES","SÁBADO","DOMINGO"))</f>
        <v/>
      </c>
      <c r="M749" s="23"/>
      <c r="Q749" s="21" t="str">
        <f aca="false">IF(OR(K749="",N749=""),"",K749-N749)</f>
        <v/>
      </c>
      <c r="R749" s="21" t="str">
        <f aca="false">IF(OR(J749="",K749=""),"",J749*K749)</f>
        <v/>
      </c>
      <c r="S749" s="21" t="str">
        <f aca="false">IF(AND(ISNUMBER(J749),ISNUMBER(K749),F749&lt;&gt;"Calentamiento",F749&lt;&gt;"Bilbo"),IF(AND(K749&gt;0,K749&lt;=12),ROUND(J749*(1+(K749+IF(ISNUMBER(L749),L749,0))/30),1),""),"")</f>
        <v/>
      </c>
      <c r="T749" s="21" t="str">
        <f aca="false">IF(AND(F749="Bilbo",ISNUMBER(J749),ISNUMBER(K749)),ROUND(J749*(1+K749/30),1),"")</f>
        <v/>
      </c>
      <c r="W749" s="22"/>
      <c r="X749" s="21" t="str">
        <f aca="false">IF(AND(F749="Bilbo",E749&lt;&gt;"",G749&lt;&gt;"",H749&lt;&gt;""),E749&amp;"|"&amp;G749&amp;"|"&amp;H749,"")</f>
        <v/>
      </c>
      <c r="Y749" s="21" t="str">
        <f aca="false">IF(B749="","",IF(B749&lt;&gt;B748,1,0))</f>
        <v/>
      </c>
    </row>
    <row r="750" customFormat="false" ht="15" hidden="false" customHeight="true" outlineLevel="0" collapsed="false">
      <c r="A750" s="21" t="str">
        <f aca="false">IF(B750="","",ROW()-4)</f>
        <v/>
      </c>
      <c r="B750" s="22"/>
      <c r="C750" s="21" t="str">
        <f aca="false">IF(B750="","",CHOOSE(WEEKDAY(B750,2),"LUNES","MARTES","MIÉRCOLES","JUEVES","VIERNES","SÁBADO","DOMINGO"))</f>
        <v/>
      </c>
      <c r="M750" s="23"/>
      <c r="Q750" s="21" t="str">
        <f aca="false">IF(OR(K750="",N750=""),"",K750-N750)</f>
        <v/>
      </c>
      <c r="R750" s="21" t="str">
        <f aca="false">IF(OR(J750="",K750=""),"",J750*K750)</f>
        <v/>
      </c>
      <c r="S750" s="21" t="str">
        <f aca="false">IF(AND(ISNUMBER(J750),ISNUMBER(K750),F750&lt;&gt;"Calentamiento",F750&lt;&gt;"Bilbo"),IF(AND(K750&gt;0,K750&lt;=12),ROUND(J750*(1+(K750+IF(ISNUMBER(L750),L750,0))/30),1),""),"")</f>
        <v/>
      </c>
      <c r="T750" s="21" t="str">
        <f aca="false">IF(AND(F750="Bilbo",ISNUMBER(J750),ISNUMBER(K750)),ROUND(J750*(1+K750/30),1),"")</f>
        <v/>
      </c>
      <c r="W750" s="22"/>
      <c r="X750" s="21" t="str">
        <f aca="false">IF(AND(F750="Bilbo",E750&lt;&gt;"",G750&lt;&gt;"",H750&lt;&gt;""),E750&amp;"|"&amp;G750&amp;"|"&amp;H750,"")</f>
        <v/>
      </c>
      <c r="Y750" s="21" t="str">
        <f aca="false">IF(B750="","",IF(B750&lt;&gt;B749,1,0))</f>
        <v/>
      </c>
    </row>
    <row r="751" customFormat="false" ht="15" hidden="false" customHeight="true" outlineLevel="0" collapsed="false">
      <c r="A751" s="21" t="str">
        <f aca="false">IF(B751="","",ROW()-4)</f>
        <v/>
      </c>
      <c r="B751" s="22"/>
      <c r="C751" s="21" t="str">
        <f aca="false">IF(B751="","",CHOOSE(WEEKDAY(B751,2),"LUNES","MARTES","MIÉRCOLES","JUEVES","VIERNES","SÁBADO","DOMINGO"))</f>
        <v/>
      </c>
      <c r="M751" s="23"/>
      <c r="Q751" s="21" t="str">
        <f aca="false">IF(OR(K751="",N751=""),"",K751-N751)</f>
        <v/>
      </c>
      <c r="R751" s="21" t="str">
        <f aca="false">IF(OR(J751="",K751=""),"",J751*K751)</f>
        <v/>
      </c>
      <c r="S751" s="21" t="str">
        <f aca="false">IF(AND(ISNUMBER(J751),ISNUMBER(K751),F751&lt;&gt;"Calentamiento",F751&lt;&gt;"Bilbo"),IF(AND(K751&gt;0,K751&lt;=12),ROUND(J751*(1+(K751+IF(ISNUMBER(L751),L751,0))/30),1),""),"")</f>
        <v/>
      </c>
      <c r="T751" s="21" t="str">
        <f aca="false">IF(AND(F751="Bilbo",ISNUMBER(J751),ISNUMBER(K751)),ROUND(J751*(1+K751/30),1),"")</f>
        <v/>
      </c>
      <c r="W751" s="22"/>
      <c r="X751" s="21" t="str">
        <f aca="false">IF(AND(F751="Bilbo",E751&lt;&gt;"",G751&lt;&gt;"",H751&lt;&gt;""),E751&amp;"|"&amp;G751&amp;"|"&amp;H751,"")</f>
        <v/>
      </c>
      <c r="Y751" s="21" t="str">
        <f aca="false">IF(B751="","",IF(B751&lt;&gt;B750,1,0))</f>
        <v/>
      </c>
    </row>
    <row r="752" customFormat="false" ht="15" hidden="false" customHeight="true" outlineLevel="0" collapsed="false">
      <c r="A752" s="21" t="str">
        <f aca="false">IF(B752="","",ROW()-4)</f>
        <v/>
      </c>
      <c r="B752" s="22"/>
      <c r="C752" s="21" t="str">
        <f aca="false">IF(B752="","",CHOOSE(WEEKDAY(B752,2),"LUNES","MARTES","MIÉRCOLES","JUEVES","VIERNES","SÁBADO","DOMINGO"))</f>
        <v/>
      </c>
      <c r="M752" s="23"/>
      <c r="Q752" s="21" t="str">
        <f aca="false">IF(OR(K752="",N752=""),"",K752-N752)</f>
        <v/>
      </c>
      <c r="R752" s="21" t="str">
        <f aca="false">IF(OR(J752="",K752=""),"",J752*K752)</f>
        <v/>
      </c>
      <c r="S752" s="21" t="str">
        <f aca="false">IF(AND(ISNUMBER(J752),ISNUMBER(K752),F752&lt;&gt;"Calentamiento",F752&lt;&gt;"Bilbo"),IF(AND(K752&gt;0,K752&lt;=12),ROUND(J752*(1+(K752+IF(ISNUMBER(L752),L752,0))/30),1),""),"")</f>
        <v/>
      </c>
      <c r="T752" s="21" t="str">
        <f aca="false">IF(AND(F752="Bilbo",ISNUMBER(J752),ISNUMBER(K752)),ROUND(J752*(1+K752/30),1),"")</f>
        <v/>
      </c>
      <c r="W752" s="22"/>
      <c r="X752" s="21" t="str">
        <f aca="false">IF(AND(F752="Bilbo",E752&lt;&gt;"",G752&lt;&gt;"",H752&lt;&gt;""),E752&amp;"|"&amp;G752&amp;"|"&amp;H752,"")</f>
        <v/>
      </c>
      <c r="Y752" s="21" t="str">
        <f aca="false">IF(B752="","",IF(B752&lt;&gt;B751,1,0))</f>
        <v/>
      </c>
    </row>
    <row r="753" customFormat="false" ht="15" hidden="false" customHeight="true" outlineLevel="0" collapsed="false">
      <c r="A753" s="21" t="str">
        <f aca="false">IF(B753="","",ROW()-4)</f>
        <v/>
      </c>
      <c r="B753" s="22"/>
      <c r="C753" s="21" t="str">
        <f aca="false">IF(B753="","",CHOOSE(WEEKDAY(B753,2),"LUNES","MARTES","MIÉRCOLES","JUEVES","VIERNES","SÁBADO","DOMINGO"))</f>
        <v/>
      </c>
      <c r="M753" s="23"/>
      <c r="Q753" s="21" t="str">
        <f aca="false">IF(OR(K753="",N753=""),"",K753-N753)</f>
        <v/>
      </c>
      <c r="R753" s="21" t="str">
        <f aca="false">IF(OR(J753="",K753=""),"",J753*K753)</f>
        <v/>
      </c>
      <c r="S753" s="21" t="str">
        <f aca="false">IF(AND(ISNUMBER(J753),ISNUMBER(K753),F753&lt;&gt;"Calentamiento",F753&lt;&gt;"Bilbo"),IF(AND(K753&gt;0,K753&lt;=12),ROUND(J753*(1+(K753+IF(ISNUMBER(L753),L753,0))/30),1),""),"")</f>
        <v/>
      </c>
      <c r="T753" s="21" t="str">
        <f aca="false">IF(AND(F753="Bilbo",ISNUMBER(J753),ISNUMBER(K753)),ROUND(J753*(1+K753/30),1),"")</f>
        <v/>
      </c>
      <c r="W753" s="22"/>
      <c r="X753" s="21" t="str">
        <f aca="false">IF(AND(F753="Bilbo",E753&lt;&gt;"",G753&lt;&gt;"",H753&lt;&gt;""),E753&amp;"|"&amp;G753&amp;"|"&amp;H753,"")</f>
        <v/>
      </c>
      <c r="Y753" s="21" t="str">
        <f aca="false">IF(B753="","",IF(B753&lt;&gt;B752,1,0))</f>
        <v/>
      </c>
    </row>
    <row r="754" customFormat="false" ht="15" hidden="false" customHeight="true" outlineLevel="0" collapsed="false">
      <c r="A754" s="21" t="str">
        <f aca="false">IF(B754="","",ROW()-4)</f>
        <v/>
      </c>
      <c r="B754" s="22"/>
      <c r="C754" s="21" t="str">
        <f aca="false">IF(B754="","",CHOOSE(WEEKDAY(B754,2),"LUNES","MARTES","MIÉRCOLES","JUEVES","VIERNES","SÁBADO","DOMINGO"))</f>
        <v/>
      </c>
      <c r="M754" s="23"/>
      <c r="Q754" s="21" t="str">
        <f aca="false">IF(OR(K754="",N754=""),"",K754-N754)</f>
        <v/>
      </c>
      <c r="R754" s="21" t="str">
        <f aca="false">IF(OR(J754="",K754=""),"",J754*K754)</f>
        <v/>
      </c>
      <c r="S754" s="21" t="str">
        <f aca="false">IF(AND(ISNUMBER(J754),ISNUMBER(K754),F754&lt;&gt;"Calentamiento",F754&lt;&gt;"Bilbo"),IF(AND(K754&gt;0,K754&lt;=12),ROUND(J754*(1+(K754+IF(ISNUMBER(L754),L754,0))/30),1),""),"")</f>
        <v/>
      </c>
      <c r="T754" s="21" t="str">
        <f aca="false">IF(AND(F754="Bilbo",ISNUMBER(J754),ISNUMBER(K754)),ROUND(J754*(1+K754/30),1),"")</f>
        <v/>
      </c>
      <c r="W754" s="22"/>
      <c r="X754" s="21" t="str">
        <f aca="false">IF(AND(F754="Bilbo",E754&lt;&gt;"",G754&lt;&gt;"",H754&lt;&gt;""),E754&amp;"|"&amp;G754&amp;"|"&amp;H754,"")</f>
        <v/>
      </c>
      <c r="Y754" s="21" t="str">
        <f aca="false">IF(B754="","",IF(B754&lt;&gt;B753,1,0))</f>
        <v/>
      </c>
    </row>
    <row r="755" customFormat="false" ht="15" hidden="false" customHeight="true" outlineLevel="0" collapsed="false">
      <c r="A755" s="21" t="str">
        <f aca="false">IF(B755="","",ROW()-4)</f>
        <v/>
      </c>
      <c r="B755" s="22"/>
      <c r="C755" s="21" t="str">
        <f aca="false">IF(B755="","",CHOOSE(WEEKDAY(B755,2),"LUNES","MARTES","MIÉRCOLES","JUEVES","VIERNES","SÁBADO","DOMINGO"))</f>
        <v/>
      </c>
      <c r="M755" s="23"/>
      <c r="Q755" s="21" t="str">
        <f aca="false">IF(OR(K755="",N755=""),"",K755-N755)</f>
        <v/>
      </c>
      <c r="R755" s="21" t="str">
        <f aca="false">IF(OR(J755="",K755=""),"",J755*K755)</f>
        <v/>
      </c>
      <c r="S755" s="21" t="str">
        <f aca="false">IF(AND(ISNUMBER(J755),ISNUMBER(K755),F755&lt;&gt;"Calentamiento",F755&lt;&gt;"Bilbo"),IF(AND(K755&gt;0,K755&lt;=12),ROUND(J755*(1+(K755+IF(ISNUMBER(L755),L755,0))/30),1),""),"")</f>
        <v/>
      </c>
      <c r="T755" s="21" t="str">
        <f aca="false">IF(AND(F755="Bilbo",ISNUMBER(J755),ISNUMBER(K755)),ROUND(J755*(1+K755/30),1),"")</f>
        <v/>
      </c>
      <c r="W755" s="22"/>
      <c r="X755" s="21" t="str">
        <f aca="false">IF(AND(F755="Bilbo",E755&lt;&gt;"",G755&lt;&gt;"",H755&lt;&gt;""),E755&amp;"|"&amp;G755&amp;"|"&amp;H755,"")</f>
        <v/>
      </c>
      <c r="Y755" s="21" t="str">
        <f aca="false">IF(B755="","",IF(B755&lt;&gt;B754,1,0))</f>
        <v/>
      </c>
    </row>
    <row r="756" customFormat="false" ht="15" hidden="false" customHeight="true" outlineLevel="0" collapsed="false">
      <c r="A756" s="21" t="str">
        <f aca="false">IF(B756="","",ROW()-4)</f>
        <v/>
      </c>
      <c r="B756" s="22"/>
      <c r="C756" s="21" t="str">
        <f aca="false">IF(B756="","",CHOOSE(WEEKDAY(B756,2),"LUNES","MARTES","MIÉRCOLES","JUEVES","VIERNES","SÁBADO","DOMINGO"))</f>
        <v/>
      </c>
      <c r="M756" s="23"/>
      <c r="Q756" s="21" t="str">
        <f aca="false">IF(OR(K756="",N756=""),"",K756-N756)</f>
        <v/>
      </c>
      <c r="R756" s="21" t="str">
        <f aca="false">IF(OR(J756="",K756=""),"",J756*K756)</f>
        <v/>
      </c>
      <c r="S756" s="21" t="str">
        <f aca="false">IF(AND(ISNUMBER(J756),ISNUMBER(K756),F756&lt;&gt;"Calentamiento",F756&lt;&gt;"Bilbo"),IF(AND(K756&gt;0,K756&lt;=12),ROUND(J756*(1+(K756+IF(ISNUMBER(L756),L756,0))/30),1),""),"")</f>
        <v/>
      </c>
      <c r="T756" s="21" t="str">
        <f aca="false">IF(AND(F756="Bilbo",ISNUMBER(J756),ISNUMBER(K756)),ROUND(J756*(1+K756/30),1),"")</f>
        <v/>
      </c>
      <c r="W756" s="22"/>
      <c r="X756" s="21" t="str">
        <f aca="false">IF(AND(F756="Bilbo",E756&lt;&gt;"",G756&lt;&gt;"",H756&lt;&gt;""),E756&amp;"|"&amp;G756&amp;"|"&amp;H756,"")</f>
        <v/>
      </c>
      <c r="Y756" s="21" t="str">
        <f aca="false">IF(B756="","",IF(B756&lt;&gt;B755,1,0))</f>
        <v/>
      </c>
    </row>
    <row r="757" customFormat="false" ht="15" hidden="false" customHeight="true" outlineLevel="0" collapsed="false">
      <c r="A757" s="21" t="str">
        <f aca="false">IF(B757="","",ROW()-4)</f>
        <v/>
      </c>
      <c r="B757" s="22"/>
      <c r="C757" s="21" t="str">
        <f aca="false">IF(B757="","",CHOOSE(WEEKDAY(B757,2),"LUNES","MARTES","MIÉRCOLES","JUEVES","VIERNES","SÁBADO","DOMINGO"))</f>
        <v/>
      </c>
      <c r="M757" s="23"/>
      <c r="Q757" s="21" t="str">
        <f aca="false">IF(OR(K757="",N757=""),"",K757-N757)</f>
        <v/>
      </c>
      <c r="R757" s="21" t="str">
        <f aca="false">IF(OR(J757="",K757=""),"",J757*K757)</f>
        <v/>
      </c>
      <c r="S757" s="21" t="str">
        <f aca="false">IF(AND(ISNUMBER(J757),ISNUMBER(K757),F757&lt;&gt;"Calentamiento",F757&lt;&gt;"Bilbo"),IF(AND(K757&gt;0,K757&lt;=12),ROUND(J757*(1+(K757+IF(ISNUMBER(L757),L757,0))/30),1),""),"")</f>
        <v/>
      </c>
      <c r="T757" s="21" t="str">
        <f aca="false">IF(AND(F757="Bilbo",ISNUMBER(J757),ISNUMBER(K757)),ROUND(J757*(1+K757/30),1),"")</f>
        <v/>
      </c>
      <c r="W757" s="22"/>
      <c r="X757" s="21" t="str">
        <f aca="false">IF(AND(F757="Bilbo",E757&lt;&gt;"",G757&lt;&gt;"",H757&lt;&gt;""),E757&amp;"|"&amp;G757&amp;"|"&amp;H757,"")</f>
        <v/>
      </c>
      <c r="Y757" s="21" t="str">
        <f aca="false">IF(B757="","",IF(B757&lt;&gt;B756,1,0))</f>
        <v/>
      </c>
    </row>
    <row r="758" customFormat="false" ht="15" hidden="false" customHeight="true" outlineLevel="0" collapsed="false">
      <c r="A758" s="21" t="str">
        <f aca="false">IF(B758="","",ROW()-4)</f>
        <v/>
      </c>
      <c r="B758" s="22"/>
      <c r="C758" s="21" t="str">
        <f aca="false">IF(B758="","",CHOOSE(WEEKDAY(B758,2),"LUNES","MARTES","MIÉRCOLES","JUEVES","VIERNES","SÁBADO","DOMINGO"))</f>
        <v/>
      </c>
      <c r="M758" s="23"/>
      <c r="Q758" s="21" t="str">
        <f aca="false">IF(OR(K758="",N758=""),"",K758-N758)</f>
        <v/>
      </c>
      <c r="R758" s="21" t="str">
        <f aca="false">IF(OR(J758="",K758=""),"",J758*K758)</f>
        <v/>
      </c>
      <c r="S758" s="21" t="str">
        <f aca="false">IF(AND(ISNUMBER(J758),ISNUMBER(K758),F758&lt;&gt;"Calentamiento",F758&lt;&gt;"Bilbo"),IF(AND(K758&gt;0,K758&lt;=12),ROUND(J758*(1+(K758+IF(ISNUMBER(L758),L758,0))/30),1),""),"")</f>
        <v/>
      </c>
      <c r="T758" s="21" t="str">
        <f aca="false">IF(AND(F758="Bilbo",ISNUMBER(J758),ISNUMBER(K758)),ROUND(J758*(1+K758/30),1),"")</f>
        <v/>
      </c>
      <c r="W758" s="22"/>
      <c r="X758" s="21" t="str">
        <f aca="false">IF(AND(F758="Bilbo",E758&lt;&gt;"",G758&lt;&gt;"",H758&lt;&gt;""),E758&amp;"|"&amp;G758&amp;"|"&amp;H758,"")</f>
        <v/>
      </c>
      <c r="Y758" s="21" t="str">
        <f aca="false">IF(B758="","",IF(B758&lt;&gt;B757,1,0))</f>
        <v/>
      </c>
    </row>
    <row r="759" customFormat="false" ht="15" hidden="false" customHeight="true" outlineLevel="0" collapsed="false">
      <c r="A759" s="21" t="str">
        <f aca="false">IF(B759="","",ROW()-4)</f>
        <v/>
      </c>
      <c r="B759" s="22"/>
      <c r="C759" s="21" t="str">
        <f aca="false">IF(B759="","",CHOOSE(WEEKDAY(B759,2),"LUNES","MARTES","MIÉRCOLES","JUEVES","VIERNES","SÁBADO","DOMINGO"))</f>
        <v/>
      </c>
      <c r="M759" s="23"/>
      <c r="Q759" s="21" t="str">
        <f aca="false">IF(OR(K759="",N759=""),"",K759-N759)</f>
        <v/>
      </c>
      <c r="R759" s="21" t="str">
        <f aca="false">IF(OR(J759="",K759=""),"",J759*K759)</f>
        <v/>
      </c>
      <c r="S759" s="21" t="str">
        <f aca="false">IF(AND(ISNUMBER(J759),ISNUMBER(K759),F759&lt;&gt;"Calentamiento",F759&lt;&gt;"Bilbo"),IF(AND(K759&gt;0,K759&lt;=12),ROUND(J759*(1+(K759+IF(ISNUMBER(L759),L759,0))/30),1),""),"")</f>
        <v/>
      </c>
      <c r="T759" s="21" t="str">
        <f aca="false">IF(AND(F759="Bilbo",ISNUMBER(J759),ISNUMBER(K759)),ROUND(J759*(1+K759/30),1),"")</f>
        <v/>
      </c>
      <c r="W759" s="22"/>
      <c r="X759" s="21" t="str">
        <f aca="false">IF(AND(F759="Bilbo",E759&lt;&gt;"",G759&lt;&gt;"",H759&lt;&gt;""),E759&amp;"|"&amp;G759&amp;"|"&amp;H759,"")</f>
        <v/>
      </c>
      <c r="Y759" s="21" t="str">
        <f aca="false">IF(B759="","",IF(B759&lt;&gt;B758,1,0))</f>
        <v/>
      </c>
    </row>
    <row r="760" customFormat="false" ht="15" hidden="false" customHeight="true" outlineLevel="0" collapsed="false">
      <c r="A760" s="21" t="str">
        <f aca="false">IF(B760="","",ROW()-4)</f>
        <v/>
      </c>
      <c r="B760" s="22"/>
      <c r="C760" s="21" t="str">
        <f aca="false">IF(B760="","",CHOOSE(WEEKDAY(B760,2),"LUNES","MARTES","MIÉRCOLES","JUEVES","VIERNES","SÁBADO","DOMINGO"))</f>
        <v/>
      </c>
      <c r="M760" s="23"/>
      <c r="Q760" s="21" t="str">
        <f aca="false">IF(OR(K760="",N760=""),"",K760-N760)</f>
        <v/>
      </c>
      <c r="R760" s="21" t="str">
        <f aca="false">IF(OR(J760="",K760=""),"",J760*K760)</f>
        <v/>
      </c>
      <c r="S760" s="21" t="str">
        <f aca="false">IF(AND(ISNUMBER(J760),ISNUMBER(K760),F760&lt;&gt;"Calentamiento",F760&lt;&gt;"Bilbo"),IF(AND(K760&gt;0,K760&lt;=12),ROUND(J760*(1+(K760+IF(ISNUMBER(L760),L760,0))/30),1),""),"")</f>
        <v/>
      </c>
      <c r="T760" s="21" t="str">
        <f aca="false">IF(AND(F760="Bilbo",ISNUMBER(J760),ISNUMBER(K760)),ROUND(J760*(1+K760/30),1),"")</f>
        <v/>
      </c>
      <c r="W760" s="22"/>
      <c r="X760" s="21" t="str">
        <f aca="false">IF(AND(F760="Bilbo",E760&lt;&gt;"",G760&lt;&gt;"",H760&lt;&gt;""),E760&amp;"|"&amp;G760&amp;"|"&amp;H760,"")</f>
        <v/>
      </c>
      <c r="Y760" s="21" t="str">
        <f aca="false">IF(B760="","",IF(B760&lt;&gt;B759,1,0))</f>
        <v/>
      </c>
    </row>
    <row r="761" customFormat="false" ht="15" hidden="false" customHeight="true" outlineLevel="0" collapsed="false">
      <c r="A761" s="21" t="str">
        <f aca="false">IF(B761="","",ROW()-4)</f>
        <v/>
      </c>
      <c r="B761" s="22"/>
      <c r="C761" s="21" t="str">
        <f aca="false">IF(B761="","",CHOOSE(WEEKDAY(B761,2),"LUNES","MARTES","MIÉRCOLES","JUEVES","VIERNES","SÁBADO","DOMINGO"))</f>
        <v/>
      </c>
      <c r="M761" s="23"/>
      <c r="Q761" s="21" t="str">
        <f aca="false">IF(OR(K761="",N761=""),"",K761-N761)</f>
        <v/>
      </c>
      <c r="R761" s="21" t="str">
        <f aca="false">IF(OR(J761="",K761=""),"",J761*K761)</f>
        <v/>
      </c>
      <c r="S761" s="21" t="str">
        <f aca="false">IF(AND(ISNUMBER(J761),ISNUMBER(K761),F761&lt;&gt;"Calentamiento",F761&lt;&gt;"Bilbo"),IF(AND(K761&gt;0,K761&lt;=12),ROUND(J761*(1+(K761+IF(ISNUMBER(L761),L761,0))/30),1),""),"")</f>
        <v/>
      </c>
      <c r="T761" s="21" t="str">
        <f aca="false">IF(AND(F761="Bilbo",ISNUMBER(J761),ISNUMBER(K761)),ROUND(J761*(1+K761/30),1),"")</f>
        <v/>
      </c>
      <c r="W761" s="22"/>
      <c r="X761" s="21" t="str">
        <f aca="false">IF(AND(F761="Bilbo",E761&lt;&gt;"",G761&lt;&gt;"",H761&lt;&gt;""),E761&amp;"|"&amp;G761&amp;"|"&amp;H761,"")</f>
        <v/>
      </c>
      <c r="Y761" s="21" t="str">
        <f aca="false">IF(B761="","",IF(B761&lt;&gt;B760,1,0))</f>
        <v/>
      </c>
    </row>
    <row r="762" customFormat="false" ht="15" hidden="false" customHeight="true" outlineLevel="0" collapsed="false">
      <c r="A762" s="21" t="str">
        <f aca="false">IF(B762="","",ROW()-4)</f>
        <v/>
      </c>
      <c r="B762" s="22"/>
      <c r="C762" s="21" t="str">
        <f aca="false">IF(B762="","",CHOOSE(WEEKDAY(B762,2),"LUNES","MARTES","MIÉRCOLES","JUEVES","VIERNES","SÁBADO","DOMINGO"))</f>
        <v/>
      </c>
      <c r="M762" s="23"/>
      <c r="Q762" s="21" t="str">
        <f aca="false">IF(OR(K762="",N762=""),"",K762-N762)</f>
        <v/>
      </c>
      <c r="R762" s="21" t="str">
        <f aca="false">IF(OR(J762="",K762=""),"",J762*K762)</f>
        <v/>
      </c>
      <c r="S762" s="21" t="str">
        <f aca="false">IF(AND(ISNUMBER(J762),ISNUMBER(K762),F762&lt;&gt;"Calentamiento",F762&lt;&gt;"Bilbo"),IF(AND(K762&gt;0,K762&lt;=12),ROUND(J762*(1+(K762+IF(ISNUMBER(L762),L762,0))/30),1),""),"")</f>
        <v/>
      </c>
      <c r="T762" s="21" t="str">
        <f aca="false">IF(AND(F762="Bilbo",ISNUMBER(J762),ISNUMBER(K762)),ROUND(J762*(1+K762/30),1),"")</f>
        <v/>
      </c>
      <c r="W762" s="22"/>
      <c r="X762" s="21" t="str">
        <f aca="false">IF(AND(F762="Bilbo",E762&lt;&gt;"",G762&lt;&gt;"",H762&lt;&gt;""),E762&amp;"|"&amp;G762&amp;"|"&amp;H762,"")</f>
        <v/>
      </c>
      <c r="Y762" s="21" t="str">
        <f aca="false">IF(B762="","",IF(B762&lt;&gt;B761,1,0))</f>
        <v/>
      </c>
    </row>
    <row r="763" customFormat="false" ht="15" hidden="false" customHeight="true" outlineLevel="0" collapsed="false">
      <c r="A763" s="21" t="str">
        <f aca="false">IF(B763="","",ROW()-4)</f>
        <v/>
      </c>
      <c r="B763" s="22"/>
      <c r="C763" s="21" t="str">
        <f aca="false">IF(B763="","",CHOOSE(WEEKDAY(B763,2),"LUNES","MARTES","MIÉRCOLES","JUEVES","VIERNES","SÁBADO","DOMINGO"))</f>
        <v/>
      </c>
      <c r="M763" s="23"/>
      <c r="Q763" s="21" t="str">
        <f aca="false">IF(OR(K763="",N763=""),"",K763-N763)</f>
        <v/>
      </c>
      <c r="R763" s="21" t="str">
        <f aca="false">IF(OR(J763="",K763=""),"",J763*K763)</f>
        <v/>
      </c>
      <c r="S763" s="21" t="str">
        <f aca="false">IF(AND(ISNUMBER(J763),ISNUMBER(K763),F763&lt;&gt;"Calentamiento",F763&lt;&gt;"Bilbo"),IF(AND(K763&gt;0,K763&lt;=12),ROUND(J763*(1+(K763+IF(ISNUMBER(L763),L763,0))/30),1),""),"")</f>
        <v/>
      </c>
      <c r="T763" s="21" t="str">
        <f aca="false">IF(AND(F763="Bilbo",ISNUMBER(J763),ISNUMBER(K763)),ROUND(J763*(1+K763/30),1),"")</f>
        <v/>
      </c>
      <c r="W763" s="22"/>
      <c r="X763" s="21" t="str">
        <f aca="false">IF(AND(F763="Bilbo",E763&lt;&gt;"",G763&lt;&gt;"",H763&lt;&gt;""),E763&amp;"|"&amp;G763&amp;"|"&amp;H763,"")</f>
        <v/>
      </c>
      <c r="Y763" s="21" t="str">
        <f aca="false">IF(B763="","",IF(B763&lt;&gt;B762,1,0))</f>
        <v/>
      </c>
    </row>
    <row r="764" customFormat="false" ht="15" hidden="false" customHeight="true" outlineLevel="0" collapsed="false">
      <c r="A764" s="21" t="str">
        <f aca="false">IF(B764="","",ROW()-4)</f>
        <v/>
      </c>
      <c r="B764" s="22"/>
      <c r="C764" s="21" t="str">
        <f aca="false">IF(B764="","",CHOOSE(WEEKDAY(B764,2),"LUNES","MARTES","MIÉRCOLES","JUEVES","VIERNES","SÁBADO","DOMINGO"))</f>
        <v/>
      </c>
      <c r="M764" s="23"/>
      <c r="Q764" s="21" t="str">
        <f aca="false">IF(OR(K764="",N764=""),"",K764-N764)</f>
        <v/>
      </c>
      <c r="R764" s="21" t="str">
        <f aca="false">IF(OR(J764="",K764=""),"",J764*K764)</f>
        <v/>
      </c>
      <c r="S764" s="21" t="str">
        <f aca="false">IF(AND(ISNUMBER(J764),ISNUMBER(K764),F764&lt;&gt;"Calentamiento",F764&lt;&gt;"Bilbo"),IF(AND(K764&gt;0,K764&lt;=12),ROUND(J764*(1+(K764+IF(ISNUMBER(L764),L764,0))/30),1),""),"")</f>
        <v/>
      </c>
      <c r="T764" s="21" t="str">
        <f aca="false">IF(AND(F764="Bilbo",ISNUMBER(J764),ISNUMBER(K764)),ROUND(J764*(1+K764/30),1),"")</f>
        <v/>
      </c>
      <c r="W764" s="22"/>
      <c r="X764" s="21" t="str">
        <f aca="false">IF(AND(F764="Bilbo",E764&lt;&gt;"",G764&lt;&gt;"",H764&lt;&gt;""),E764&amp;"|"&amp;G764&amp;"|"&amp;H764,"")</f>
        <v/>
      </c>
      <c r="Y764" s="21" t="str">
        <f aca="false">IF(B764="","",IF(B764&lt;&gt;B763,1,0))</f>
        <v/>
      </c>
    </row>
    <row r="765" customFormat="false" ht="15" hidden="false" customHeight="true" outlineLevel="0" collapsed="false">
      <c r="A765" s="21" t="str">
        <f aca="false">IF(B765="","",ROW()-4)</f>
        <v/>
      </c>
      <c r="B765" s="22"/>
      <c r="C765" s="21" t="str">
        <f aca="false">IF(B765="","",CHOOSE(WEEKDAY(B765,2),"LUNES","MARTES","MIÉRCOLES","JUEVES","VIERNES","SÁBADO","DOMINGO"))</f>
        <v/>
      </c>
      <c r="M765" s="23"/>
      <c r="Q765" s="21" t="str">
        <f aca="false">IF(OR(K765="",N765=""),"",K765-N765)</f>
        <v/>
      </c>
      <c r="R765" s="21" t="str">
        <f aca="false">IF(OR(J765="",K765=""),"",J765*K765)</f>
        <v/>
      </c>
      <c r="S765" s="21" t="str">
        <f aca="false">IF(AND(ISNUMBER(J765),ISNUMBER(K765),F765&lt;&gt;"Calentamiento",F765&lt;&gt;"Bilbo"),IF(AND(K765&gt;0,K765&lt;=12),ROUND(J765*(1+(K765+IF(ISNUMBER(L765),L765,0))/30),1),""),"")</f>
        <v/>
      </c>
      <c r="T765" s="21" t="str">
        <f aca="false">IF(AND(F765="Bilbo",ISNUMBER(J765),ISNUMBER(K765)),ROUND(J765*(1+K765/30),1),"")</f>
        <v/>
      </c>
      <c r="W765" s="22"/>
      <c r="X765" s="21" t="str">
        <f aca="false">IF(AND(F765="Bilbo",E765&lt;&gt;"",G765&lt;&gt;"",H765&lt;&gt;""),E765&amp;"|"&amp;G765&amp;"|"&amp;H765,"")</f>
        <v/>
      </c>
      <c r="Y765" s="21" t="str">
        <f aca="false">IF(B765="","",IF(B765&lt;&gt;B764,1,0))</f>
        <v/>
      </c>
    </row>
    <row r="766" customFormat="false" ht="15" hidden="false" customHeight="true" outlineLevel="0" collapsed="false">
      <c r="A766" s="21" t="str">
        <f aca="false">IF(B766="","",ROW()-4)</f>
        <v/>
      </c>
      <c r="B766" s="22"/>
      <c r="C766" s="21" t="str">
        <f aca="false">IF(B766="","",CHOOSE(WEEKDAY(B766,2),"LUNES","MARTES","MIÉRCOLES","JUEVES","VIERNES","SÁBADO","DOMINGO"))</f>
        <v/>
      </c>
      <c r="M766" s="23"/>
      <c r="Q766" s="21" t="str">
        <f aca="false">IF(OR(K766="",N766=""),"",K766-N766)</f>
        <v/>
      </c>
      <c r="R766" s="21" t="str">
        <f aca="false">IF(OR(J766="",K766=""),"",J766*K766)</f>
        <v/>
      </c>
      <c r="S766" s="21" t="str">
        <f aca="false">IF(AND(ISNUMBER(J766),ISNUMBER(K766),F766&lt;&gt;"Calentamiento",F766&lt;&gt;"Bilbo"),IF(AND(K766&gt;0,K766&lt;=12),ROUND(J766*(1+(K766+IF(ISNUMBER(L766),L766,0))/30),1),""),"")</f>
        <v/>
      </c>
      <c r="T766" s="21" t="str">
        <f aca="false">IF(AND(F766="Bilbo",ISNUMBER(J766),ISNUMBER(K766)),ROUND(J766*(1+K766/30),1),"")</f>
        <v/>
      </c>
      <c r="W766" s="22"/>
      <c r="X766" s="21" t="str">
        <f aca="false">IF(AND(F766="Bilbo",E766&lt;&gt;"",G766&lt;&gt;"",H766&lt;&gt;""),E766&amp;"|"&amp;G766&amp;"|"&amp;H766,"")</f>
        <v/>
      </c>
      <c r="Y766" s="21" t="str">
        <f aca="false">IF(B766="","",IF(B766&lt;&gt;B765,1,0))</f>
        <v/>
      </c>
    </row>
    <row r="767" customFormat="false" ht="15" hidden="false" customHeight="true" outlineLevel="0" collapsed="false">
      <c r="A767" s="21" t="str">
        <f aca="false">IF(B767="","",ROW()-4)</f>
        <v/>
      </c>
      <c r="B767" s="22"/>
      <c r="C767" s="21" t="str">
        <f aca="false">IF(B767="","",CHOOSE(WEEKDAY(B767,2),"LUNES","MARTES","MIÉRCOLES","JUEVES","VIERNES","SÁBADO","DOMINGO"))</f>
        <v/>
      </c>
      <c r="M767" s="23"/>
      <c r="Q767" s="21" t="str">
        <f aca="false">IF(OR(K767="",N767=""),"",K767-N767)</f>
        <v/>
      </c>
      <c r="R767" s="21" t="str">
        <f aca="false">IF(OR(J767="",K767=""),"",J767*K767)</f>
        <v/>
      </c>
      <c r="S767" s="21" t="str">
        <f aca="false">IF(AND(ISNUMBER(J767),ISNUMBER(K767),F767&lt;&gt;"Calentamiento",F767&lt;&gt;"Bilbo"),IF(AND(K767&gt;0,K767&lt;=12),ROUND(J767*(1+(K767+IF(ISNUMBER(L767),L767,0))/30),1),""),"")</f>
        <v/>
      </c>
      <c r="T767" s="21" t="str">
        <f aca="false">IF(AND(F767="Bilbo",ISNUMBER(J767),ISNUMBER(K767)),ROUND(J767*(1+K767/30),1),"")</f>
        <v/>
      </c>
      <c r="W767" s="22"/>
      <c r="X767" s="21" t="str">
        <f aca="false">IF(AND(F767="Bilbo",E767&lt;&gt;"",G767&lt;&gt;"",H767&lt;&gt;""),E767&amp;"|"&amp;G767&amp;"|"&amp;H767,"")</f>
        <v/>
      </c>
      <c r="Y767" s="21" t="str">
        <f aca="false">IF(B767="","",IF(B767&lt;&gt;B766,1,0))</f>
        <v/>
      </c>
    </row>
    <row r="768" customFormat="false" ht="15" hidden="false" customHeight="true" outlineLevel="0" collapsed="false">
      <c r="A768" s="21" t="str">
        <f aca="false">IF(B768="","",ROW()-4)</f>
        <v/>
      </c>
      <c r="B768" s="22"/>
      <c r="C768" s="21" t="str">
        <f aca="false">IF(B768="","",CHOOSE(WEEKDAY(B768,2),"LUNES","MARTES","MIÉRCOLES","JUEVES","VIERNES","SÁBADO","DOMINGO"))</f>
        <v/>
      </c>
      <c r="M768" s="23"/>
      <c r="Q768" s="21" t="str">
        <f aca="false">IF(OR(K768="",N768=""),"",K768-N768)</f>
        <v/>
      </c>
      <c r="R768" s="21" t="str">
        <f aca="false">IF(OR(J768="",K768=""),"",J768*K768)</f>
        <v/>
      </c>
      <c r="S768" s="21" t="str">
        <f aca="false">IF(AND(ISNUMBER(J768),ISNUMBER(K768),F768&lt;&gt;"Calentamiento",F768&lt;&gt;"Bilbo"),IF(AND(K768&gt;0,K768&lt;=12),ROUND(J768*(1+(K768+IF(ISNUMBER(L768),L768,0))/30),1),""),"")</f>
        <v/>
      </c>
      <c r="T768" s="21" t="str">
        <f aca="false">IF(AND(F768="Bilbo",ISNUMBER(J768),ISNUMBER(K768)),ROUND(J768*(1+K768/30),1),"")</f>
        <v/>
      </c>
      <c r="W768" s="22"/>
      <c r="X768" s="21" t="str">
        <f aca="false">IF(AND(F768="Bilbo",E768&lt;&gt;"",G768&lt;&gt;"",H768&lt;&gt;""),E768&amp;"|"&amp;G768&amp;"|"&amp;H768,"")</f>
        <v/>
      </c>
      <c r="Y768" s="21" t="str">
        <f aca="false">IF(B768="","",IF(B768&lt;&gt;B767,1,0))</f>
        <v/>
      </c>
    </row>
    <row r="769" customFormat="false" ht="15" hidden="false" customHeight="true" outlineLevel="0" collapsed="false">
      <c r="A769" s="21" t="str">
        <f aca="false">IF(B769="","",ROW()-4)</f>
        <v/>
      </c>
      <c r="B769" s="22"/>
      <c r="C769" s="21" t="str">
        <f aca="false">IF(B769="","",CHOOSE(WEEKDAY(B769,2),"LUNES","MARTES","MIÉRCOLES","JUEVES","VIERNES","SÁBADO","DOMINGO"))</f>
        <v/>
      </c>
      <c r="M769" s="23"/>
      <c r="Q769" s="21" t="str">
        <f aca="false">IF(OR(K769="",N769=""),"",K769-N769)</f>
        <v/>
      </c>
      <c r="R769" s="21" t="str">
        <f aca="false">IF(OR(J769="",K769=""),"",J769*K769)</f>
        <v/>
      </c>
      <c r="S769" s="21" t="str">
        <f aca="false">IF(AND(ISNUMBER(J769),ISNUMBER(K769),F769&lt;&gt;"Calentamiento",F769&lt;&gt;"Bilbo"),IF(AND(K769&gt;0,K769&lt;=12),ROUND(J769*(1+(K769+IF(ISNUMBER(L769),L769,0))/30),1),""),"")</f>
        <v/>
      </c>
      <c r="T769" s="21" t="str">
        <f aca="false">IF(AND(F769="Bilbo",ISNUMBER(J769),ISNUMBER(K769)),ROUND(J769*(1+K769/30),1),"")</f>
        <v/>
      </c>
      <c r="W769" s="22"/>
      <c r="X769" s="21" t="str">
        <f aca="false">IF(AND(F769="Bilbo",E769&lt;&gt;"",G769&lt;&gt;"",H769&lt;&gt;""),E769&amp;"|"&amp;G769&amp;"|"&amp;H769,"")</f>
        <v/>
      </c>
      <c r="Y769" s="21" t="str">
        <f aca="false">IF(B769="","",IF(B769&lt;&gt;B768,1,0))</f>
        <v/>
      </c>
    </row>
    <row r="770" customFormat="false" ht="15" hidden="false" customHeight="true" outlineLevel="0" collapsed="false">
      <c r="A770" s="21" t="str">
        <f aca="false">IF(B770="","",ROW()-4)</f>
        <v/>
      </c>
      <c r="B770" s="22"/>
      <c r="C770" s="21" t="str">
        <f aca="false">IF(B770="","",CHOOSE(WEEKDAY(B770,2),"LUNES","MARTES","MIÉRCOLES","JUEVES","VIERNES","SÁBADO","DOMINGO"))</f>
        <v/>
      </c>
      <c r="M770" s="23"/>
      <c r="Q770" s="21" t="str">
        <f aca="false">IF(OR(K770="",N770=""),"",K770-N770)</f>
        <v/>
      </c>
      <c r="R770" s="21" t="str">
        <f aca="false">IF(OR(J770="",K770=""),"",J770*K770)</f>
        <v/>
      </c>
      <c r="S770" s="21" t="str">
        <f aca="false">IF(AND(ISNUMBER(J770),ISNUMBER(K770),F770&lt;&gt;"Calentamiento",F770&lt;&gt;"Bilbo"),IF(AND(K770&gt;0,K770&lt;=12),ROUND(J770*(1+(K770+IF(ISNUMBER(L770),L770,0))/30),1),""),"")</f>
        <v/>
      </c>
      <c r="T770" s="21" t="str">
        <f aca="false">IF(AND(F770="Bilbo",ISNUMBER(J770),ISNUMBER(K770)),ROUND(J770*(1+K770/30),1),"")</f>
        <v/>
      </c>
      <c r="W770" s="22"/>
      <c r="X770" s="21" t="str">
        <f aca="false">IF(AND(F770="Bilbo",E770&lt;&gt;"",G770&lt;&gt;"",H770&lt;&gt;""),E770&amp;"|"&amp;G770&amp;"|"&amp;H770,"")</f>
        <v/>
      </c>
      <c r="Y770" s="21" t="str">
        <f aca="false">IF(B770="","",IF(B770&lt;&gt;B769,1,0))</f>
        <v/>
      </c>
    </row>
    <row r="771" customFormat="false" ht="15" hidden="false" customHeight="true" outlineLevel="0" collapsed="false">
      <c r="A771" s="21" t="str">
        <f aca="false">IF(B771="","",ROW()-4)</f>
        <v/>
      </c>
      <c r="B771" s="22"/>
      <c r="C771" s="21" t="str">
        <f aca="false">IF(B771="","",CHOOSE(WEEKDAY(B771,2),"LUNES","MARTES","MIÉRCOLES","JUEVES","VIERNES","SÁBADO","DOMINGO"))</f>
        <v/>
      </c>
      <c r="M771" s="23"/>
      <c r="Q771" s="21" t="str">
        <f aca="false">IF(OR(K771="",N771=""),"",K771-N771)</f>
        <v/>
      </c>
      <c r="R771" s="21" t="str">
        <f aca="false">IF(OR(J771="",K771=""),"",J771*K771)</f>
        <v/>
      </c>
      <c r="S771" s="21" t="str">
        <f aca="false">IF(AND(ISNUMBER(J771),ISNUMBER(K771),F771&lt;&gt;"Calentamiento",F771&lt;&gt;"Bilbo"),IF(AND(K771&gt;0,K771&lt;=12),ROUND(J771*(1+(K771+IF(ISNUMBER(L771),L771,0))/30),1),""),"")</f>
        <v/>
      </c>
      <c r="T771" s="21" t="str">
        <f aca="false">IF(AND(F771="Bilbo",ISNUMBER(J771),ISNUMBER(K771)),ROUND(J771*(1+K771/30),1),"")</f>
        <v/>
      </c>
      <c r="W771" s="22"/>
      <c r="X771" s="21" t="str">
        <f aca="false">IF(AND(F771="Bilbo",E771&lt;&gt;"",G771&lt;&gt;"",H771&lt;&gt;""),E771&amp;"|"&amp;G771&amp;"|"&amp;H771,"")</f>
        <v/>
      </c>
      <c r="Y771" s="21" t="str">
        <f aca="false">IF(B771="","",IF(B771&lt;&gt;B770,1,0))</f>
        <v/>
      </c>
    </row>
    <row r="772" customFormat="false" ht="15" hidden="false" customHeight="true" outlineLevel="0" collapsed="false">
      <c r="A772" s="21" t="str">
        <f aca="false">IF(B772="","",ROW()-4)</f>
        <v/>
      </c>
      <c r="B772" s="22"/>
      <c r="C772" s="21" t="str">
        <f aca="false">IF(B772="","",CHOOSE(WEEKDAY(B772,2),"LUNES","MARTES","MIÉRCOLES","JUEVES","VIERNES","SÁBADO","DOMINGO"))</f>
        <v/>
      </c>
      <c r="M772" s="23"/>
      <c r="Q772" s="21" t="str">
        <f aca="false">IF(OR(K772="",N772=""),"",K772-N772)</f>
        <v/>
      </c>
      <c r="R772" s="21" t="str">
        <f aca="false">IF(OR(J772="",K772=""),"",J772*K772)</f>
        <v/>
      </c>
      <c r="S772" s="21" t="str">
        <f aca="false">IF(AND(ISNUMBER(J772),ISNUMBER(K772),F772&lt;&gt;"Calentamiento",F772&lt;&gt;"Bilbo"),IF(AND(K772&gt;0,K772&lt;=12),ROUND(J772*(1+(K772+IF(ISNUMBER(L772),L772,0))/30),1),""),"")</f>
        <v/>
      </c>
      <c r="T772" s="21" t="str">
        <f aca="false">IF(AND(F772="Bilbo",ISNUMBER(J772),ISNUMBER(K772)),ROUND(J772*(1+K772/30),1),"")</f>
        <v/>
      </c>
      <c r="W772" s="22"/>
      <c r="X772" s="21" t="str">
        <f aca="false">IF(AND(F772="Bilbo",E772&lt;&gt;"",G772&lt;&gt;"",H772&lt;&gt;""),E772&amp;"|"&amp;G772&amp;"|"&amp;H772,"")</f>
        <v/>
      </c>
      <c r="Y772" s="21" t="str">
        <f aca="false">IF(B772="","",IF(B772&lt;&gt;B771,1,0))</f>
        <v/>
      </c>
    </row>
    <row r="773" customFormat="false" ht="15" hidden="false" customHeight="true" outlineLevel="0" collapsed="false">
      <c r="A773" s="21" t="str">
        <f aca="false">IF(B773="","",ROW()-4)</f>
        <v/>
      </c>
      <c r="B773" s="22"/>
      <c r="C773" s="21" t="str">
        <f aca="false">IF(B773="","",CHOOSE(WEEKDAY(B773,2),"LUNES","MARTES","MIÉRCOLES","JUEVES","VIERNES","SÁBADO","DOMINGO"))</f>
        <v/>
      </c>
      <c r="M773" s="23"/>
      <c r="Q773" s="21" t="str">
        <f aca="false">IF(OR(K773="",N773=""),"",K773-N773)</f>
        <v/>
      </c>
      <c r="R773" s="21" t="str">
        <f aca="false">IF(OR(J773="",K773=""),"",J773*K773)</f>
        <v/>
      </c>
      <c r="S773" s="21" t="str">
        <f aca="false">IF(AND(ISNUMBER(J773),ISNUMBER(K773),F773&lt;&gt;"Calentamiento",F773&lt;&gt;"Bilbo"),IF(AND(K773&gt;0,K773&lt;=12),ROUND(J773*(1+(K773+IF(ISNUMBER(L773),L773,0))/30),1),""),"")</f>
        <v/>
      </c>
      <c r="T773" s="21" t="str">
        <f aca="false">IF(AND(F773="Bilbo",ISNUMBER(J773),ISNUMBER(K773)),ROUND(J773*(1+K773/30),1),"")</f>
        <v/>
      </c>
      <c r="W773" s="22"/>
      <c r="X773" s="21" t="str">
        <f aca="false">IF(AND(F773="Bilbo",E773&lt;&gt;"",G773&lt;&gt;"",H773&lt;&gt;""),E773&amp;"|"&amp;G773&amp;"|"&amp;H773,"")</f>
        <v/>
      </c>
      <c r="Y773" s="21" t="str">
        <f aca="false">IF(B773="","",IF(B773&lt;&gt;B772,1,0))</f>
        <v/>
      </c>
    </row>
    <row r="774" customFormat="false" ht="15" hidden="false" customHeight="true" outlineLevel="0" collapsed="false">
      <c r="A774" s="21" t="str">
        <f aca="false">IF(B774="","",ROW()-4)</f>
        <v/>
      </c>
      <c r="B774" s="22"/>
      <c r="C774" s="21" t="str">
        <f aca="false">IF(B774="","",CHOOSE(WEEKDAY(B774,2),"LUNES","MARTES","MIÉRCOLES","JUEVES","VIERNES","SÁBADO","DOMINGO"))</f>
        <v/>
      </c>
      <c r="M774" s="23"/>
      <c r="Q774" s="21" t="str">
        <f aca="false">IF(OR(K774="",N774=""),"",K774-N774)</f>
        <v/>
      </c>
      <c r="R774" s="21" t="str">
        <f aca="false">IF(OR(J774="",K774=""),"",J774*K774)</f>
        <v/>
      </c>
      <c r="S774" s="21" t="str">
        <f aca="false">IF(AND(ISNUMBER(J774),ISNUMBER(K774),F774&lt;&gt;"Calentamiento",F774&lt;&gt;"Bilbo"),IF(AND(K774&gt;0,K774&lt;=12),ROUND(J774*(1+(K774+IF(ISNUMBER(L774),L774,0))/30),1),""),"")</f>
        <v/>
      </c>
      <c r="T774" s="21" t="str">
        <f aca="false">IF(AND(F774="Bilbo",ISNUMBER(J774),ISNUMBER(K774)),ROUND(J774*(1+K774/30),1),"")</f>
        <v/>
      </c>
      <c r="W774" s="22"/>
      <c r="X774" s="21" t="str">
        <f aca="false">IF(AND(F774="Bilbo",E774&lt;&gt;"",G774&lt;&gt;"",H774&lt;&gt;""),E774&amp;"|"&amp;G774&amp;"|"&amp;H774,"")</f>
        <v/>
      </c>
      <c r="Y774" s="21" t="str">
        <f aca="false">IF(B774="","",IF(B774&lt;&gt;B773,1,0))</f>
        <v/>
      </c>
    </row>
    <row r="775" customFormat="false" ht="15" hidden="false" customHeight="true" outlineLevel="0" collapsed="false">
      <c r="A775" s="21" t="str">
        <f aca="false">IF(B775="","",ROW()-4)</f>
        <v/>
      </c>
      <c r="B775" s="22"/>
      <c r="C775" s="21" t="str">
        <f aca="false">IF(B775="","",CHOOSE(WEEKDAY(B775,2),"LUNES","MARTES","MIÉRCOLES","JUEVES","VIERNES","SÁBADO","DOMINGO"))</f>
        <v/>
      </c>
      <c r="M775" s="23"/>
      <c r="Q775" s="21" t="str">
        <f aca="false">IF(OR(K775="",N775=""),"",K775-N775)</f>
        <v/>
      </c>
      <c r="R775" s="21" t="str">
        <f aca="false">IF(OR(J775="",K775=""),"",J775*K775)</f>
        <v/>
      </c>
      <c r="S775" s="21" t="str">
        <f aca="false">IF(AND(ISNUMBER(J775),ISNUMBER(K775),F775&lt;&gt;"Calentamiento",F775&lt;&gt;"Bilbo"),IF(AND(K775&gt;0,K775&lt;=12),ROUND(J775*(1+(K775+IF(ISNUMBER(L775),L775,0))/30),1),""),"")</f>
        <v/>
      </c>
      <c r="T775" s="21" t="str">
        <f aca="false">IF(AND(F775="Bilbo",ISNUMBER(J775),ISNUMBER(K775)),ROUND(J775*(1+K775/30),1),"")</f>
        <v/>
      </c>
      <c r="W775" s="22"/>
      <c r="X775" s="21" t="str">
        <f aca="false">IF(AND(F775="Bilbo",E775&lt;&gt;"",G775&lt;&gt;"",H775&lt;&gt;""),E775&amp;"|"&amp;G775&amp;"|"&amp;H775,"")</f>
        <v/>
      </c>
      <c r="Y775" s="21" t="str">
        <f aca="false">IF(B775="","",IF(B775&lt;&gt;B774,1,0))</f>
        <v/>
      </c>
    </row>
    <row r="776" customFormat="false" ht="15" hidden="false" customHeight="true" outlineLevel="0" collapsed="false">
      <c r="A776" s="21" t="str">
        <f aca="false">IF(B776="","",ROW()-4)</f>
        <v/>
      </c>
      <c r="B776" s="22"/>
      <c r="C776" s="21" t="str">
        <f aca="false">IF(B776="","",CHOOSE(WEEKDAY(B776,2),"LUNES","MARTES","MIÉRCOLES","JUEVES","VIERNES","SÁBADO","DOMINGO"))</f>
        <v/>
      </c>
      <c r="M776" s="23"/>
      <c r="Q776" s="21" t="str">
        <f aca="false">IF(OR(K776="",N776=""),"",K776-N776)</f>
        <v/>
      </c>
      <c r="R776" s="21" t="str">
        <f aca="false">IF(OR(J776="",K776=""),"",J776*K776)</f>
        <v/>
      </c>
      <c r="S776" s="21" t="str">
        <f aca="false">IF(AND(ISNUMBER(J776),ISNUMBER(K776),F776&lt;&gt;"Calentamiento",F776&lt;&gt;"Bilbo"),IF(AND(K776&gt;0,K776&lt;=12),ROUND(J776*(1+(K776+IF(ISNUMBER(L776),L776,0))/30),1),""),"")</f>
        <v/>
      </c>
      <c r="T776" s="21" t="str">
        <f aca="false">IF(AND(F776="Bilbo",ISNUMBER(J776),ISNUMBER(K776)),ROUND(J776*(1+K776/30),1),"")</f>
        <v/>
      </c>
      <c r="W776" s="22"/>
      <c r="X776" s="21" t="str">
        <f aca="false">IF(AND(F776="Bilbo",E776&lt;&gt;"",G776&lt;&gt;"",H776&lt;&gt;""),E776&amp;"|"&amp;G776&amp;"|"&amp;H776,"")</f>
        <v/>
      </c>
      <c r="Y776" s="21" t="str">
        <f aca="false">IF(B776="","",IF(B776&lt;&gt;B775,1,0))</f>
        <v/>
      </c>
    </row>
    <row r="777" customFormat="false" ht="15" hidden="false" customHeight="true" outlineLevel="0" collapsed="false">
      <c r="A777" s="21" t="str">
        <f aca="false">IF(B777="","",ROW()-4)</f>
        <v/>
      </c>
      <c r="B777" s="22"/>
      <c r="C777" s="21" t="str">
        <f aca="false">IF(B777="","",CHOOSE(WEEKDAY(B777,2),"LUNES","MARTES","MIÉRCOLES","JUEVES","VIERNES","SÁBADO","DOMINGO"))</f>
        <v/>
      </c>
      <c r="M777" s="23"/>
      <c r="Q777" s="21" t="str">
        <f aca="false">IF(OR(K777="",N777=""),"",K777-N777)</f>
        <v/>
      </c>
      <c r="R777" s="21" t="str">
        <f aca="false">IF(OR(J777="",K777=""),"",J777*K777)</f>
        <v/>
      </c>
      <c r="S777" s="21" t="str">
        <f aca="false">IF(AND(ISNUMBER(J777),ISNUMBER(K777),F777&lt;&gt;"Calentamiento",F777&lt;&gt;"Bilbo"),IF(AND(K777&gt;0,K777&lt;=12),ROUND(J777*(1+(K777+IF(ISNUMBER(L777),L777,0))/30),1),""),"")</f>
        <v/>
      </c>
      <c r="T777" s="21" t="str">
        <f aca="false">IF(AND(F777="Bilbo",ISNUMBER(J777),ISNUMBER(K777)),ROUND(J777*(1+K777/30),1),"")</f>
        <v/>
      </c>
      <c r="W777" s="22"/>
      <c r="X777" s="21" t="str">
        <f aca="false">IF(AND(F777="Bilbo",E777&lt;&gt;"",G777&lt;&gt;"",H777&lt;&gt;""),E777&amp;"|"&amp;G777&amp;"|"&amp;H777,"")</f>
        <v/>
      </c>
      <c r="Y777" s="21" t="str">
        <f aca="false">IF(B777="","",IF(B777&lt;&gt;B776,1,0))</f>
        <v/>
      </c>
    </row>
    <row r="778" customFormat="false" ht="15" hidden="false" customHeight="true" outlineLevel="0" collapsed="false">
      <c r="A778" s="21" t="str">
        <f aca="false">IF(B778="","",ROW()-4)</f>
        <v/>
      </c>
      <c r="B778" s="22"/>
      <c r="C778" s="21" t="str">
        <f aca="false">IF(B778="","",CHOOSE(WEEKDAY(B778,2),"LUNES","MARTES","MIÉRCOLES","JUEVES","VIERNES","SÁBADO","DOMINGO"))</f>
        <v/>
      </c>
      <c r="M778" s="23"/>
      <c r="Q778" s="21" t="str">
        <f aca="false">IF(OR(K778="",N778=""),"",K778-N778)</f>
        <v/>
      </c>
      <c r="R778" s="21" t="str">
        <f aca="false">IF(OR(J778="",K778=""),"",J778*K778)</f>
        <v/>
      </c>
      <c r="S778" s="21" t="str">
        <f aca="false">IF(AND(ISNUMBER(J778),ISNUMBER(K778),F778&lt;&gt;"Calentamiento",F778&lt;&gt;"Bilbo"),IF(AND(K778&gt;0,K778&lt;=12),ROUND(J778*(1+(K778+IF(ISNUMBER(L778),L778,0))/30),1),""),"")</f>
        <v/>
      </c>
      <c r="T778" s="21" t="str">
        <f aca="false">IF(AND(F778="Bilbo",ISNUMBER(J778),ISNUMBER(K778)),ROUND(J778*(1+K778/30),1),"")</f>
        <v/>
      </c>
      <c r="W778" s="22"/>
      <c r="X778" s="21" t="str">
        <f aca="false">IF(AND(F778="Bilbo",E778&lt;&gt;"",G778&lt;&gt;"",H778&lt;&gt;""),E778&amp;"|"&amp;G778&amp;"|"&amp;H778,"")</f>
        <v/>
      </c>
      <c r="Y778" s="21" t="str">
        <f aca="false">IF(B778="","",IF(B778&lt;&gt;B777,1,0))</f>
        <v/>
      </c>
    </row>
    <row r="779" customFormat="false" ht="15" hidden="false" customHeight="true" outlineLevel="0" collapsed="false">
      <c r="A779" s="21" t="str">
        <f aca="false">IF(B779="","",ROW()-4)</f>
        <v/>
      </c>
      <c r="B779" s="22"/>
      <c r="C779" s="21" t="str">
        <f aca="false">IF(B779="","",CHOOSE(WEEKDAY(B779,2),"LUNES","MARTES","MIÉRCOLES","JUEVES","VIERNES","SÁBADO","DOMINGO"))</f>
        <v/>
      </c>
      <c r="M779" s="23"/>
      <c r="Q779" s="21" t="str">
        <f aca="false">IF(OR(K779="",N779=""),"",K779-N779)</f>
        <v/>
      </c>
      <c r="R779" s="21" t="str">
        <f aca="false">IF(OR(J779="",K779=""),"",J779*K779)</f>
        <v/>
      </c>
      <c r="S779" s="21" t="str">
        <f aca="false">IF(AND(ISNUMBER(J779),ISNUMBER(K779),F779&lt;&gt;"Calentamiento",F779&lt;&gt;"Bilbo"),IF(AND(K779&gt;0,K779&lt;=12),ROUND(J779*(1+(K779+IF(ISNUMBER(L779),L779,0))/30),1),""),"")</f>
        <v/>
      </c>
      <c r="T779" s="21" t="str">
        <f aca="false">IF(AND(F779="Bilbo",ISNUMBER(J779),ISNUMBER(K779)),ROUND(J779*(1+K779/30),1),"")</f>
        <v/>
      </c>
      <c r="W779" s="22"/>
      <c r="X779" s="21" t="str">
        <f aca="false">IF(AND(F779="Bilbo",E779&lt;&gt;"",G779&lt;&gt;"",H779&lt;&gt;""),E779&amp;"|"&amp;G779&amp;"|"&amp;H779,"")</f>
        <v/>
      </c>
      <c r="Y779" s="21" t="str">
        <f aca="false">IF(B779="","",IF(B779&lt;&gt;B778,1,0))</f>
        <v/>
      </c>
    </row>
    <row r="780" customFormat="false" ht="15" hidden="false" customHeight="true" outlineLevel="0" collapsed="false">
      <c r="A780" s="21" t="str">
        <f aca="false">IF(B780="","",ROW()-4)</f>
        <v/>
      </c>
      <c r="B780" s="22"/>
      <c r="C780" s="21" t="str">
        <f aca="false">IF(B780="","",CHOOSE(WEEKDAY(B780,2),"LUNES","MARTES","MIÉRCOLES","JUEVES","VIERNES","SÁBADO","DOMINGO"))</f>
        <v/>
      </c>
      <c r="M780" s="23"/>
      <c r="Q780" s="21" t="str">
        <f aca="false">IF(OR(K780="",N780=""),"",K780-N780)</f>
        <v/>
      </c>
      <c r="R780" s="21" t="str">
        <f aca="false">IF(OR(J780="",K780=""),"",J780*K780)</f>
        <v/>
      </c>
      <c r="S780" s="21" t="str">
        <f aca="false">IF(AND(ISNUMBER(J780),ISNUMBER(K780),F780&lt;&gt;"Calentamiento",F780&lt;&gt;"Bilbo"),IF(AND(K780&gt;0,K780&lt;=12),ROUND(J780*(1+(K780+IF(ISNUMBER(L780),L780,0))/30),1),""),"")</f>
        <v/>
      </c>
      <c r="T780" s="21" t="str">
        <f aca="false">IF(AND(F780="Bilbo",ISNUMBER(J780),ISNUMBER(K780)),ROUND(J780*(1+K780/30),1),"")</f>
        <v/>
      </c>
      <c r="W780" s="22"/>
      <c r="X780" s="21" t="str">
        <f aca="false">IF(AND(F780="Bilbo",E780&lt;&gt;"",G780&lt;&gt;"",H780&lt;&gt;""),E780&amp;"|"&amp;G780&amp;"|"&amp;H780,"")</f>
        <v/>
      </c>
      <c r="Y780" s="21" t="str">
        <f aca="false">IF(B780="","",IF(B780&lt;&gt;B779,1,0))</f>
        <v/>
      </c>
    </row>
    <row r="781" customFormat="false" ht="15" hidden="false" customHeight="true" outlineLevel="0" collapsed="false">
      <c r="A781" s="21" t="str">
        <f aca="false">IF(B781="","",ROW()-4)</f>
        <v/>
      </c>
      <c r="B781" s="22"/>
      <c r="C781" s="21" t="str">
        <f aca="false">IF(B781="","",CHOOSE(WEEKDAY(B781,2),"LUNES","MARTES","MIÉRCOLES","JUEVES","VIERNES","SÁBADO","DOMINGO"))</f>
        <v/>
      </c>
      <c r="M781" s="23"/>
      <c r="Q781" s="21" t="str">
        <f aca="false">IF(OR(K781="",N781=""),"",K781-N781)</f>
        <v/>
      </c>
      <c r="R781" s="21" t="str">
        <f aca="false">IF(OR(J781="",K781=""),"",J781*K781)</f>
        <v/>
      </c>
      <c r="S781" s="21" t="str">
        <f aca="false">IF(AND(ISNUMBER(J781),ISNUMBER(K781),F781&lt;&gt;"Calentamiento",F781&lt;&gt;"Bilbo"),IF(AND(K781&gt;0,K781&lt;=12),ROUND(J781*(1+(K781+IF(ISNUMBER(L781),L781,0))/30),1),""),"")</f>
        <v/>
      </c>
      <c r="T781" s="21" t="str">
        <f aca="false">IF(AND(F781="Bilbo",ISNUMBER(J781),ISNUMBER(K781)),ROUND(J781*(1+K781/30),1),"")</f>
        <v/>
      </c>
      <c r="W781" s="22"/>
      <c r="X781" s="21" t="str">
        <f aca="false">IF(AND(F781="Bilbo",E781&lt;&gt;"",G781&lt;&gt;"",H781&lt;&gt;""),E781&amp;"|"&amp;G781&amp;"|"&amp;H781,"")</f>
        <v/>
      </c>
      <c r="Y781" s="21" t="str">
        <f aca="false">IF(B781="","",IF(B781&lt;&gt;B780,1,0))</f>
        <v/>
      </c>
    </row>
    <row r="782" customFormat="false" ht="15" hidden="false" customHeight="true" outlineLevel="0" collapsed="false">
      <c r="A782" s="21" t="str">
        <f aca="false">IF(B782="","",ROW()-4)</f>
        <v/>
      </c>
      <c r="B782" s="22"/>
      <c r="C782" s="21" t="str">
        <f aca="false">IF(B782="","",CHOOSE(WEEKDAY(B782,2),"LUNES","MARTES","MIÉRCOLES","JUEVES","VIERNES","SÁBADO","DOMINGO"))</f>
        <v/>
      </c>
      <c r="M782" s="23"/>
      <c r="Q782" s="21" t="str">
        <f aca="false">IF(OR(K782="",N782=""),"",K782-N782)</f>
        <v/>
      </c>
      <c r="R782" s="21" t="str">
        <f aca="false">IF(OR(J782="",K782=""),"",J782*K782)</f>
        <v/>
      </c>
      <c r="S782" s="21" t="str">
        <f aca="false">IF(AND(ISNUMBER(J782),ISNUMBER(K782),F782&lt;&gt;"Calentamiento",F782&lt;&gt;"Bilbo"),IF(AND(K782&gt;0,K782&lt;=12),ROUND(J782*(1+(K782+IF(ISNUMBER(L782),L782,0))/30),1),""),"")</f>
        <v/>
      </c>
      <c r="T782" s="21" t="str">
        <f aca="false">IF(AND(F782="Bilbo",ISNUMBER(J782),ISNUMBER(K782)),ROUND(J782*(1+K782/30),1),"")</f>
        <v/>
      </c>
      <c r="W782" s="22"/>
      <c r="X782" s="21" t="str">
        <f aca="false">IF(AND(F782="Bilbo",E782&lt;&gt;"",G782&lt;&gt;"",H782&lt;&gt;""),E782&amp;"|"&amp;G782&amp;"|"&amp;H782,"")</f>
        <v/>
      </c>
      <c r="Y782" s="21" t="str">
        <f aca="false">IF(B782="","",IF(B782&lt;&gt;B781,1,0))</f>
        <v/>
      </c>
    </row>
    <row r="783" customFormat="false" ht="15" hidden="false" customHeight="true" outlineLevel="0" collapsed="false">
      <c r="A783" s="21" t="str">
        <f aca="false">IF(B783="","",ROW()-4)</f>
        <v/>
      </c>
      <c r="B783" s="22"/>
      <c r="C783" s="21" t="str">
        <f aca="false">IF(B783="","",CHOOSE(WEEKDAY(B783,2),"LUNES","MARTES","MIÉRCOLES","JUEVES","VIERNES","SÁBADO","DOMINGO"))</f>
        <v/>
      </c>
      <c r="M783" s="23"/>
      <c r="Q783" s="21" t="str">
        <f aca="false">IF(OR(K783="",N783=""),"",K783-N783)</f>
        <v/>
      </c>
      <c r="R783" s="21" t="str">
        <f aca="false">IF(OR(J783="",K783=""),"",J783*K783)</f>
        <v/>
      </c>
      <c r="S783" s="21" t="str">
        <f aca="false">IF(AND(ISNUMBER(J783),ISNUMBER(K783),F783&lt;&gt;"Calentamiento",F783&lt;&gt;"Bilbo"),IF(AND(K783&gt;0,K783&lt;=12),ROUND(J783*(1+(K783+IF(ISNUMBER(L783),L783,0))/30),1),""),"")</f>
        <v/>
      </c>
      <c r="T783" s="21" t="str">
        <f aca="false">IF(AND(F783="Bilbo",ISNUMBER(J783),ISNUMBER(K783)),ROUND(J783*(1+K783/30),1),"")</f>
        <v/>
      </c>
      <c r="W783" s="22"/>
      <c r="X783" s="21" t="str">
        <f aca="false">IF(AND(F783="Bilbo",E783&lt;&gt;"",G783&lt;&gt;"",H783&lt;&gt;""),E783&amp;"|"&amp;G783&amp;"|"&amp;H783,"")</f>
        <v/>
      </c>
      <c r="Y783" s="21" t="str">
        <f aca="false">IF(B783="","",IF(B783&lt;&gt;B782,1,0))</f>
        <v/>
      </c>
    </row>
    <row r="784" customFormat="false" ht="15" hidden="false" customHeight="true" outlineLevel="0" collapsed="false">
      <c r="A784" s="21" t="str">
        <f aca="false">IF(B784="","",ROW()-4)</f>
        <v/>
      </c>
      <c r="B784" s="22"/>
      <c r="C784" s="21" t="str">
        <f aca="false">IF(B784="","",CHOOSE(WEEKDAY(B784,2),"LUNES","MARTES","MIÉRCOLES","JUEVES","VIERNES","SÁBADO","DOMINGO"))</f>
        <v/>
      </c>
      <c r="M784" s="23"/>
      <c r="Q784" s="21" t="str">
        <f aca="false">IF(OR(K784="",N784=""),"",K784-N784)</f>
        <v/>
      </c>
      <c r="R784" s="21" t="str">
        <f aca="false">IF(OR(J784="",K784=""),"",J784*K784)</f>
        <v/>
      </c>
      <c r="S784" s="21" t="str">
        <f aca="false">IF(AND(ISNUMBER(J784),ISNUMBER(K784),F784&lt;&gt;"Calentamiento",F784&lt;&gt;"Bilbo"),IF(AND(K784&gt;0,K784&lt;=12),ROUND(J784*(1+(K784+IF(ISNUMBER(L784),L784,0))/30),1),""),"")</f>
        <v/>
      </c>
      <c r="T784" s="21" t="str">
        <f aca="false">IF(AND(F784="Bilbo",ISNUMBER(J784),ISNUMBER(K784)),ROUND(J784*(1+K784/30),1),"")</f>
        <v/>
      </c>
      <c r="W784" s="22"/>
      <c r="X784" s="21" t="str">
        <f aca="false">IF(AND(F784="Bilbo",E784&lt;&gt;"",G784&lt;&gt;"",H784&lt;&gt;""),E784&amp;"|"&amp;G784&amp;"|"&amp;H784,"")</f>
        <v/>
      </c>
      <c r="Y784" s="21" t="str">
        <f aca="false">IF(B784="","",IF(B784&lt;&gt;B783,1,0))</f>
        <v/>
      </c>
    </row>
    <row r="785" customFormat="false" ht="15" hidden="false" customHeight="true" outlineLevel="0" collapsed="false">
      <c r="A785" s="21" t="str">
        <f aca="false">IF(B785="","",ROW()-4)</f>
        <v/>
      </c>
      <c r="B785" s="22"/>
      <c r="C785" s="21" t="str">
        <f aca="false">IF(B785="","",CHOOSE(WEEKDAY(B785,2),"LUNES","MARTES","MIÉRCOLES","JUEVES","VIERNES","SÁBADO","DOMINGO"))</f>
        <v/>
      </c>
      <c r="M785" s="23"/>
      <c r="Q785" s="21" t="str">
        <f aca="false">IF(OR(K785="",N785=""),"",K785-N785)</f>
        <v/>
      </c>
      <c r="R785" s="21" t="str">
        <f aca="false">IF(OR(J785="",K785=""),"",J785*K785)</f>
        <v/>
      </c>
      <c r="S785" s="21" t="str">
        <f aca="false">IF(AND(ISNUMBER(J785),ISNUMBER(K785),F785&lt;&gt;"Calentamiento",F785&lt;&gt;"Bilbo"),IF(AND(K785&gt;0,K785&lt;=12),ROUND(J785*(1+(K785+IF(ISNUMBER(L785),L785,0))/30),1),""),"")</f>
        <v/>
      </c>
      <c r="T785" s="21" t="str">
        <f aca="false">IF(AND(F785="Bilbo",ISNUMBER(J785),ISNUMBER(K785)),ROUND(J785*(1+K785/30),1),"")</f>
        <v/>
      </c>
      <c r="W785" s="22"/>
      <c r="X785" s="21" t="str">
        <f aca="false">IF(AND(F785="Bilbo",E785&lt;&gt;"",G785&lt;&gt;"",H785&lt;&gt;""),E785&amp;"|"&amp;G785&amp;"|"&amp;H785,"")</f>
        <v/>
      </c>
      <c r="Y785" s="21" t="str">
        <f aca="false">IF(B785="","",IF(B785&lt;&gt;B784,1,0))</f>
        <v/>
      </c>
    </row>
    <row r="786" customFormat="false" ht="15" hidden="false" customHeight="true" outlineLevel="0" collapsed="false">
      <c r="A786" s="21" t="str">
        <f aca="false">IF(B786="","",ROW()-4)</f>
        <v/>
      </c>
      <c r="B786" s="22"/>
      <c r="C786" s="21" t="str">
        <f aca="false">IF(B786="","",CHOOSE(WEEKDAY(B786,2),"LUNES","MARTES","MIÉRCOLES","JUEVES","VIERNES","SÁBADO","DOMINGO"))</f>
        <v/>
      </c>
      <c r="M786" s="23"/>
      <c r="Q786" s="21" t="str">
        <f aca="false">IF(OR(K786="",N786=""),"",K786-N786)</f>
        <v/>
      </c>
      <c r="R786" s="21" t="str">
        <f aca="false">IF(OR(J786="",K786=""),"",J786*K786)</f>
        <v/>
      </c>
      <c r="S786" s="21" t="str">
        <f aca="false">IF(AND(ISNUMBER(J786),ISNUMBER(K786),F786&lt;&gt;"Calentamiento",F786&lt;&gt;"Bilbo"),IF(AND(K786&gt;0,K786&lt;=12),ROUND(J786*(1+(K786+IF(ISNUMBER(L786),L786,0))/30),1),""),"")</f>
        <v/>
      </c>
      <c r="T786" s="21" t="str">
        <f aca="false">IF(AND(F786="Bilbo",ISNUMBER(J786),ISNUMBER(K786)),ROUND(J786*(1+K786/30),1),"")</f>
        <v/>
      </c>
      <c r="W786" s="22"/>
      <c r="X786" s="21" t="str">
        <f aca="false">IF(AND(F786="Bilbo",E786&lt;&gt;"",G786&lt;&gt;"",H786&lt;&gt;""),E786&amp;"|"&amp;G786&amp;"|"&amp;H786,"")</f>
        <v/>
      </c>
      <c r="Y786" s="21" t="str">
        <f aca="false">IF(B786="","",IF(B786&lt;&gt;B785,1,0))</f>
        <v/>
      </c>
    </row>
    <row r="787" customFormat="false" ht="15" hidden="false" customHeight="true" outlineLevel="0" collapsed="false">
      <c r="A787" s="21" t="str">
        <f aca="false">IF(B787="","",ROW()-4)</f>
        <v/>
      </c>
      <c r="B787" s="22"/>
      <c r="C787" s="21" t="str">
        <f aca="false">IF(B787="","",CHOOSE(WEEKDAY(B787,2),"LUNES","MARTES","MIÉRCOLES","JUEVES","VIERNES","SÁBADO","DOMINGO"))</f>
        <v/>
      </c>
      <c r="M787" s="23"/>
      <c r="Q787" s="21" t="str">
        <f aca="false">IF(OR(K787="",N787=""),"",K787-N787)</f>
        <v/>
      </c>
      <c r="R787" s="21" t="str">
        <f aca="false">IF(OR(J787="",K787=""),"",J787*K787)</f>
        <v/>
      </c>
      <c r="S787" s="21" t="str">
        <f aca="false">IF(AND(ISNUMBER(J787),ISNUMBER(K787),F787&lt;&gt;"Calentamiento",F787&lt;&gt;"Bilbo"),IF(AND(K787&gt;0,K787&lt;=12),ROUND(J787*(1+(K787+IF(ISNUMBER(L787),L787,0))/30),1),""),"")</f>
        <v/>
      </c>
      <c r="T787" s="21" t="str">
        <f aca="false">IF(AND(F787="Bilbo",ISNUMBER(J787),ISNUMBER(K787)),ROUND(J787*(1+K787/30),1),"")</f>
        <v/>
      </c>
      <c r="W787" s="22"/>
      <c r="X787" s="21" t="str">
        <f aca="false">IF(AND(F787="Bilbo",E787&lt;&gt;"",G787&lt;&gt;"",H787&lt;&gt;""),E787&amp;"|"&amp;G787&amp;"|"&amp;H787,"")</f>
        <v/>
      </c>
      <c r="Y787" s="21" t="str">
        <f aca="false">IF(B787="","",IF(B787&lt;&gt;B786,1,0))</f>
        <v/>
      </c>
    </row>
    <row r="788" customFormat="false" ht="15" hidden="false" customHeight="true" outlineLevel="0" collapsed="false">
      <c r="A788" s="21" t="str">
        <f aca="false">IF(B788="","",ROW()-4)</f>
        <v/>
      </c>
      <c r="B788" s="22"/>
      <c r="C788" s="21" t="str">
        <f aca="false">IF(B788="","",CHOOSE(WEEKDAY(B788,2),"LUNES","MARTES","MIÉRCOLES","JUEVES","VIERNES","SÁBADO","DOMINGO"))</f>
        <v/>
      </c>
      <c r="M788" s="23"/>
      <c r="Q788" s="21" t="str">
        <f aca="false">IF(OR(K788="",N788=""),"",K788-N788)</f>
        <v/>
      </c>
      <c r="R788" s="21" t="str">
        <f aca="false">IF(OR(J788="",K788=""),"",J788*K788)</f>
        <v/>
      </c>
      <c r="S788" s="21" t="str">
        <f aca="false">IF(AND(ISNUMBER(J788),ISNUMBER(K788),F788&lt;&gt;"Calentamiento",F788&lt;&gt;"Bilbo"),IF(AND(K788&gt;0,K788&lt;=12),ROUND(J788*(1+(K788+IF(ISNUMBER(L788),L788,0))/30),1),""),"")</f>
        <v/>
      </c>
      <c r="T788" s="21" t="str">
        <f aca="false">IF(AND(F788="Bilbo",ISNUMBER(J788),ISNUMBER(K788)),ROUND(J788*(1+K788/30),1),"")</f>
        <v/>
      </c>
      <c r="W788" s="22"/>
      <c r="X788" s="21" t="str">
        <f aca="false">IF(AND(F788="Bilbo",E788&lt;&gt;"",G788&lt;&gt;"",H788&lt;&gt;""),E788&amp;"|"&amp;G788&amp;"|"&amp;H788,"")</f>
        <v/>
      </c>
      <c r="Y788" s="21" t="str">
        <f aca="false">IF(B788="","",IF(B788&lt;&gt;B787,1,0))</f>
        <v/>
      </c>
    </row>
    <row r="789" customFormat="false" ht="15" hidden="false" customHeight="true" outlineLevel="0" collapsed="false">
      <c r="A789" s="21" t="str">
        <f aca="false">IF(B789="","",ROW()-4)</f>
        <v/>
      </c>
      <c r="B789" s="22"/>
      <c r="C789" s="21" t="str">
        <f aca="false">IF(B789="","",CHOOSE(WEEKDAY(B789,2),"LUNES","MARTES","MIÉRCOLES","JUEVES","VIERNES","SÁBADO","DOMINGO"))</f>
        <v/>
      </c>
      <c r="M789" s="23"/>
      <c r="Q789" s="21" t="str">
        <f aca="false">IF(OR(K789="",N789=""),"",K789-N789)</f>
        <v/>
      </c>
      <c r="R789" s="21" t="str">
        <f aca="false">IF(OR(J789="",K789=""),"",J789*K789)</f>
        <v/>
      </c>
      <c r="S789" s="21" t="str">
        <f aca="false">IF(AND(ISNUMBER(J789),ISNUMBER(K789),F789&lt;&gt;"Calentamiento",F789&lt;&gt;"Bilbo"),IF(AND(K789&gt;0,K789&lt;=12),ROUND(J789*(1+(K789+IF(ISNUMBER(L789),L789,0))/30),1),""),"")</f>
        <v/>
      </c>
      <c r="T789" s="21" t="str">
        <f aca="false">IF(AND(F789="Bilbo",ISNUMBER(J789),ISNUMBER(K789)),ROUND(J789*(1+K789/30),1),"")</f>
        <v/>
      </c>
      <c r="W789" s="22"/>
      <c r="X789" s="21" t="str">
        <f aca="false">IF(AND(F789="Bilbo",E789&lt;&gt;"",G789&lt;&gt;"",H789&lt;&gt;""),E789&amp;"|"&amp;G789&amp;"|"&amp;H789,"")</f>
        <v/>
      </c>
      <c r="Y789" s="21" t="str">
        <f aca="false">IF(B789="","",IF(B789&lt;&gt;B788,1,0))</f>
        <v/>
      </c>
    </row>
    <row r="790" customFormat="false" ht="15" hidden="false" customHeight="true" outlineLevel="0" collapsed="false">
      <c r="A790" s="21" t="str">
        <f aca="false">IF(B790="","",ROW()-4)</f>
        <v/>
      </c>
      <c r="B790" s="22"/>
      <c r="C790" s="21" t="str">
        <f aca="false">IF(B790="","",CHOOSE(WEEKDAY(B790,2),"LUNES","MARTES","MIÉRCOLES","JUEVES","VIERNES","SÁBADO","DOMINGO"))</f>
        <v/>
      </c>
      <c r="M790" s="23"/>
      <c r="Q790" s="21" t="str">
        <f aca="false">IF(OR(K790="",N790=""),"",K790-N790)</f>
        <v/>
      </c>
      <c r="R790" s="21" t="str">
        <f aca="false">IF(OR(J790="",K790=""),"",J790*K790)</f>
        <v/>
      </c>
      <c r="S790" s="21" t="str">
        <f aca="false">IF(AND(ISNUMBER(J790),ISNUMBER(K790),F790&lt;&gt;"Calentamiento",F790&lt;&gt;"Bilbo"),IF(AND(K790&gt;0,K790&lt;=12),ROUND(J790*(1+(K790+IF(ISNUMBER(L790),L790,0))/30),1),""),"")</f>
        <v/>
      </c>
      <c r="T790" s="21" t="str">
        <f aca="false">IF(AND(F790="Bilbo",ISNUMBER(J790),ISNUMBER(K790)),ROUND(J790*(1+K790/30),1),"")</f>
        <v/>
      </c>
      <c r="W790" s="22"/>
      <c r="X790" s="21" t="str">
        <f aca="false">IF(AND(F790="Bilbo",E790&lt;&gt;"",G790&lt;&gt;"",H790&lt;&gt;""),E790&amp;"|"&amp;G790&amp;"|"&amp;H790,"")</f>
        <v/>
      </c>
      <c r="Y790" s="21" t="str">
        <f aca="false">IF(B790="","",IF(B790&lt;&gt;B789,1,0))</f>
        <v/>
      </c>
    </row>
    <row r="791" customFormat="false" ht="15" hidden="false" customHeight="true" outlineLevel="0" collapsed="false">
      <c r="A791" s="21" t="str">
        <f aca="false">IF(B791="","",ROW()-4)</f>
        <v/>
      </c>
      <c r="B791" s="22"/>
      <c r="C791" s="21" t="str">
        <f aca="false">IF(B791="","",CHOOSE(WEEKDAY(B791,2),"LUNES","MARTES","MIÉRCOLES","JUEVES","VIERNES","SÁBADO","DOMINGO"))</f>
        <v/>
      </c>
      <c r="M791" s="23"/>
      <c r="Q791" s="21" t="str">
        <f aca="false">IF(OR(K791="",N791=""),"",K791-N791)</f>
        <v/>
      </c>
      <c r="R791" s="21" t="str">
        <f aca="false">IF(OR(J791="",K791=""),"",J791*K791)</f>
        <v/>
      </c>
      <c r="S791" s="21" t="str">
        <f aca="false">IF(AND(ISNUMBER(J791),ISNUMBER(K791),F791&lt;&gt;"Calentamiento",F791&lt;&gt;"Bilbo"),IF(AND(K791&gt;0,K791&lt;=12),ROUND(J791*(1+(K791+IF(ISNUMBER(L791),L791,0))/30),1),""),"")</f>
        <v/>
      </c>
      <c r="T791" s="21" t="str">
        <f aca="false">IF(AND(F791="Bilbo",ISNUMBER(J791),ISNUMBER(K791)),ROUND(J791*(1+K791/30),1),"")</f>
        <v/>
      </c>
      <c r="W791" s="22"/>
      <c r="X791" s="21" t="str">
        <f aca="false">IF(AND(F791="Bilbo",E791&lt;&gt;"",G791&lt;&gt;"",H791&lt;&gt;""),E791&amp;"|"&amp;G791&amp;"|"&amp;H791,"")</f>
        <v/>
      </c>
      <c r="Y791" s="21" t="str">
        <f aca="false">IF(B791="","",IF(B791&lt;&gt;B790,1,0))</f>
        <v/>
      </c>
    </row>
    <row r="792" customFormat="false" ht="15" hidden="false" customHeight="true" outlineLevel="0" collapsed="false">
      <c r="A792" s="21" t="str">
        <f aca="false">IF(B792="","",ROW()-4)</f>
        <v/>
      </c>
      <c r="B792" s="22"/>
      <c r="C792" s="21" t="str">
        <f aca="false">IF(B792="","",CHOOSE(WEEKDAY(B792,2),"LUNES","MARTES","MIÉRCOLES","JUEVES","VIERNES","SÁBADO","DOMINGO"))</f>
        <v/>
      </c>
      <c r="M792" s="23"/>
      <c r="Q792" s="21" t="str">
        <f aca="false">IF(OR(K792="",N792=""),"",K792-N792)</f>
        <v/>
      </c>
      <c r="R792" s="21" t="str">
        <f aca="false">IF(OR(J792="",K792=""),"",J792*K792)</f>
        <v/>
      </c>
      <c r="S792" s="21" t="str">
        <f aca="false">IF(AND(ISNUMBER(J792),ISNUMBER(K792),F792&lt;&gt;"Calentamiento",F792&lt;&gt;"Bilbo"),IF(AND(K792&gt;0,K792&lt;=12),ROUND(J792*(1+(K792+IF(ISNUMBER(L792),L792,0))/30),1),""),"")</f>
        <v/>
      </c>
      <c r="T792" s="21" t="str">
        <f aca="false">IF(AND(F792="Bilbo",ISNUMBER(J792),ISNUMBER(K792)),ROUND(J792*(1+K792/30),1),"")</f>
        <v/>
      </c>
      <c r="W792" s="22"/>
      <c r="X792" s="21" t="str">
        <f aca="false">IF(AND(F792="Bilbo",E792&lt;&gt;"",G792&lt;&gt;"",H792&lt;&gt;""),E792&amp;"|"&amp;G792&amp;"|"&amp;H792,"")</f>
        <v/>
      </c>
      <c r="Y792" s="21" t="str">
        <f aca="false">IF(B792="","",IF(B792&lt;&gt;B791,1,0))</f>
        <v/>
      </c>
    </row>
    <row r="793" customFormat="false" ht="15" hidden="false" customHeight="true" outlineLevel="0" collapsed="false">
      <c r="A793" s="21" t="str">
        <f aca="false">IF(B793="","",ROW()-4)</f>
        <v/>
      </c>
      <c r="B793" s="22"/>
      <c r="C793" s="21" t="str">
        <f aca="false">IF(B793="","",CHOOSE(WEEKDAY(B793,2),"LUNES","MARTES","MIÉRCOLES","JUEVES","VIERNES","SÁBADO","DOMINGO"))</f>
        <v/>
      </c>
      <c r="M793" s="23"/>
      <c r="Q793" s="21" t="str">
        <f aca="false">IF(OR(K793="",N793=""),"",K793-N793)</f>
        <v/>
      </c>
      <c r="R793" s="21" t="str">
        <f aca="false">IF(OR(J793="",K793=""),"",J793*K793)</f>
        <v/>
      </c>
      <c r="S793" s="21" t="str">
        <f aca="false">IF(AND(ISNUMBER(J793),ISNUMBER(K793),F793&lt;&gt;"Calentamiento",F793&lt;&gt;"Bilbo"),IF(AND(K793&gt;0,K793&lt;=12),ROUND(J793*(1+(K793+IF(ISNUMBER(L793),L793,0))/30),1),""),"")</f>
        <v/>
      </c>
      <c r="T793" s="21" t="str">
        <f aca="false">IF(AND(F793="Bilbo",ISNUMBER(J793),ISNUMBER(K793)),ROUND(J793*(1+K793/30),1),"")</f>
        <v/>
      </c>
      <c r="W793" s="22"/>
      <c r="X793" s="21" t="str">
        <f aca="false">IF(AND(F793="Bilbo",E793&lt;&gt;"",G793&lt;&gt;"",H793&lt;&gt;""),E793&amp;"|"&amp;G793&amp;"|"&amp;H793,"")</f>
        <v/>
      </c>
      <c r="Y793" s="21" t="str">
        <f aca="false">IF(B793="","",IF(B793&lt;&gt;B792,1,0))</f>
        <v/>
      </c>
    </row>
    <row r="794" customFormat="false" ht="15" hidden="false" customHeight="true" outlineLevel="0" collapsed="false">
      <c r="A794" s="21" t="str">
        <f aca="false">IF(B794="","",ROW()-4)</f>
        <v/>
      </c>
      <c r="B794" s="22"/>
      <c r="C794" s="21" t="str">
        <f aca="false">IF(B794="","",CHOOSE(WEEKDAY(B794,2),"LUNES","MARTES","MIÉRCOLES","JUEVES","VIERNES","SÁBADO","DOMINGO"))</f>
        <v/>
      </c>
      <c r="M794" s="23"/>
      <c r="Q794" s="21" t="str">
        <f aca="false">IF(OR(K794="",N794=""),"",K794-N794)</f>
        <v/>
      </c>
      <c r="R794" s="21" t="str">
        <f aca="false">IF(OR(J794="",K794=""),"",J794*K794)</f>
        <v/>
      </c>
      <c r="S794" s="21" t="str">
        <f aca="false">IF(AND(ISNUMBER(J794),ISNUMBER(K794),F794&lt;&gt;"Calentamiento",F794&lt;&gt;"Bilbo"),IF(AND(K794&gt;0,K794&lt;=12),ROUND(J794*(1+(K794+IF(ISNUMBER(L794),L794,0))/30),1),""),"")</f>
        <v/>
      </c>
      <c r="T794" s="21" t="str">
        <f aca="false">IF(AND(F794="Bilbo",ISNUMBER(J794),ISNUMBER(K794)),ROUND(J794*(1+K794/30),1),"")</f>
        <v/>
      </c>
      <c r="W794" s="22"/>
      <c r="X794" s="21" t="str">
        <f aca="false">IF(AND(F794="Bilbo",E794&lt;&gt;"",G794&lt;&gt;"",H794&lt;&gt;""),E794&amp;"|"&amp;G794&amp;"|"&amp;H794,"")</f>
        <v/>
      </c>
      <c r="Y794" s="21" t="str">
        <f aca="false">IF(B794="","",IF(B794&lt;&gt;B793,1,0))</f>
        <v/>
      </c>
    </row>
    <row r="795" customFormat="false" ht="15" hidden="false" customHeight="true" outlineLevel="0" collapsed="false">
      <c r="A795" s="21" t="str">
        <f aca="false">IF(B795="","",ROW()-4)</f>
        <v/>
      </c>
      <c r="B795" s="22"/>
      <c r="C795" s="21" t="str">
        <f aca="false">IF(B795="","",CHOOSE(WEEKDAY(B795,2),"LUNES","MARTES","MIÉRCOLES","JUEVES","VIERNES","SÁBADO","DOMINGO"))</f>
        <v/>
      </c>
      <c r="M795" s="23"/>
      <c r="Q795" s="21" t="str">
        <f aca="false">IF(OR(K795="",N795=""),"",K795-N795)</f>
        <v/>
      </c>
      <c r="R795" s="21" t="str">
        <f aca="false">IF(OR(J795="",K795=""),"",J795*K795)</f>
        <v/>
      </c>
      <c r="S795" s="21" t="str">
        <f aca="false">IF(AND(ISNUMBER(J795),ISNUMBER(K795),F795&lt;&gt;"Calentamiento",F795&lt;&gt;"Bilbo"),IF(AND(K795&gt;0,K795&lt;=12),ROUND(J795*(1+(K795+IF(ISNUMBER(L795),L795,0))/30),1),""),"")</f>
        <v/>
      </c>
      <c r="T795" s="21" t="str">
        <f aca="false">IF(AND(F795="Bilbo",ISNUMBER(J795),ISNUMBER(K795)),ROUND(J795*(1+K795/30),1),"")</f>
        <v/>
      </c>
      <c r="W795" s="22"/>
      <c r="X795" s="21" t="str">
        <f aca="false">IF(AND(F795="Bilbo",E795&lt;&gt;"",G795&lt;&gt;"",H795&lt;&gt;""),E795&amp;"|"&amp;G795&amp;"|"&amp;H795,"")</f>
        <v/>
      </c>
      <c r="Y795" s="21" t="str">
        <f aca="false">IF(B795="","",IF(B795&lt;&gt;B794,1,0))</f>
        <v/>
      </c>
    </row>
    <row r="796" customFormat="false" ht="15" hidden="false" customHeight="true" outlineLevel="0" collapsed="false">
      <c r="A796" s="21" t="str">
        <f aca="false">IF(B796="","",ROW()-4)</f>
        <v/>
      </c>
      <c r="B796" s="22"/>
      <c r="C796" s="21" t="str">
        <f aca="false">IF(B796="","",CHOOSE(WEEKDAY(B796,2),"LUNES","MARTES","MIÉRCOLES","JUEVES","VIERNES","SÁBADO","DOMINGO"))</f>
        <v/>
      </c>
      <c r="M796" s="23"/>
      <c r="Q796" s="21" t="str">
        <f aca="false">IF(OR(K796="",N796=""),"",K796-N796)</f>
        <v/>
      </c>
      <c r="R796" s="21" t="str">
        <f aca="false">IF(OR(J796="",K796=""),"",J796*K796)</f>
        <v/>
      </c>
      <c r="S796" s="21" t="str">
        <f aca="false">IF(AND(ISNUMBER(J796),ISNUMBER(K796),F796&lt;&gt;"Calentamiento",F796&lt;&gt;"Bilbo"),IF(AND(K796&gt;0,K796&lt;=12),ROUND(J796*(1+(K796+IF(ISNUMBER(L796),L796,0))/30),1),""),"")</f>
        <v/>
      </c>
      <c r="T796" s="21" t="str">
        <f aca="false">IF(AND(F796="Bilbo",ISNUMBER(J796),ISNUMBER(K796)),ROUND(J796*(1+K796/30),1),"")</f>
        <v/>
      </c>
      <c r="W796" s="22"/>
      <c r="X796" s="21" t="str">
        <f aca="false">IF(AND(F796="Bilbo",E796&lt;&gt;"",G796&lt;&gt;"",H796&lt;&gt;""),E796&amp;"|"&amp;G796&amp;"|"&amp;H796,"")</f>
        <v/>
      </c>
      <c r="Y796" s="21" t="str">
        <f aca="false">IF(B796="","",IF(B796&lt;&gt;B795,1,0))</f>
        <v/>
      </c>
    </row>
    <row r="797" customFormat="false" ht="15" hidden="false" customHeight="true" outlineLevel="0" collapsed="false">
      <c r="A797" s="21" t="str">
        <f aca="false">IF(B797="","",ROW()-4)</f>
        <v/>
      </c>
      <c r="B797" s="22"/>
      <c r="C797" s="21" t="str">
        <f aca="false">IF(B797="","",CHOOSE(WEEKDAY(B797,2),"LUNES","MARTES","MIÉRCOLES","JUEVES","VIERNES","SÁBADO","DOMINGO"))</f>
        <v/>
      </c>
      <c r="M797" s="23"/>
      <c r="Q797" s="21" t="str">
        <f aca="false">IF(OR(K797="",N797=""),"",K797-N797)</f>
        <v/>
      </c>
      <c r="R797" s="21" t="str">
        <f aca="false">IF(OR(J797="",K797=""),"",J797*K797)</f>
        <v/>
      </c>
      <c r="S797" s="21" t="str">
        <f aca="false">IF(AND(ISNUMBER(J797),ISNUMBER(K797),F797&lt;&gt;"Calentamiento",F797&lt;&gt;"Bilbo"),IF(AND(K797&gt;0,K797&lt;=12),ROUND(J797*(1+(K797+IF(ISNUMBER(L797),L797,0))/30),1),""),"")</f>
        <v/>
      </c>
      <c r="T797" s="21" t="str">
        <f aca="false">IF(AND(F797="Bilbo",ISNUMBER(J797),ISNUMBER(K797)),ROUND(J797*(1+K797/30),1),"")</f>
        <v/>
      </c>
      <c r="W797" s="22"/>
      <c r="X797" s="21" t="str">
        <f aca="false">IF(AND(F797="Bilbo",E797&lt;&gt;"",G797&lt;&gt;"",H797&lt;&gt;""),E797&amp;"|"&amp;G797&amp;"|"&amp;H797,"")</f>
        <v/>
      </c>
      <c r="Y797" s="21" t="str">
        <f aca="false">IF(B797="","",IF(B797&lt;&gt;B796,1,0))</f>
        <v/>
      </c>
    </row>
    <row r="798" customFormat="false" ht="15" hidden="false" customHeight="true" outlineLevel="0" collapsed="false">
      <c r="A798" s="21" t="str">
        <f aca="false">IF(B798="","",ROW()-4)</f>
        <v/>
      </c>
      <c r="B798" s="22"/>
      <c r="C798" s="21" t="str">
        <f aca="false">IF(B798="","",CHOOSE(WEEKDAY(B798,2),"LUNES","MARTES","MIÉRCOLES","JUEVES","VIERNES","SÁBADO","DOMINGO"))</f>
        <v/>
      </c>
      <c r="M798" s="23"/>
      <c r="Q798" s="21" t="str">
        <f aca="false">IF(OR(K798="",N798=""),"",K798-N798)</f>
        <v/>
      </c>
      <c r="R798" s="21" t="str">
        <f aca="false">IF(OR(J798="",K798=""),"",J798*K798)</f>
        <v/>
      </c>
      <c r="S798" s="21" t="str">
        <f aca="false">IF(AND(ISNUMBER(J798),ISNUMBER(K798),F798&lt;&gt;"Calentamiento",F798&lt;&gt;"Bilbo"),IF(AND(K798&gt;0,K798&lt;=12),ROUND(J798*(1+(K798+IF(ISNUMBER(L798),L798,0))/30),1),""),"")</f>
        <v/>
      </c>
      <c r="T798" s="21" t="str">
        <f aca="false">IF(AND(F798="Bilbo",ISNUMBER(J798),ISNUMBER(K798)),ROUND(J798*(1+K798/30),1),"")</f>
        <v/>
      </c>
      <c r="W798" s="22"/>
      <c r="X798" s="21" t="str">
        <f aca="false">IF(AND(F798="Bilbo",E798&lt;&gt;"",G798&lt;&gt;"",H798&lt;&gt;""),E798&amp;"|"&amp;G798&amp;"|"&amp;H798,"")</f>
        <v/>
      </c>
      <c r="Y798" s="21" t="str">
        <f aca="false">IF(B798="","",IF(B798&lt;&gt;B797,1,0))</f>
        <v/>
      </c>
    </row>
    <row r="799" customFormat="false" ht="15" hidden="false" customHeight="true" outlineLevel="0" collapsed="false">
      <c r="A799" s="21" t="str">
        <f aca="false">IF(B799="","",ROW()-4)</f>
        <v/>
      </c>
      <c r="B799" s="22"/>
      <c r="C799" s="21" t="str">
        <f aca="false">IF(B799="","",CHOOSE(WEEKDAY(B799,2),"LUNES","MARTES","MIÉRCOLES","JUEVES","VIERNES","SÁBADO","DOMINGO"))</f>
        <v/>
      </c>
      <c r="M799" s="23"/>
      <c r="Q799" s="21" t="str">
        <f aca="false">IF(OR(K799="",N799=""),"",K799-N799)</f>
        <v/>
      </c>
      <c r="R799" s="21" t="str">
        <f aca="false">IF(OR(J799="",K799=""),"",J799*K799)</f>
        <v/>
      </c>
      <c r="S799" s="21" t="str">
        <f aca="false">IF(AND(ISNUMBER(J799),ISNUMBER(K799),F799&lt;&gt;"Calentamiento",F799&lt;&gt;"Bilbo"),IF(AND(K799&gt;0,K799&lt;=12),ROUND(J799*(1+(K799+IF(ISNUMBER(L799),L799,0))/30),1),""),"")</f>
        <v/>
      </c>
      <c r="T799" s="21" t="str">
        <f aca="false">IF(AND(F799="Bilbo",ISNUMBER(J799),ISNUMBER(K799)),ROUND(J799*(1+K799/30),1),"")</f>
        <v/>
      </c>
      <c r="W799" s="22"/>
      <c r="X799" s="21" t="str">
        <f aca="false">IF(AND(F799="Bilbo",E799&lt;&gt;"",G799&lt;&gt;"",H799&lt;&gt;""),E799&amp;"|"&amp;G799&amp;"|"&amp;H799,"")</f>
        <v/>
      </c>
      <c r="Y799" s="21" t="str">
        <f aca="false">IF(B799="","",IF(B799&lt;&gt;B798,1,0))</f>
        <v/>
      </c>
    </row>
    <row r="800" customFormat="false" ht="15" hidden="false" customHeight="true" outlineLevel="0" collapsed="false">
      <c r="A800" s="21" t="str">
        <f aca="false">IF(B800="","",ROW()-4)</f>
        <v/>
      </c>
      <c r="B800" s="22"/>
      <c r="C800" s="21" t="str">
        <f aca="false">IF(B800="","",CHOOSE(WEEKDAY(B800,2),"LUNES","MARTES","MIÉRCOLES","JUEVES","VIERNES","SÁBADO","DOMINGO"))</f>
        <v/>
      </c>
      <c r="M800" s="23"/>
      <c r="Q800" s="21" t="str">
        <f aca="false">IF(OR(K800="",N800=""),"",K800-N800)</f>
        <v/>
      </c>
      <c r="R800" s="21" t="str">
        <f aca="false">IF(OR(J800="",K800=""),"",J800*K800)</f>
        <v/>
      </c>
      <c r="S800" s="21" t="str">
        <f aca="false">IF(AND(ISNUMBER(J800),ISNUMBER(K800),F800&lt;&gt;"Calentamiento",F800&lt;&gt;"Bilbo"),IF(AND(K800&gt;0,K800&lt;=12),ROUND(J800*(1+(K800+IF(ISNUMBER(L800),L800,0))/30),1),""),"")</f>
        <v/>
      </c>
      <c r="T800" s="21" t="str">
        <f aca="false">IF(AND(F800="Bilbo",ISNUMBER(J800),ISNUMBER(K800)),ROUND(J800*(1+K800/30),1),"")</f>
        <v/>
      </c>
      <c r="W800" s="22"/>
      <c r="X800" s="21" t="str">
        <f aca="false">IF(AND(F800="Bilbo",E800&lt;&gt;"",G800&lt;&gt;"",H800&lt;&gt;""),E800&amp;"|"&amp;G800&amp;"|"&amp;H800,"")</f>
        <v/>
      </c>
      <c r="Y800" s="21" t="str">
        <f aca="false">IF(B800="","",IF(B800&lt;&gt;B799,1,0))</f>
        <v/>
      </c>
    </row>
    <row r="801" customFormat="false" ht="15" hidden="false" customHeight="true" outlineLevel="0" collapsed="false">
      <c r="A801" s="21" t="str">
        <f aca="false">IF(B801="","",ROW()-4)</f>
        <v/>
      </c>
      <c r="B801" s="22"/>
      <c r="C801" s="21" t="str">
        <f aca="false">IF(B801="","",CHOOSE(WEEKDAY(B801,2),"LUNES","MARTES","MIÉRCOLES","JUEVES","VIERNES","SÁBADO","DOMINGO"))</f>
        <v/>
      </c>
      <c r="M801" s="23"/>
      <c r="Q801" s="21" t="str">
        <f aca="false">IF(OR(K801="",N801=""),"",K801-N801)</f>
        <v/>
      </c>
      <c r="R801" s="21" t="str">
        <f aca="false">IF(OR(J801="",K801=""),"",J801*K801)</f>
        <v/>
      </c>
      <c r="S801" s="21" t="str">
        <f aca="false">IF(AND(ISNUMBER(J801),ISNUMBER(K801),F801&lt;&gt;"Calentamiento",F801&lt;&gt;"Bilbo"),IF(AND(K801&gt;0,K801&lt;=12),ROUND(J801*(1+(K801+IF(ISNUMBER(L801),L801,0))/30),1),""),"")</f>
        <v/>
      </c>
      <c r="T801" s="21" t="str">
        <f aca="false">IF(AND(F801="Bilbo",ISNUMBER(J801),ISNUMBER(K801)),ROUND(J801*(1+K801/30),1),"")</f>
        <v/>
      </c>
      <c r="W801" s="22"/>
      <c r="X801" s="21" t="str">
        <f aca="false">IF(AND(F801="Bilbo",E801&lt;&gt;"",G801&lt;&gt;"",H801&lt;&gt;""),E801&amp;"|"&amp;G801&amp;"|"&amp;H801,"")</f>
        <v/>
      </c>
      <c r="Y801" s="21" t="str">
        <f aca="false">IF(B801="","",IF(B801&lt;&gt;B800,1,0))</f>
        <v/>
      </c>
    </row>
    <row r="802" customFormat="false" ht="15" hidden="false" customHeight="true" outlineLevel="0" collapsed="false">
      <c r="A802" s="21" t="str">
        <f aca="false">IF(B802="","",ROW()-4)</f>
        <v/>
      </c>
      <c r="B802" s="22"/>
      <c r="C802" s="21" t="str">
        <f aca="false">IF(B802="","",CHOOSE(WEEKDAY(B802,2),"LUNES","MARTES","MIÉRCOLES","JUEVES","VIERNES","SÁBADO","DOMINGO"))</f>
        <v/>
      </c>
      <c r="M802" s="23"/>
      <c r="Q802" s="21" t="str">
        <f aca="false">IF(OR(K802="",N802=""),"",K802-N802)</f>
        <v/>
      </c>
      <c r="R802" s="21" t="str">
        <f aca="false">IF(OR(J802="",K802=""),"",J802*K802)</f>
        <v/>
      </c>
      <c r="S802" s="21" t="str">
        <f aca="false">IF(AND(ISNUMBER(J802),ISNUMBER(K802),F802&lt;&gt;"Calentamiento",F802&lt;&gt;"Bilbo"),IF(AND(K802&gt;0,K802&lt;=12),ROUND(J802*(1+(K802+IF(ISNUMBER(L802),L802,0))/30),1),""),"")</f>
        <v/>
      </c>
      <c r="T802" s="21" t="str">
        <f aca="false">IF(AND(F802="Bilbo",ISNUMBER(J802),ISNUMBER(K802)),ROUND(J802*(1+K802/30),1),"")</f>
        <v/>
      </c>
      <c r="W802" s="22"/>
      <c r="X802" s="21" t="str">
        <f aca="false">IF(AND(F802="Bilbo",E802&lt;&gt;"",G802&lt;&gt;"",H802&lt;&gt;""),E802&amp;"|"&amp;G802&amp;"|"&amp;H802,"")</f>
        <v/>
      </c>
      <c r="Y802" s="21" t="str">
        <f aca="false">IF(B802="","",IF(B802&lt;&gt;B801,1,0))</f>
        <v/>
      </c>
    </row>
    <row r="803" customFormat="false" ht="15" hidden="false" customHeight="true" outlineLevel="0" collapsed="false">
      <c r="A803" s="21" t="str">
        <f aca="false">IF(B803="","",ROW()-4)</f>
        <v/>
      </c>
      <c r="B803" s="22"/>
      <c r="C803" s="21" t="str">
        <f aca="false">IF(B803="","",CHOOSE(WEEKDAY(B803,2),"LUNES","MARTES","MIÉRCOLES","JUEVES","VIERNES","SÁBADO","DOMINGO"))</f>
        <v/>
      </c>
      <c r="M803" s="23"/>
      <c r="Q803" s="21" t="str">
        <f aca="false">IF(OR(K803="",N803=""),"",K803-N803)</f>
        <v/>
      </c>
      <c r="R803" s="21" t="str">
        <f aca="false">IF(OR(J803="",K803=""),"",J803*K803)</f>
        <v/>
      </c>
      <c r="S803" s="21" t="str">
        <f aca="false">IF(AND(ISNUMBER(J803),ISNUMBER(K803),F803&lt;&gt;"Calentamiento",F803&lt;&gt;"Bilbo"),IF(AND(K803&gt;0,K803&lt;=12),ROUND(J803*(1+(K803+IF(ISNUMBER(L803),L803,0))/30),1),""),"")</f>
        <v/>
      </c>
      <c r="T803" s="21" t="str">
        <f aca="false">IF(AND(F803="Bilbo",ISNUMBER(J803),ISNUMBER(K803)),ROUND(J803*(1+K803/30),1),"")</f>
        <v/>
      </c>
      <c r="W803" s="22"/>
      <c r="X803" s="21" t="str">
        <f aca="false">IF(AND(F803="Bilbo",E803&lt;&gt;"",G803&lt;&gt;"",H803&lt;&gt;""),E803&amp;"|"&amp;G803&amp;"|"&amp;H803,"")</f>
        <v/>
      </c>
      <c r="Y803" s="21" t="str">
        <f aca="false">IF(B803="","",IF(B803&lt;&gt;B802,1,0))</f>
        <v/>
      </c>
    </row>
    <row r="804" customFormat="false" ht="15" hidden="false" customHeight="true" outlineLevel="0" collapsed="false">
      <c r="A804" s="21" t="str">
        <f aca="false">IF(B804="","",ROW()-4)</f>
        <v/>
      </c>
      <c r="B804" s="22"/>
      <c r="C804" s="21" t="str">
        <f aca="false">IF(B804="","",CHOOSE(WEEKDAY(B804,2),"LUNES","MARTES","MIÉRCOLES","JUEVES","VIERNES","SÁBADO","DOMINGO"))</f>
        <v/>
      </c>
      <c r="M804" s="23"/>
      <c r="Q804" s="21" t="str">
        <f aca="false">IF(OR(K804="",N804=""),"",K804-N804)</f>
        <v/>
      </c>
      <c r="R804" s="21" t="str">
        <f aca="false">IF(OR(J804="",K804=""),"",J804*K804)</f>
        <v/>
      </c>
      <c r="S804" s="21" t="str">
        <f aca="false">IF(AND(ISNUMBER(J804),ISNUMBER(K804),F804&lt;&gt;"Calentamiento",F804&lt;&gt;"Bilbo"),IF(AND(K804&gt;0,K804&lt;=12),ROUND(J804*(1+(K804+IF(ISNUMBER(L804),L804,0))/30),1),""),"")</f>
        <v/>
      </c>
      <c r="T804" s="21" t="str">
        <f aca="false">IF(AND(F804="Bilbo",ISNUMBER(J804),ISNUMBER(K804)),ROUND(J804*(1+K804/30),1),"")</f>
        <v/>
      </c>
      <c r="W804" s="22"/>
      <c r="X804" s="21" t="str">
        <f aca="false">IF(AND(F804="Bilbo",E804&lt;&gt;"",G804&lt;&gt;"",H804&lt;&gt;""),E804&amp;"|"&amp;G804&amp;"|"&amp;H804,"")</f>
        <v/>
      </c>
      <c r="Y804" s="21" t="str">
        <f aca="false">IF(B804="","",IF(B804&lt;&gt;B803,1,0))</f>
        <v/>
      </c>
    </row>
    <row r="805" customFormat="false" ht="15" hidden="false" customHeight="true" outlineLevel="0" collapsed="false">
      <c r="A805" s="21" t="str">
        <f aca="false">IF(B805="","",ROW()-4)</f>
        <v/>
      </c>
      <c r="B805" s="22"/>
      <c r="C805" s="21" t="str">
        <f aca="false">IF(B805="","",CHOOSE(WEEKDAY(B805,2),"LUNES","MARTES","MIÉRCOLES","JUEVES","VIERNES","SÁBADO","DOMINGO"))</f>
        <v/>
      </c>
      <c r="M805" s="23"/>
      <c r="Q805" s="21" t="str">
        <f aca="false">IF(OR(K805="",N805=""),"",K805-N805)</f>
        <v/>
      </c>
      <c r="R805" s="21" t="str">
        <f aca="false">IF(OR(J805="",K805=""),"",J805*K805)</f>
        <v/>
      </c>
      <c r="S805" s="21" t="str">
        <f aca="false">IF(AND(ISNUMBER(J805),ISNUMBER(K805),F805&lt;&gt;"Calentamiento",F805&lt;&gt;"Bilbo"),IF(AND(K805&gt;0,K805&lt;=12),ROUND(J805*(1+(K805+IF(ISNUMBER(L805),L805,0))/30),1),""),"")</f>
        <v/>
      </c>
      <c r="T805" s="21" t="str">
        <f aca="false">IF(AND(F805="Bilbo",ISNUMBER(J805),ISNUMBER(K805)),ROUND(J805*(1+K805/30),1),"")</f>
        <v/>
      </c>
      <c r="W805" s="22"/>
      <c r="X805" s="21" t="str">
        <f aca="false">IF(AND(F805="Bilbo",E805&lt;&gt;"",G805&lt;&gt;"",H805&lt;&gt;""),E805&amp;"|"&amp;G805&amp;"|"&amp;H805,"")</f>
        <v/>
      </c>
      <c r="Y805" s="21" t="str">
        <f aca="false">IF(B805="","",IF(B805&lt;&gt;B804,1,0))</f>
        <v/>
      </c>
    </row>
    <row r="806" customFormat="false" ht="15" hidden="false" customHeight="true" outlineLevel="0" collapsed="false">
      <c r="A806" s="21" t="str">
        <f aca="false">IF(B806="","",ROW()-4)</f>
        <v/>
      </c>
      <c r="B806" s="22"/>
      <c r="C806" s="21" t="str">
        <f aca="false">IF(B806="","",CHOOSE(WEEKDAY(B806,2),"LUNES","MARTES","MIÉRCOLES","JUEVES","VIERNES","SÁBADO","DOMINGO"))</f>
        <v/>
      </c>
      <c r="M806" s="23"/>
      <c r="Q806" s="21" t="str">
        <f aca="false">IF(OR(K806="",N806=""),"",K806-N806)</f>
        <v/>
      </c>
      <c r="R806" s="21" t="str">
        <f aca="false">IF(OR(J806="",K806=""),"",J806*K806)</f>
        <v/>
      </c>
      <c r="S806" s="21" t="str">
        <f aca="false">IF(AND(ISNUMBER(J806),ISNUMBER(K806),F806&lt;&gt;"Calentamiento",F806&lt;&gt;"Bilbo"),IF(AND(K806&gt;0,K806&lt;=12),ROUND(J806*(1+(K806+IF(ISNUMBER(L806),L806,0))/30),1),""),"")</f>
        <v/>
      </c>
      <c r="T806" s="21" t="str">
        <f aca="false">IF(AND(F806="Bilbo",ISNUMBER(J806),ISNUMBER(K806)),ROUND(J806*(1+K806/30),1),"")</f>
        <v/>
      </c>
      <c r="W806" s="22"/>
      <c r="X806" s="21" t="str">
        <f aca="false">IF(AND(F806="Bilbo",E806&lt;&gt;"",G806&lt;&gt;"",H806&lt;&gt;""),E806&amp;"|"&amp;G806&amp;"|"&amp;H806,"")</f>
        <v/>
      </c>
      <c r="Y806" s="21" t="str">
        <f aca="false">IF(B806="","",IF(B806&lt;&gt;B805,1,0))</f>
        <v/>
      </c>
    </row>
    <row r="807" customFormat="false" ht="15" hidden="false" customHeight="true" outlineLevel="0" collapsed="false">
      <c r="A807" s="21" t="str">
        <f aca="false">IF(B807="","",ROW()-4)</f>
        <v/>
      </c>
      <c r="B807" s="22"/>
      <c r="C807" s="21" t="str">
        <f aca="false">IF(B807="","",CHOOSE(WEEKDAY(B807,2),"LUNES","MARTES","MIÉRCOLES","JUEVES","VIERNES","SÁBADO","DOMINGO"))</f>
        <v/>
      </c>
      <c r="M807" s="23"/>
      <c r="Q807" s="21" t="str">
        <f aca="false">IF(OR(K807="",N807=""),"",K807-N807)</f>
        <v/>
      </c>
      <c r="R807" s="21" t="str">
        <f aca="false">IF(OR(J807="",K807=""),"",J807*K807)</f>
        <v/>
      </c>
      <c r="S807" s="21" t="str">
        <f aca="false">IF(AND(ISNUMBER(J807),ISNUMBER(K807),F807&lt;&gt;"Calentamiento",F807&lt;&gt;"Bilbo"),IF(AND(K807&gt;0,K807&lt;=12),ROUND(J807*(1+(K807+IF(ISNUMBER(L807),L807,0))/30),1),""),"")</f>
        <v/>
      </c>
      <c r="T807" s="21" t="str">
        <f aca="false">IF(AND(F807="Bilbo",ISNUMBER(J807),ISNUMBER(K807)),ROUND(J807*(1+K807/30),1),"")</f>
        <v/>
      </c>
      <c r="W807" s="22"/>
      <c r="X807" s="21" t="str">
        <f aca="false">IF(AND(F807="Bilbo",E807&lt;&gt;"",G807&lt;&gt;"",H807&lt;&gt;""),E807&amp;"|"&amp;G807&amp;"|"&amp;H807,"")</f>
        <v/>
      </c>
      <c r="Y807" s="21" t="str">
        <f aca="false">IF(B807="","",IF(B807&lt;&gt;B806,1,0))</f>
        <v/>
      </c>
    </row>
    <row r="808" customFormat="false" ht="15" hidden="false" customHeight="true" outlineLevel="0" collapsed="false">
      <c r="A808" s="21" t="str">
        <f aca="false">IF(B808="","",ROW()-4)</f>
        <v/>
      </c>
      <c r="B808" s="22"/>
      <c r="C808" s="21" t="str">
        <f aca="false">IF(B808="","",CHOOSE(WEEKDAY(B808,2),"LUNES","MARTES","MIÉRCOLES","JUEVES","VIERNES","SÁBADO","DOMINGO"))</f>
        <v/>
      </c>
      <c r="M808" s="23"/>
      <c r="Q808" s="21" t="str">
        <f aca="false">IF(OR(K808="",N808=""),"",K808-N808)</f>
        <v/>
      </c>
      <c r="R808" s="21" t="str">
        <f aca="false">IF(OR(J808="",K808=""),"",J808*K808)</f>
        <v/>
      </c>
      <c r="S808" s="21" t="str">
        <f aca="false">IF(AND(ISNUMBER(J808),ISNUMBER(K808),F808&lt;&gt;"Calentamiento",F808&lt;&gt;"Bilbo"),IF(AND(K808&gt;0,K808&lt;=12),ROUND(J808*(1+(K808+IF(ISNUMBER(L808),L808,0))/30),1),""),"")</f>
        <v/>
      </c>
      <c r="T808" s="21" t="str">
        <f aca="false">IF(AND(F808="Bilbo",ISNUMBER(J808),ISNUMBER(K808)),ROUND(J808*(1+K808/30),1),"")</f>
        <v/>
      </c>
      <c r="W808" s="22"/>
      <c r="X808" s="21" t="str">
        <f aca="false">IF(AND(F808="Bilbo",E808&lt;&gt;"",G808&lt;&gt;"",H808&lt;&gt;""),E808&amp;"|"&amp;G808&amp;"|"&amp;H808,"")</f>
        <v/>
      </c>
      <c r="Y808" s="21" t="str">
        <f aca="false">IF(B808="","",IF(B808&lt;&gt;B807,1,0))</f>
        <v/>
      </c>
    </row>
    <row r="809" customFormat="false" ht="15" hidden="false" customHeight="true" outlineLevel="0" collapsed="false">
      <c r="A809" s="21" t="str">
        <f aca="false">IF(B809="","",ROW()-4)</f>
        <v/>
      </c>
      <c r="B809" s="22"/>
      <c r="C809" s="21" t="str">
        <f aca="false">IF(B809="","",CHOOSE(WEEKDAY(B809,2),"LUNES","MARTES","MIÉRCOLES","JUEVES","VIERNES","SÁBADO","DOMINGO"))</f>
        <v/>
      </c>
      <c r="M809" s="23"/>
      <c r="Q809" s="21" t="str">
        <f aca="false">IF(OR(K809="",N809=""),"",K809-N809)</f>
        <v/>
      </c>
      <c r="R809" s="21" t="str">
        <f aca="false">IF(OR(J809="",K809=""),"",J809*K809)</f>
        <v/>
      </c>
      <c r="S809" s="21" t="str">
        <f aca="false">IF(AND(ISNUMBER(J809),ISNUMBER(K809),F809&lt;&gt;"Calentamiento",F809&lt;&gt;"Bilbo"),IF(AND(K809&gt;0,K809&lt;=12),ROUND(J809*(1+(K809+IF(ISNUMBER(L809),L809,0))/30),1),""),"")</f>
        <v/>
      </c>
      <c r="T809" s="21" t="str">
        <f aca="false">IF(AND(F809="Bilbo",ISNUMBER(J809),ISNUMBER(K809)),ROUND(J809*(1+K809/30),1),"")</f>
        <v/>
      </c>
      <c r="W809" s="22"/>
      <c r="X809" s="21" t="str">
        <f aca="false">IF(AND(F809="Bilbo",E809&lt;&gt;"",G809&lt;&gt;"",H809&lt;&gt;""),E809&amp;"|"&amp;G809&amp;"|"&amp;H809,"")</f>
        <v/>
      </c>
      <c r="Y809" s="21" t="str">
        <f aca="false">IF(B809="","",IF(B809&lt;&gt;B808,1,0))</f>
        <v/>
      </c>
    </row>
    <row r="810" customFormat="false" ht="15" hidden="false" customHeight="true" outlineLevel="0" collapsed="false">
      <c r="A810" s="21" t="str">
        <f aca="false">IF(B810="","",ROW()-4)</f>
        <v/>
      </c>
      <c r="B810" s="22"/>
      <c r="C810" s="21" t="str">
        <f aca="false">IF(B810="","",CHOOSE(WEEKDAY(B810,2),"LUNES","MARTES","MIÉRCOLES","JUEVES","VIERNES","SÁBADO","DOMINGO"))</f>
        <v/>
      </c>
      <c r="M810" s="23"/>
      <c r="Q810" s="21" t="str">
        <f aca="false">IF(OR(K810="",N810=""),"",K810-N810)</f>
        <v/>
      </c>
      <c r="R810" s="21" t="str">
        <f aca="false">IF(OR(J810="",K810=""),"",J810*K810)</f>
        <v/>
      </c>
      <c r="S810" s="21" t="str">
        <f aca="false">IF(AND(ISNUMBER(J810),ISNUMBER(K810),F810&lt;&gt;"Calentamiento",F810&lt;&gt;"Bilbo"),IF(AND(K810&gt;0,K810&lt;=12),ROUND(J810*(1+(K810+IF(ISNUMBER(L810),L810,0))/30),1),""),"")</f>
        <v/>
      </c>
      <c r="T810" s="21" t="str">
        <f aca="false">IF(AND(F810="Bilbo",ISNUMBER(J810),ISNUMBER(K810)),ROUND(J810*(1+K810/30),1),"")</f>
        <v/>
      </c>
      <c r="W810" s="22"/>
      <c r="X810" s="21" t="str">
        <f aca="false">IF(AND(F810="Bilbo",E810&lt;&gt;"",G810&lt;&gt;"",H810&lt;&gt;""),E810&amp;"|"&amp;G810&amp;"|"&amp;H810,"")</f>
        <v/>
      </c>
      <c r="Y810" s="21" t="str">
        <f aca="false">IF(B810="","",IF(B810&lt;&gt;B809,1,0))</f>
        <v/>
      </c>
    </row>
    <row r="811" customFormat="false" ht="15" hidden="false" customHeight="true" outlineLevel="0" collapsed="false">
      <c r="A811" s="21" t="str">
        <f aca="false">IF(B811="","",ROW()-4)</f>
        <v/>
      </c>
      <c r="B811" s="22"/>
      <c r="C811" s="21" t="str">
        <f aca="false">IF(B811="","",CHOOSE(WEEKDAY(B811,2),"LUNES","MARTES","MIÉRCOLES","JUEVES","VIERNES","SÁBADO","DOMINGO"))</f>
        <v/>
      </c>
      <c r="M811" s="23"/>
      <c r="Q811" s="21" t="str">
        <f aca="false">IF(OR(K811="",N811=""),"",K811-N811)</f>
        <v/>
      </c>
      <c r="R811" s="21" t="str">
        <f aca="false">IF(OR(J811="",K811=""),"",J811*K811)</f>
        <v/>
      </c>
      <c r="S811" s="21" t="str">
        <f aca="false">IF(AND(ISNUMBER(J811),ISNUMBER(K811),F811&lt;&gt;"Calentamiento",F811&lt;&gt;"Bilbo"),IF(AND(K811&gt;0,K811&lt;=12),ROUND(J811*(1+(K811+IF(ISNUMBER(L811),L811,0))/30),1),""),"")</f>
        <v/>
      </c>
      <c r="T811" s="21" t="str">
        <f aca="false">IF(AND(F811="Bilbo",ISNUMBER(J811),ISNUMBER(K811)),ROUND(J811*(1+K811/30),1),"")</f>
        <v/>
      </c>
      <c r="W811" s="22"/>
      <c r="X811" s="21" t="str">
        <f aca="false">IF(AND(F811="Bilbo",E811&lt;&gt;"",G811&lt;&gt;"",H811&lt;&gt;""),E811&amp;"|"&amp;G811&amp;"|"&amp;H811,"")</f>
        <v/>
      </c>
      <c r="Y811" s="21" t="str">
        <f aca="false">IF(B811="","",IF(B811&lt;&gt;B810,1,0))</f>
        <v/>
      </c>
    </row>
    <row r="812" customFormat="false" ht="15" hidden="false" customHeight="true" outlineLevel="0" collapsed="false">
      <c r="A812" s="21" t="str">
        <f aca="false">IF(B812="","",ROW()-4)</f>
        <v/>
      </c>
      <c r="B812" s="22"/>
      <c r="C812" s="21" t="str">
        <f aca="false">IF(B812="","",CHOOSE(WEEKDAY(B812,2),"LUNES","MARTES","MIÉRCOLES","JUEVES","VIERNES","SÁBADO","DOMINGO"))</f>
        <v/>
      </c>
      <c r="M812" s="23"/>
      <c r="Q812" s="21" t="str">
        <f aca="false">IF(OR(K812="",N812=""),"",K812-N812)</f>
        <v/>
      </c>
      <c r="R812" s="21" t="str">
        <f aca="false">IF(OR(J812="",K812=""),"",J812*K812)</f>
        <v/>
      </c>
      <c r="S812" s="21" t="str">
        <f aca="false">IF(AND(ISNUMBER(J812),ISNUMBER(K812),F812&lt;&gt;"Calentamiento",F812&lt;&gt;"Bilbo"),IF(AND(K812&gt;0,K812&lt;=12),ROUND(J812*(1+(K812+IF(ISNUMBER(L812),L812,0))/30),1),""),"")</f>
        <v/>
      </c>
      <c r="T812" s="21" t="str">
        <f aca="false">IF(AND(F812="Bilbo",ISNUMBER(J812),ISNUMBER(K812)),ROUND(J812*(1+K812/30),1),"")</f>
        <v/>
      </c>
      <c r="W812" s="22"/>
      <c r="X812" s="21" t="str">
        <f aca="false">IF(AND(F812="Bilbo",E812&lt;&gt;"",G812&lt;&gt;"",H812&lt;&gt;""),E812&amp;"|"&amp;G812&amp;"|"&amp;H812,"")</f>
        <v/>
      </c>
      <c r="Y812" s="21" t="str">
        <f aca="false">IF(B812="","",IF(B812&lt;&gt;B811,1,0))</f>
        <v/>
      </c>
    </row>
    <row r="813" customFormat="false" ht="15" hidden="false" customHeight="true" outlineLevel="0" collapsed="false">
      <c r="A813" s="21" t="str">
        <f aca="false">IF(B813="","",ROW()-4)</f>
        <v/>
      </c>
      <c r="B813" s="22"/>
      <c r="C813" s="21" t="str">
        <f aca="false">IF(B813="","",CHOOSE(WEEKDAY(B813,2),"LUNES","MARTES","MIÉRCOLES","JUEVES","VIERNES","SÁBADO","DOMINGO"))</f>
        <v/>
      </c>
      <c r="M813" s="23"/>
      <c r="Q813" s="21" t="str">
        <f aca="false">IF(OR(K813="",N813=""),"",K813-N813)</f>
        <v/>
      </c>
      <c r="R813" s="21" t="str">
        <f aca="false">IF(OR(J813="",K813=""),"",J813*K813)</f>
        <v/>
      </c>
      <c r="S813" s="21" t="str">
        <f aca="false">IF(AND(ISNUMBER(J813),ISNUMBER(K813),F813&lt;&gt;"Calentamiento",F813&lt;&gt;"Bilbo"),IF(AND(K813&gt;0,K813&lt;=12),ROUND(J813*(1+(K813+IF(ISNUMBER(L813),L813,0))/30),1),""),"")</f>
        <v/>
      </c>
      <c r="T813" s="21" t="str">
        <f aca="false">IF(AND(F813="Bilbo",ISNUMBER(J813),ISNUMBER(K813)),ROUND(J813*(1+K813/30),1),"")</f>
        <v/>
      </c>
      <c r="W813" s="22"/>
      <c r="X813" s="21" t="str">
        <f aca="false">IF(AND(F813="Bilbo",E813&lt;&gt;"",G813&lt;&gt;"",H813&lt;&gt;""),E813&amp;"|"&amp;G813&amp;"|"&amp;H813,"")</f>
        <v/>
      </c>
      <c r="Y813" s="21" t="str">
        <f aca="false">IF(B813="","",IF(B813&lt;&gt;B812,1,0))</f>
        <v/>
      </c>
    </row>
    <row r="814" customFormat="false" ht="15" hidden="false" customHeight="true" outlineLevel="0" collapsed="false">
      <c r="A814" s="21" t="str">
        <f aca="false">IF(B814="","",ROW()-4)</f>
        <v/>
      </c>
      <c r="B814" s="22"/>
      <c r="C814" s="21" t="str">
        <f aca="false">IF(B814="","",CHOOSE(WEEKDAY(B814,2),"LUNES","MARTES","MIÉRCOLES","JUEVES","VIERNES","SÁBADO","DOMINGO"))</f>
        <v/>
      </c>
      <c r="M814" s="23"/>
      <c r="Q814" s="21" t="str">
        <f aca="false">IF(OR(K814="",N814=""),"",K814-N814)</f>
        <v/>
      </c>
      <c r="R814" s="21" t="str">
        <f aca="false">IF(OR(J814="",K814=""),"",J814*K814)</f>
        <v/>
      </c>
      <c r="S814" s="21" t="str">
        <f aca="false">IF(AND(ISNUMBER(J814),ISNUMBER(K814),F814&lt;&gt;"Calentamiento",F814&lt;&gt;"Bilbo"),IF(AND(K814&gt;0,K814&lt;=12),ROUND(J814*(1+(K814+IF(ISNUMBER(L814),L814,0))/30),1),""),"")</f>
        <v/>
      </c>
      <c r="T814" s="21" t="str">
        <f aca="false">IF(AND(F814="Bilbo",ISNUMBER(J814),ISNUMBER(K814)),ROUND(J814*(1+K814/30),1),"")</f>
        <v/>
      </c>
      <c r="W814" s="22"/>
      <c r="X814" s="21" t="str">
        <f aca="false">IF(AND(F814="Bilbo",E814&lt;&gt;"",G814&lt;&gt;"",H814&lt;&gt;""),E814&amp;"|"&amp;G814&amp;"|"&amp;H814,"")</f>
        <v/>
      </c>
      <c r="Y814" s="21" t="str">
        <f aca="false">IF(B814="","",IF(B814&lt;&gt;B813,1,0))</f>
        <v/>
      </c>
    </row>
    <row r="815" customFormat="false" ht="15" hidden="false" customHeight="true" outlineLevel="0" collapsed="false">
      <c r="A815" s="21" t="str">
        <f aca="false">IF(B815="","",ROW()-4)</f>
        <v/>
      </c>
      <c r="B815" s="22"/>
      <c r="C815" s="21" t="str">
        <f aca="false">IF(B815="","",CHOOSE(WEEKDAY(B815,2),"LUNES","MARTES","MIÉRCOLES","JUEVES","VIERNES","SÁBADO","DOMINGO"))</f>
        <v/>
      </c>
      <c r="M815" s="23"/>
      <c r="Q815" s="21" t="str">
        <f aca="false">IF(OR(K815="",N815=""),"",K815-N815)</f>
        <v/>
      </c>
      <c r="R815" s="21" t="str">
        <f aca="false">IF(OR(J815="",K815=""),"",J815*K815)</f>
        <v/>
      </c>
      <c r="S815" s="21" t="str">
        <f aca="false">IF(AND(ISNUMBER(J815),ISNUMBER(K815),F815&lt;&gt;"Calentamiento",F815&lt;&gt;"Bilbo"),IF(AND(K815&gt;0,K815&lt;=12),ROUND(J815*(1+(K815+IF(ISNUMBER(L815),L815,0))/30),1),""),"")</f>
        <v/>
      </c>
      <c r="T815" s="21" t="str">
        <f aca="false">IF(AND(F815="Bilbo",ISNUMBER(J815),ISNUMBER(K815)),ROUND(J815*(1+K815/30),1),"")</f>
        <v/>
      </c>
      <c r="W815" s="22"/>
      <c r="X815" s="21" t="str">
        <f aca="false">IF(AND(F815="Bilbo",E815&lt;&gt;"",G815&lt;&gt;"",H815&lt;&gt;""),E815&amp;"|"&amp;G815&amp;"|"&amp;H815,"")</f>
        <v/>
      </c>
      <c r="Y815" s="21" t="str">
        <f aca="false">IF(B815="","",IF(B815&lt;&gt;B814,1,0))</f>
        <v/>
      </c>
    </row>
    <row r="816" customFormat="false" ht="15" hidden="false" customHeight="true" outlineLevel="0" collapsed="false">
      <c r="A816" s="21" t="str">
        <f aca="false">IF(B816="","",ROW()-4)</f>
        <v/>
      </c>
      <c r="B816" s="22"/>
      <c r="C816" s="21" t="str">
        <f aca="false">IF(B816="","",CHOOSE(WEEKDAY(B816,2),"LUNES","MARTES","MIÉRCOLES","JUEVES","VIERNES","SÁBADO","DOMINGO"))</f>
        <v/>
      </c>
      <c r="M816" s="23"/>
      <c r="Q816" s="21" t="str">
        <f aca="false">IF(OR(K816="",N816=""),"",K816-N816)</f>
        <v/>
      </c>
      <c r="R816" s="21" t="str">
        <f aca="false">IF(OR(J816="",K816=""),"",J816*K816)</f>
        <v/>
      </c>
      <c r="S816" s="21" t="str">
        <f aca="false">IF(AND(ISNUMBER(J816),ISNUMBER(K816),F816&lt;&gt;"Calentamiento",F816&lt;&gt;"Bilbo"),IF(AND(K816&gt;0,K816&lt;=12),ROUND(J816*(1+(K816+IF(ISNUMBER(L816),L816,0))/30),1),""),"")</f>
        <v/>
      </c>
      <c r="T816" s="21" t="str">
        <f aca="false">IF(AND(F816="Bilbo",ISNUMBER(J816),ISNUMBER(K816)),ROUND(J816*(1+K816/30),1),"")</f>
        <v/>
      </c>
      <c r="W816" s="22"/>
      <c r="X816" s="21" t="str">
        <f aca="false">IF(AND(F816="Bilbo",E816&lt;&gt;"",G816&lt;&gt;"",H816&lt;&gt;""),E816&amp;"|"&amp;G816&amp;"|"&amp;H816,"")</f>
        <v/>
      </c>
      <c r="Y816" s="21" t="str">
        <f aca="false">IF(B816="","",IF(B816&lt;&gt;B815,1,0))</f>
        <v/>
      </c>
    </row>
    <row r="817" customFormat="false" ht="15" hidden="false" customHeight="true" outlineLevel="0" collapsed="false">
      <c r="A817" s="21" t="str">
        <f aca="false">IF(B817="","",ROW()-4)</f>
        <v/>
      </c>
      <c r="B817" s="22"/>
      <c r="C817" s="21" t="str">
        <f aca="false">IF(B817="","",CHOOSE(WEEKDAY(B817,2),"LUNES","MARTES","MIÉRCOLES","JUEVES","VIERNES","SÁBADO","DOMINGO"))</f>
        <v/>
      </c>
      <c r="M817" s="23"/>
      <c r="Q817" s="21" t="str">
        <f aca="false">IF(OR(K817="",N817=""),"",K817-N817)</f>
        <v/>
      </c>
      <c r="R817" s="21" t="str">
        <f aca="false">IF(OR(J817="",K817=""),"",J817*K817)</f>
        <v/>
      </c>
      <c r="S817" s="21" t="str">
        <f aca="false">IF(AND(ISNUMBER(J817),ISNUMBER(K817),F817&lt;&gt;"Calentamiento",F817&lt;&gt;"Bilbo"),IF(AND(K817&gt;0,K817&lt;=12),ROUND(J817*(1+(K817+IF(ISNUMBER(L817),L817,0))/30),1),""),"")</f>
        <v/>
      </c>
      <c r="T817" s="21" t="str">
        <f aca="false">IF(AND(F817="Bilbo",ISNUMBER(J817),ISNUMBER(K817)),ROUND(J817*(1+K817/30),1),"")</f>
        <v/>
      </c>
      <c r="W817" s="22"/>
      <c r="X817" s="21" t="str">
        <f aca="false">IF(AND(F817="Bilbo",E817&lt;&gt;"",G817&lt;&gt;"",H817&lt;&gt;""),E817&amp;"|"&amp;G817&amp;"|"&amp;H817,"")</f>
        <v/>
      </c>
      <c r="Y817" s="21" t="str">
        <f aca="false">IF(B817="","",IF(B817&lt;&gt;B816,1,0))</f>
        <v/>
      </c>
    </row>
    <row r="818" customFormat="false" ht="15" hidden="false" customHeight="true" outlineLevel="0" collapsed="false">
      <c r="A818" s="21" t="str">
        <f aca="false">IF(B818="","",ROW()-4)</f>
        <v/>
      </c>
      <c r="B818" s="22"/>
      <c r="C818" s="21" t="str">
        <f aca="false">IF(B818="","",CHOOSE(WEEKDAY(B818,2),"LUNES","MARTES","MIÉRCOLES","JUEVES","VIERNES","SÁBADO","DOMINGO"))</f>
        <v/>
      </c>
      <c r="M818" s="23"/>
      <c r="Q818" s="21" t="str">
        <f aca="false">IF(OR(K818="",N818=""),"",K818-N818)</f>
        <v/>
      </c>
      <c r="R818" s="21" t="str">
        <f aca="false">IF(OR(J818="",K818=""),"",J818*K818)</f>
        <v/>
      </c>
      <c r="S818" s="21" t="str">
        <f aca="false">IF(AND(ISNUMBER(J818),ISNUMBER(K818),F818&lt;&gt;"Calentamiento",F818&lt;&gt;"Bilbo"),IF(AND(K818&gt;0,K818&lt;=12),ROUND(J818*(1+(K818+IF(ISNUMBER(L818),L818,0))/30),1),""),"")</f>
        <v/>
      </c>
      <c r="T818" s="21" t="str">
        <f aca="false">IF(AND(F818="Bilbo",ISNUMBER(J818),ISNUMBER(K818)),ROUND(J818*(1+K818/30),1),"")</f>
        <v/>
      </c>
      <c r="W818" s="22"/>
      <c r="X818" s="21" t="str">
        <f aca="false">IF(AND(F818="Bilbo",E818&lt;&gt;"",G818&lt;&gt;"",H818&lt;&gt;""),E818&amp;"|"&amp;G818&amp;"|"&amp;H818,"")</f>
        <v/>
      </c>
      <c r="Y818" s="21" t="str">
        <f aca="false">IF(B818="","",IF(B818&lt;&gt;B817,1,0))</f>
        <v/>
      </c>
    </row>
    <row r="819" customFormat="false" ht="15" hidden="false" customHeight="true" outlineLevel="0" collapsed="false">
      <c r="A819" s="21" t="str">
        <f aca="false">IF(B819="","",ROW()-4)</f>
        <v/>
      </c>
      <c r="B819" s="22"/>
      <c r="C819" s="21" t="str">
        <f aca="false">IF(B819="","",CHOOSE(WEEKDAY(B819,2),"LUNES","MARTES","MIÉRCOLES","JUEVES","VIERNES","SÁBADO","DOMINGO"))</f>
        <v/>
      </c>
      <c r="M819" s="23"/>
      <c r="Q819" s="21" t="str">
        <f aca="false">IF(OR(K819="",N819=""),"",K819-N819)</f>
        <v/>
      </c>
      <c r="R819" s="21" t="str">
        <f aca="false">IF(OR(J819="",K819=""),"",J819*K819)</f>
        <v/>
      </c>
      <c r="S819" s="21" t="str">
        <f aca="false">IF(AND(ISNUMBER(J819),ISNUMBER(K819),F819&lt;&gt;"Calentamiento",F819&lt;&gt;"Bilbo"),IF(AND(K819&gt;0,K819&lt;=12),ROUND(J819*(1+(K819+IF(ISNUMBER(L819),L819,0))/30),1),""),"")</f>
        <v/>
      </c>
      <c r="T819" s="21" t="str">
        <f aca="false">IF(AND(F819="Bilbo",ISNUMBER(J819),ISNUMBER(K819)),ROUND(J819*(1+K819/30),1),"")</f>
        <v/>
      </c>
      <c r="W819" s="22"/>
      <c r="X819" s="21" t="str">
        <f aca="false">IF(AND(F819="Bilbo",E819&lt;&gt;"",G819&lt;&gt;"",H819&lt;&gt;""),E819&amp;"|"&amp;G819&amp;"|"&amp;H819,"")</f>
        <v/>
      </c>
      <c r="Y819" s="21" t="str">
        <f aca="false">IF(B819="","",IF(B819&lt;&gt;B818,1,0))</f>
        <v/>
      </c>
    </row>
    <row r="820" customFormat="false" ht="15" hidden="false" customHeight="true" outlineLevel="0" collapsed="false">
      <c r="A820" s="21" t="str">
        <f aca="false">IF(B820="","",ROW()-4)</f>
        <v/>
      </c>
      <c r="B820" s="22"/>
      <c r="C820" s="21" t="str">
        <f aca="false">IF(B820="","",CHOOSE(WEEKDAY(B820,2),"LUNES","MARTES","MIÉRCOLES","JUEVES","VIERNES","SÁBADO","DOMINGO"))</f>
        <v/>
      </c>
      <c r="M820" s="23"/>
      <c r="Q820" s="21" t="str">
        <f aca="false">IF(OR(K820="",N820=""),"",K820-N820)</f>
        <v/>
      </c>
      <c r="R820" s="21" t="str">
        <f aca="false">IF(OR(J820="",K820=""),"",J820*K820)</f>
        <v/>
      </c>
      <c r="S820" s="21" t="str">
        <f aca="false">IF(AND(ISNUMBER(J820),ISNUMBER(K820),F820&lt;&gt;"Calentamiento",F820&lt;&gt;"Bilbo"),IF(AND(K820&gt;0,K820&lt;=12),ROUND(J820*(1+(K820+IF(ISNUMBER(L820),L820,0))/30),1),""),"")</f>
        <v/>
      </c>
      <c r="T820" s="21" t="str">
        <f aca="false">IF(AND(F820="Bilbo",ISNUMBER(J820),ISNUMBER(K820)),ROUND(J820*(1+K820/30),1),"")</f>
        <v/>
      </c>
      <c r="W820" s="22"/>
      <c r="X820" s="21" t="str">
        <f aca="false">IF(AND(F820="Bilbo",E820&lt;&gt;"",G820&lt;&gt;"",H820&lt;&gt;""),E820&amp;"|"&amp;G820&amp;"|"&amp;H820,"")</f>
        <v/>
      </c>
      <c r="Y820" s="21" t="str">
        <f aca="false">IF(B820="","",IF(B820&lt;&gt;B819,1,0))</f>
        <v/>
      </c>
    </row>
    <row r="821" customFormat="false" ht="15" hidden="false" customHeight="true" outlineLevel="0" collapsed="false">
      <c r="A821" s="21" t="str">
        <f aca="false">IF(B821="","",ROW()-4)</f>
        <v/>
      </c>
      <c r="B821" s="22"/>
      <c r="C821" s="21" t="str">
        <f aca="false">IF(B821="","",CHOOSE(WEEKDAY(B821,2),"LUNES","MARTES","MIÉRCOLES","JUEVES","VIERNES","SÁBADO","DOMINGO"))</f>
        <v/>
      </c>
      <c r="M821" s="23"/>
      <c r="Q821" s="21" t="str">
        <f aca="false">IF(OR(K821="",N821=""),"",K821-N821)</f>
        <v/>
      </c>
      <c r="R821" s="21" t="str">
        <f aca="false">IF(OR(J821="",K821=""),"",J821*K821)</f>
        <v/>
      </c>
      <c r="S821" s="21" t="str">
        <f aca="false">IF(AND(ISNUMBER(J821),ISNUMBER(K821),F821&lt;&gt;"Calentamiento",F821&lt;&gt;"Bilbo"),IF(AND(K821&gt;0,K821&lt;=12),ROUND(J821*(1+(K821+IF(ISNUMBER(L821),L821,0))/30),1),""),"")</f>
        <v/>
      </c>
      <c r="T821" s="21" t="str">
        <f aca="false">IF(AND(F821="Bilbo",ISNUMBER(J821),ISNUMBER(K821)),ROUND(J821*(1+K821/30),1),"")</f>
        <v/>
      </c>
      <c r="W821" s="22"/>
      <c r="X821" s="21" t="str">
        <f aca="false">IF(AND(F821="Bilbo",E821&lt;&gt;"",G821&lt;&gt;"",H821&lt;&gt;""),E821&amp;"|"&amp;G821&amp;"|"&amp;H821,"")</f>
        <v/>
      </c>
      <c r="Y821" s="21" t="str">
        <f aca="false">IF(B821="","",IF(B821&lt;&gt;B820,1,0))</f>
        <v/>
      </c>
    </row>
    <row r="822" customFormat="false" ht="15" hidden="false" customHeight="true" outlineLevel="0" collapsed="false">
      <c r="A822" s="21" t="str">
        <f aca="false">IF(B822="","",ROW()-4)</f>
        <v/>
      </c>
      <c r="B822" s="22"/>
      <c r="C822" s="21" t="str">
        <f aca="false">IF(B822="","",CHOOSE(WEEKDAY(B822,2),"LUNES","MARTES","MIÉRCOLES","JUEVES","VIERNES","SÁBADO","DOMINGO"))</f>
        <v/>
      </c>
      <c r="M822" s="23"/>
      <c r="Q822" s="21" t="str">
        <f aca="false">IF(OR(K822="",N822=""),"",K822-N822)</f>
        <v/>
      </c>
      <c r="R822" s="21" t="str">
        <f aca="false">IF(OR(J822="",K822=""),"",J822*K822)</f>
        <v/>
      </c>
      <c r="S822" s="21" t="str">
        <f aca="false">IF(AND(ISNUMBER(J822),ISNUMBER(K822),F822&lt;&gt;"Calentamiento",F822&lt;&gt;"Bilbo"),IF(AND(K822&gt;0,K822&lt;=12),ROUND(J822*(1+(K822+IF(ISNUMBER(L822),L822,0))/30),1),""),"")</f>
        <v/>
      </c>
      <c r="T822" s="21" t="str">
        <f aca="false">IF(AND(F822="Bilbo",ISNUMBER(J822),ISNUMBER(K822)),ROUND(J822*(1+K822/30),1),"")</f>
        <v/>
      </c>
      <c r="W822" s="22"/>
      <c r="X822" s="21" t="str">
        <f aca="false">IF(AND(F822="Bilbo",E822&lt;&gt;"",G822&lt;&gt;"",H822&lt;&gt;""),E822&amp;"|"&amp;G822&amp;"|"&amp;H822,"")</f>
        <v/>
      </c>
      <c r="Y822" s="21" t="str">
        <f aca="false">IF(B822="","",IF(B822&lt;&gt;B821,1,0))</f>
        <v/>
      </c>
    </row>
    <row r="823" customFormat="false" ht="15" hidden="false" customHeight="true" outlineLevel="0" collapsed="false">
      <c r="A823" s="21" t="str">
        <f aca="false">IF(B823="","",ROW()-4)</f>
        <v/>
      </c>
      <c r="B823" s="22"/>
      <c r="C823" s="21" t="str">
        <f aca="false">IF(B823="","",CHOOSE(WEEKDAY(B823,2),"LUNES","MARTES","MIÉRCOLES","JUEVES","VIERNES","SÁBADO","DOMINGO"))</f>
        <v/>
      </c>
      <c r="M823" s="23"/>
      <c r="Q823" s="21" t="str">
        <f aca="false">IF(OR(K823="",N823=""),"",K823-N823)</f>
        <v/>
      </c>
      <c r="R823" s="21" t="str">
        <f aca="false">IF(OR(J823="",K823=""),"",J823*K823)</f>
        <v/>
      </c>
      <c r="S823" s="21" t="str">
        <f aca="false">IF(AND(ISNUMBER(J823),ISNUMBER(K823),F823&lt;&gt;"Calentamiento",F823&lt;&gt;"Bilbo"),IF(AND(K823&gt;0,K823&lt;=12),ROUND(J823*(1+(K823+IF(ISNUMBER(L823),L823,0))/30),1),""),"")</f>
        <v/>
      </c>
      <c r="T823" s="21" t="str">
        <f aca="false">IF(AND(F823="Bilbo",ISNUMBER(J823),ISNUMBER(K823)),ROUND(J823*(1+K823/30),1),"")</f>
        <v/>
      </c>
      <c r="W823" s="22"/>
      <c r="X823" s="21" t="str">
        <f aca="false">IF(AND(F823="Bilbo",E823&lt;&gt;"",G823&lt;&gt;"",H823&lt;&gt;""),E823&amp;"|"&amp;G823&amp;"|"&amp;H823,"")</f>
        <v/>
      </c>
      <c r="Y823" s="21" t="str">
        <f aca="false">IF(B823="","",IF(B823&lt;&gt;B822,1,0))</f>
        <v/>
      </c>
    </row>
    <row r="824" customFormat="false" ht="15" hidden="false" customHeight="true" outlineLevel="0" collapsed="false">
      <c r="A824" s="21" t="str">
        <f aca="false">IF(B824="","",ROW()-4)</f>
        <v/>
      </c>
      <c r="B824" s="22"/>
      <c r="C824" s="21" t="str">
        <f aca="false">IF(B824="","",CHOOSE(WEEKDAY(B824,2),"LUNES","MARTES","MIÉRCOLES","JUEVES","VIERNES","SÁBADO","DOMINGO"))</f>
        <v/>
      </c>
      <c r="M824" s="23"/>
      <c r="Q824" s="21" t="str">
        <f aca="false">IF(OR(K824="",N824=""),"",K824-N824)</f>
        <v/>
      </c>
      <c r="R824" s="21" t="str">
        <f aca="false">IF(OR(J824="",K824=""),"",J824*K824)</f>
        <v/>
      </c>
      <c r="S824" s="21" t="str">
        <f aca="false">IF(AND(ISNUMBER(J824),ISNUMBER(K824),F824&lt;&gt;"Calentamiento",F824&lt;&gt;"Bilbo"),IF(AND(K824&gt;0,K824&lt;=12),ROUND(J824*(1+(K824+IF(ISNUMBER(L824),L824,0))/30),1),""),"")</f>
        <v/>
      </c>
      <c r="T824" s="21" t="str">
        <f aca="false">IF(AND(F824="Bilbo",ISNUMBER(J824),ISNUMBER(K824)),ROUND(J824*(1+K824/30),1),"")</f>
        <v/>
      </c>
      <c r="W824" s="22"/>
      <c r="X824" s="21" t="str">
        <f aca="false">IF(AND(F824="Bilbo",E824&lt;&gt;"",G824&lt;&gt;"",H824&lt;&gt;""),E824&amp;"|"&amp;G824&amp;"|"&amp;H824,"")</f>
        <v/>
      </c>
      <c r="Y824" s="21" t="str">
        <f aca="false">IF(B824="","",IF(B824&lt;&gt;B823,1,0))</f>
        <v/>
      </c>
    </row>
    <row r="825" customFormat="false" ht="15" hidden="false" customHeight="true" outlineLevel="0" collapsed="false">
      <c r="A825" s="21" t="str">
        <f aca="false">IF(B825="","",ROW()-4)</f>
        <v/>
      </c>
      <c r="B825" s="22"/>
      <c r="C825" s="21" t="str">
        <f aca="false">IF(B825="","",CHOOSE(WEEKDAY(B825,2),"LUNES","MARTES","MIÉRCOLES","JUEVES","VIERNES","SÁBADO","DOMINGO"))</f>
        <v/>
      </c>
      <c r="M825" s="23"/>
      <c r="Q825" s="21" t="str">
        <f aca="false">IF(OR(K825="",N825=""),"",K825-N825)</f>
        <v/>
      </c>
      <c r="R825" s="21" t="str">
        <f aca="false">IF(OR(J825="",K825=""),"",J825*K825)</f>
        <v/>
      </c>
      <c r="S825" s="21" t="str">
        <f aca="false">IF(AND(ISNUMBER(J825),ISNUMBER(K825),F825&lt;&gt;"Calentamiento",F825&lt;&gt;"Bilbo"),IF(AND(K825&gt;0,K825&lt;=12),ROUND(J825*(1+(K825+IF(ISNUMBER(L825),L825,0))/30),1),""),"")</f>
        <v/>
      </c>
      <c r="T825" s="21" t="str">
        <f aca="false">IF(AND(F825="Bilbo",ISNUMBER(J825),ISNUMBER(K825)),ROUND(J825*(1+K825/30),1),"")</f>
        <v/>
      </c>
      <c r="W825" s="22"/>
      <c r="X825" s="21" t="str">
        <f aca="false">IF(AND(F825="Bilbo",E825&lt;&gt;"",G825&lt;&gt;"",H825&lt;&gt;""),E825&amp;"|"&amp;G825&amp;"|"&amp;H825,"")</f>
        <v/>
      </c>
      <c r="Y825" s="21" t="str">
        <f aca="false">IF(B825="","",IF(B825&lt;&gt;B824,1,0))</f>
        <v/>
      </c>
    </row>
    <row r="826" customFormat="false" ht="15" hidden="false" customHeight="true" outlineLevel="0" collapsed="false">
      <c r="A826" s="21" t="str">
        <f aca="false">IF(B826="","",ROW()-4)</f>
        <v/>
      </c>
      <c r="B826" s="22"/>
      <c r="C826" s="21" t="str">
        <f aca="false">IF(B826="","",CHOOSE(WEEKDAY(B826,2),"LUNES","MARTES","MIÉRCOLES","JUEVES","VIERNES","SÁBADO","DOMINGO"))</f>
        <v/>
      </c>
      <c r="M826" s="23"/>
      <c r="Q826" s="21" t="str">
        <f aca="false">IF(OR(K826="",N826=""),"",K826-N826)</f>
        <v/>
      </c>
      <c r="R826" s="21" t="str">
        <f aca="false">IF(OR(J826="",K826=""),"",J826*K826)</f>
        <v/>
      </c>
      <c r="S826" s="21" t="str">
        <f aca="false">IF(AND(ISNUMBER(J826),ISNUMBER(K826),F826&lt;&gt;"Calentamiento",F826&lt;&gt;"Bilbo"),IF(AND(K826&gt;0,K826&lt;=12),ROUND(J826*(1+(K826+IF(ISNUMBER(L826),L826,0))/30),1),""),"")</f>
        <v/>
      </c>
      <c r="T826" s="21" t="str">
        <f aca="false">IF(AND(F826="Bilbo",ISNUMBER(J826),ISNUMBER(K826)),ROUND(J826*(1+K826/30),1),"")</f>
        <v/>
      </c>
      <c r="W826" s="22"/>
      <c r="X826" s="21" t="str">
        <f aca="false">IF(AND(F826="Bilbo",E826&lt;&gt;"",G826&lt;&gt;"",H826&lt;&gt;""),E826&amp;"|"&amp;G826&amp;"|"&amp;H826,"")</f>
        <v/>
      </c>
      <c r="Y826" s="21" t="str">
        <f aca="false">IF(B826="","",IF(B826&lt;&gt;B825,1,0))</f>
        <v/>
      </c>
    </row>
    <row r="827" customFormat="false" ht="15" hidden="false" customHeight="true" outlineLevel="0" collapsed="false">
      <c r="A827" s="21" t="str">
        <f aca="false">IF(B827="","",ROW()-4)</f>
        <v/>
      </c>
      <c r="B827" s="22"/>
      <c r="C827" s="21" t="str">
        <f aca="false">IF(B827="","",CHOOSE(WEEKDAY(B827,2),"LUNES","MARTES","MIÉRCOLES","JUEVES","VIERNES","SÁBADO","DOMINGO"))</f>
        <v/>
      </c>
      <c r="M827" s="23"/>
      <c r="Q827" s="21" t="str">
        <f aca="false">IF(OR(K827="",N827=""),"",K827-N827)</f>
        <v/>
      </c>
      <c r="R827" s="21" t="str">
        <f aca="false">IF(OR(J827="",K827=""),"",J827*K827)</f>
        <v/>
      </c>
      <c r="S827" s="21" t="str">
        <f aca="false">IF(AND(ISNUMBER(J827),ISNUMBER(K827),F827&lt;&gt;"Calentamiento",F827&lt;&gt;"Bilbo"),IF(AND(K827&gt;0,K827&lt;=12),ROUND(J827*(1+(K827+IF(ISNUMBER(L827),L827,0))/30),1),""),"")</f>
        <v/>
      </c>
      <c r="T827" s="21" t="str">
        <f aca="false">IF(AND(F827="Bilbo",ISNUMBER(J827),ISNUMBER(K827)),ROUND(J827*(1+K827/30),1),"")</f>
        <v/>
      </c>
      <c r="W827" s="22"/>
      <c r="X827" s="21" t="str">
        <f aca="false">IF(AND(F827="Bilbo",E827&lt;&gt;"",G827&lt;&gt;"",H827&lt;&gt;""),E827&amp;"|"&amp;G827&amp;"|"&amp;H827,"")</f>
        <v/>
      </c>
      <c r="Y827" s="21" t="str">
        <f aca="false">IF(B827="","",IF(B827&lt;&gt;B826,1,0))</f>
        <v/>
      </c>
    </row>
    <row r="828" customFormat="false" ht="15" hidden="false" customHeight="true" outlineLevel="0" collapsed="false">
      <c r="A828" s="21" t="str">
        <f aca="false">IF(B828="","",ROW()-4)</f>
        <v/>
      </c>
      <c r="B828" s="22"/>
      <c r="C828" s="21" t="str">
        <f aca="false">IF(B828="","",CHOOSE(WEEKDAY(B828,2),"LUNES","MARTES","MIÉRCOLES","JUEVES","VIERNES","SÁBADO","DOMINGO"))</f>
        <v/>
      </c>
      <c r="M828" s="23"/>
      <c r="Q828" s="21" t="str">
        <f aca="false">IF(OR(K828="",N828=""),"",K828-N828)</f>
        <v/>
      </c>
      <c r="R828" s="21" t="str">
        <f aca="false">IF(OR(J828="",K828=""),"",J828*K828)</f>
        <v/>
      </c>
      <c r="S828" s="21" t="str">
        <f aca="false">IF(AND(ISNUMBER(J828),ISNUMBER(K828),F828&lt;&gt;"Calentamiento",F828&lt;&gt;"Bilbo"),IF(AND(K828&gt;0,K828&lt;=12),ROUND(J828*(1+(K828+IF(ISNUMBER(L828),L828,0))/30),1),""),"")</f>
        <v/>
      </c>
      <c r="T828" s="21" t="str">
        <f aca="false">IF(AND(F828="Bilbo",ISNUMBER(J828),ISNUMBER(K828)),ROUND(J828*(1+K828/30),1),"")</f>
        <v/>
      </c>
      <c r="W828" s="22"/>
      <c r="X828" s="21" t="str">
        <f aca="false">IF(AND(F828="Bilbo",E828&lt;&gt;"",G828&lt;&gt;"",H828&lt;&gt;""),E828&amp;"|"&amp;G828&amp;"|"&amp;H828,"")</f>
        <v/>
      </c>
      <c r="Y828" s="21" t="str">
        <f aca="false">IF(B828="","",IF(B828&lt;&gt;B827,1,0))</f>
        <v/>
      </c>
    </row>
    <row r="829" customFormat="false" ht="15" hidden="false" customHeight="true" outlineLevel="0" collapsed="false">
      <c r="A829" s="21" t="str">
        <f aca="false">IF(B829="","",ROW()-4)</f>
        <v/>
      </c>
      <c r="B829" s="22"/>
      <c r="C829" s="21" t="str">
        <f aca="false">IF(B829="","",CHOOSE(WEEKDAY(B829,2),"LUNES","MARTES","MIÉRCOLES","JUEVES","VIERNES","SÁBADO","DOMINGO"))</f>
        <v/>
      </c>
      <c r="M829" s="23"/>
      <c r="Q829" s="21" t="str">
        <f aca="false">IF(OR(K829="",N829=""),"",K829-N829)</f>
        <v/>
      </c>
      <c r="R829" s="21" t="str">
        <f aca="false">IF(OR(J829="",K829=""),"",J829*K829)</f>
        <v/>
      </c>
      <c r="S829" s="21" t="str">
        <f aca="false">IF(AND(ISNUMBER(J829),ISNUMBER(K829),F829&lt;&gt;"Calentamiento",F829&lt;&gt;"Bilbo"),IF(AND(K829&gt;0,K829&lt;=12),ROUND(J829*(1+(K829+IF(ISNUMBER(L829),L829,0))/30),1),""),"")</f>
        <v/>
      </c>
      <c r="T829" s="21" t="str">
        <f aca="false">IF(AND(F829="Bilbo",ISNUMBER(J829),ISNUMBER(K829)),ROUND(J829*(1+K829/30),1),"")</f>
        <v/>
      </c>
      <c r="W829" s="22"/>
      <c r="X829" s="21" t="str">
        <f aca="false">IF(AND(F829="Bilbo",E829&lt;&gt;"",G829&lt;&gt;"",H829&lt;&gt;""),E829&amp;"|"&amp;G829&amp;"|"&amp;H829,"")</f>
        <v/>
      </c>
      <c r="Y829" s="21" t="str">
        <f aca="false">IF(B829="","",IF(B829&lt;&gt;B828,1,0))</f>
        <v/>
      </c>
    </row>
    <row r="830" customFormat="false" ht="15" hidden="false" customHeight="true" outlineLevel="0" collapsed="false">
      <c r="A830" s="21" t="str">
        <f aca="false">IF(B830="","",ROW()-4)</f>
        <v/>
      </c>
      <c r="B830" s="22"/>
      <c r="C830" s="21" t="str">
        <f aca="false">IF(B830="","",CHOOSE(WEEKDAY(B830,2),"LUNES","MARTES","MIÉRCOLES","JUEVES","VIERNES","SÁBADO","DOMINGO"))</f>
        <v/>
      </c>
      <c r="M830" s="23"/>
      <c r="Q830" s="21" t="str">
        <f aca="false">IF(OR(K830="",N830=""),"",K830-N830)</f>
        <v/>
      </c>
      <c r="R830" s="21" t="str">
        <f aca="false">IF(OR(J830="",K830=""),"",J830*K830)</f>
        <v/>
      </c>
      <c r="S830" s="21" t="str">
        <f aca="false">IF(AND(ISNUMBER(J830),ISNUMBER(K830),F830&lt;&gt;"Calentamiento",F830&lt;&gt;"Bilbo"),IF(AND(K830&gt;0,K830&lt;=12),ROUND(J830*(1+(K830+IF(ISNUMBER(L830),L830,0))/30),1),""),"")</f>
        <v/>
      </c>
      <c r="T830" s="21" t="str">
        <f aca="false">IF(AND(F830="Bilbo",ISNUMBER(J830),ISNUMBER(K830)),ROUND(J830*(1+K830/30),1),"")</f>
        <v/>
      </c>
      <c r="W830" s="22"/>
      <c r="X830" s="21" t="str">
        <f aca="false">IF(AND(F830="Bilbo",E830&lt;&gt;"",G830&lt;&gt;"",H830&lt;&gt;""),E830&amp;"|"&amp;G830&amp;"|"&amp;H830,"")</f>
        <v/>
      </c>
      <c r="Y830" s="21" t="str">
        <f aca="false">IF(B830="","",IF(B830&lt;&gt;B829,1,0))</f>
        <v/>
      </c>
    </row>
    <row r="831" customFormat="false" ht="15" hidden="false" customHeight="true" outlineLevel="0" collapsed="false">
      <c r="A831" s="21" t="str">
        <f aca="false">IF(B831="","",ROW()-4)</f>
        <v/>
      </c>
      <c r="B831" s="22"/>
      <c r="C831" s="21" t="str">
        <f aca="false">IF(B831="","",CHOOSE(WEEKDAY(B831,2),"LUNES","MARTES","MIÉRCOLES","JUEVES","VIERNES","SÁBADO","DOMINGO"))</f>
        <v/>
      </c>
      <c r="M831" s="23"/>
      <c r="Q831" s="21" t="str">
        <f aca="false">IF(OR(K831="",N831=""),"",K831-N831)</f>
        <v/>
      </c>
      <c r="R831" s="21" t="str">
        <f aca="false">IF(OR(J831="",K831=""),"",J831*K831)</f>
        <v/>
      </c>
      <c r="S831" s="21" t="str">
        <f aca="false">IF(AND(ISNUMBER(J831),ISNUMBER(K831),F831&lt;&gt;"Calentamiento",F831&lt;&gt;"Bilbo"),IF(AND(K831&gt;0,K831&lt;=12),ROUND(J831*(1+(K831+IF(ISNUMBER(L831),L831,0))/30),1),""),"")</f>
        <v/>
      </c>
      <c r="T831" s="21" t="str">
        <f aca="false">IF(AND(F831="Bilbo",ISNUMBER(J831),ISNUMBER(K831)),ROUND(J831*(1+K831/30),1),"")</f>
        <v/>
      </c>
      <c r="W831" s="22"/>
      <c r="X831" s="21" t="str">
        <f aca="false">IF(AND(F831="Bilbo",E831&lt;&gt;"",G831&lt;&gt;"",H831&lt;&gt;""),E831&amp;"|"&amp;G831&amp;"|"&amp;H831,"")</f>
        <v/>
      </c>
      <c r="Y831" s="21" t="str">
        <f aca="false">IF(B831="","",IF(B831&lt;&gt;B830,1,0))</f>
        <v/>
      </c>
    </row>
    <row r="832" customFormat="false" ht="15" hidden="false" customHeight="true" outlineLevel="0" collapsed="false">
      <c r="A832" s="21" t="str">
        <f aca="false">IF(B832="","",ROW()-4)</f>
        <v/>
      </c>
      <c r="B832" s="22"/>
      <c r="C832" s="21" t="str">
        <f aca="false">IF(B832="","",CHOOSE(WEEKDAY(B832,2),"LUNES","MARTES","MIÉRCOLES","JUEVES","VIERNES","SÁBADO","DOMINGO"))</f>
        <v/>
      </c>
      <c r="M832" s="23"/>
      <c r="Q832" s="21" t="str">
        <f aca="false">IF(OR(K832="",N832=""),"",K832-N832)</f>
        <v/>
      </c>
      <c r="R832" s="21" t="str">
        <f aca="false">IF(OR(J832="",K832=""),"",J832*K832)</f>
        <v/>
      </c>
      <c r="S832" s="21" t="str">
        <f aca="false">IF(AND(ISNUMBER(J832),ISNUMBER(K832),F832&lt;&gt;"Calentamiento",F832&lt;&gt;"Bilbo"),IF(AND(K832&gt;0,K832&lt;=12),ROUND(J832*(1+(K832+IF(ISNUMBER(L832),L832,0))/30),1),""),"")</f>
        <v/>
      </c>
      <c r="T832" s="21" t="str">
        <f aca="false">IF(AND(F832="Bilbo",ISNUMBER(J832),ISNUMBER(K832)),ROUND(J832*(1+K832/30),1),"")</f>
        <v/>
      </c>
      <c r="W832" s="22"/>
      <c r="X832" s="21" t="str">
        <f aca="false">IF(AND(F832="Bilbo",E832&lt;&gt;"",G832&lt;&gt;"",H832&lt;&gt;""),E832&amp;"|"&amp;G832&amp;"|"&amp;H832,"")</f>
        <v/>
      </c>
      <c r="Y832" s="21" t="str">
        <f aca="false">IF(B832="","",IF(B832&lt;&gt;B831,1,0))</f>
        <v/>
      </c>
    </row>
    <row r="833" customFormat="false" ht="15" hidden="false" customHeight="true" outlineLevel="0" collapsed="false">
      <c r="A833" s="21" t="str">
        <f aca="false">IF(B833="","",ROW()-4)</f>
        <v/>
      </c>
      <c r="B833" s="22"/>
      <c r="C833" s="21" t="str">
        <f aca="false">IF(B833="","",CHOOSE(WEEKDAY(B833,2),"LUNES","MARTES","MIÉRCOLES","JUEVES","VIERNES","SÁBADO","DOMINGO"))</f>
        <v/>
      </c>
      <c r="M833" s="23"/>
      <c r="Q833" s="21" t="str">
        <f aca="false">IF(OR(K833="",N833=""),"",K833-N833)</f>
        <v/>
      </c>
      <c r="R833" s="21" t="str">
        <f aca="false">IF(OR(J833="",K833=""),"",J833*K833)</f>
        <v/>
      </c>
      <c r="S833" s="21" t="str">
        <f aca="false">IF(AND(ISNUMBER(J833),ISNUMBER(K833),F833&lt;&gt;"Calentamiento",F833&lt;&gt;"Bilbo"),IF(AND(K833&gt;0,K833&lt;=12),ROUND(J833*(1+(K833+IF(ISNUMBER(L833),L833,0))/30),1),""),"")</f>
        <v/>
      </c>
      <c r="T833" s="21" t="str">
        <f aca="false">IF(AND(F833="Bilbo",ISNUMBER(J833),ISNUMBER(K833)),ROUND(J833*(1+K833/30),1),"")</f>
        <v/>
      </c>
      <c r="W833" s="22"/>
      <c r="X833" s="21" t="str">
        <f aca="false">IF(AND(F833="Bilbo",E833&lt;&gt;"",G833&lt;&gt;"",H833&lt;&gt;""),E833&amp;"|"&amp;G833&amp;"|"&amp;H833,"")</f>
        <v/>
      </c>
      <c r="Y833" s="21" t="str">
        <f aca="false">IF(B833="","",IF(B833&lt;&gt;B832,1,0))</f>
        <v/>
      </c>
    </row>
    <row r="834" customFormat="false" ht="15" hidden="false" customHeight="true" outlineLevel="0" collapsed="false">
      <c r="A834" s="21" t="str">
        <f aca="false">IF(B834="","",ROW()-4)</f>
        <v/>
      </c>
      <c r="B834" s="22"/>
      <c r="C834" s="21" t="str">
        <f aca="false">IF(B834="","",CHOOSE(WEEKDAY(B834,2),"LUNES","MARTES","MIÉRCOLES","JUEVES","VIERNES","SÁBADO","DOMINGO"))</f>
        <v/>
      </c>
      <c r="M834" s="23"/>
      <c r="Q834" s="21" t="str">
        <f aca="false">IF(OR(K834="",N834=""),"",K834-N834)</f>
        <v/>
      </c>
      <c r="R834" s="21" t="str">
        <f aca="false">IF(OR(J834="",K834=""),"",J834*K834)</f>
        <v/>
      </c>
      <c r="S834" s="21" t="str">
        <f aca="false">IF(AND(ISNUMBER(J834),ISNUMBER(K834),F834&lt;&gt;"Calentamiento",F834&lt;&gt;"Bilbo"),IF(AND(K834&gt;0,K834&lt;=12),ROUND(J834*(1+(K834+IF(ISNUMBER(L834),L834,0))/30),1),""),"")</f>
        <v/>
      </c>
      <c r="T834" s="21" t="str">
        <f aca="false">IF(AND(F834="Bilbo",ISNUMBER(J834),ISNUMBER(K834)),ROUND(J834*(1+K834/30),1),"")</f>
        <v/>
      </c>
      <c r="W834" s="22"/>
      <c r="X834" s="21" t="str">
        <f aca="false">IF(AND(F834="Bilbo",E834&lt;&gt;"",G834&lt;&gt;"",H834&lt;&gt;""),E834&amp;"|"&amp;G834&amp;"|"&amp;H834,"")</f>
        <v/>
      </c>
      <c r="Y834" s="21" t="str">
        <f aca="false">IF(B834="","",IF(B834&lt;&gt;B833,1,0))</f>
        <v/>
      </c>
    </row>
    <row r="835" customFormat="false" ht="15" hidden="false" customHeight="true" outlineLevel="0" collapsed="false">
      <c r="A835" s="21" t="str">
        <f aca="false">IF(B835="","",ROW()-4)</f>
        <v/>
      </c>
      <c r="B835" s="22"/>
      <c r="C835" s="21" t="str">
        <f aca="false">IF(B835="","",CHOOSE(WEEKDAY(B835,2),"LUNES","MARTES","MIÉRCOLES","JUEVES","VIERNES","SÁBADO","DOMINGO"))</f>
        <v/>
      </c>
      <c r="M835" s="23"/>
      <c r="Q835" s="21" t="str">
        <f aca="false">IF(OR(K835="",N835=""),"",K835-N835)</f>
        <v/>
      </c>
      <c r="R835" s="21" t="str">
        <f aca="false">IF(OR(J835="",K835=""),"",J835*K835)</f>
        <v/>
      </c>
      <c r="S835" s="21" t="str">
        <f aca="false">IF(AND(ISNUMBER(J835),ISNUMBER(K835),F835&lt;&gt;"Calentamiento",F835&lt;&gt;"Bilbo"),IF(AND(K835&gt;0,K835&lt;=12),ROUND(J835*(1+(K835+IF(ISNUMBER(L835),L835,0))/30),1),""),"")</f>
        <v/>
      </c>
      <c r="T835" s="21" t="str">
        <f aca="false">IF(AND(F835="Bilbo",ISNUMBER(J835),ISNUMBER(K835)),ROUND(J835*(1+K835/30),1),"")</f>
        <v/>
      </c>
      <c r="W835" s="22"/>
      <c r="X835" s="21" t="str">
        <f aca="false">IF(AND(F835="Bilbo",E835&lt;&gt;"",G835&lt;&gt;"",H835&lt;&gt;""),E835&amp;"|"&amp;G835&amp;"|"&amp;H835,"")</f>
        <v/>
      </c>
      <c r="Y835" s="21" t="str">
        <f aca="false">IF(B835="","",IF(B835&lt;&gt;B834,1,0))</f>
        <v/>
      </c>
    </row>
    <row r="836" customFormat="false" ht="15" hidden="false" customHeight="true" outlineLevel="0" collapsed="false">
      <c r="A836" s="21" t="str">
        <f aca="false">IF(B836="","",ROW()-4)</f>
        <v/>
      </c>
      <c r="B836" s="22"/>
      <c r="C836" s="21" t="str">
        <f aca="false">IF(B836="","",CHOOSE(WEEKDAY(B836,2),"LUNES","MARTES","MIÉRCOLES","JUEVES","VIERNES","SÁBADO","DOMINGO"))</f>
        <v/>
      </c>
      <c r="M836" s="23"/>
      <c r="Q836" s="21" t="str">
        <f aca="false">IF(OR(K836="",N836=""),"",K836-N836)</f>
        <v/>
      </c>
      <c r="R836" s="21" t="str">
        <f aca="false">IF(OR(J836="",K836=""),"",J836*K836)</f>
        <v/>
      </c>
      <c r="S836" s="21" t="str">
        <f aca="false">IF(AND(ISNUMBER(J836),ISNUMBER(K836),F836&lt;&gt;"Calentamiento",F836&lt;&gt;"Bilbo"),IF(AND(K836&gt;0,K836&lt;=12),ROUND(J836*(1+(K836+IF(ISNUMBER(L836),L836,0))/30),1),""),"")</f>
        <v/>
      </c>
      <c r="T836" s="21" t="str">
        <f aca="false">IF(AND(F836="Bilbo",ISNUMBER(J836),ISNUMBER(K836)),ROUND(J836*(1+K836/30),1),"")</f>
        <v/>
      </c>
      <c r="W836" s="22"/>
      <c r="X836" s="21" t="str">
        <f aca="false">IF(AND(F836="Bilbo",E836&lt;&gt;"",G836&lt;&gt;"",H836&lt;&gt;""),E836&amp;"|"&amp;G836&amp;"|"&amp;H836,"")</f>
        <v/>
      </c>
      <c r="Y836" s="21" t="str">
        <f aca="false">IF(B836="","",IF(B836&lt;&gt;B835,1,0))</f>
        <v/>
      </c>
    </row>
    <row r="837" customFormat="false" ht="15" hidden="false" customHeight="true" outlineLevel="0" collapsed="false">
      <c r="A837" s="21" t="str">
        <f aca="false">IF(B837="","",ROW()-4)</f>
        <v/>
      </c>
      <c r="B837" s="22"/>
      <c r="C837" s="21" t="str">
        <f aca="false">IF(B837="","",CHOOSE(WEEKDAY(B837,2),"LUNES","MARTES","MIÉRCOLES","JUEVES","VIERNES","SÁBADO","DOMINGO"))</f>
        <v/>
      </c>
      <c r="M837" s="23"/>
      <c r="Q837" s="21" t="str">
        <f aca="false">IF(OR(K837="",N837=""),"",K837-N837)</f>
        <v/>
      </c>
      <c r="R837" s="21" t="str">
        <f aca="false">IF(OR(J837="",K837=""),"",J837*K837)</f>
        <v/>
      </c>
      <c r="S837" s="21" t="str">
        <f aca="false">IF(AND(ISNUMBER(J837),ISNUMBER(K837),F837&lt;&gt;"Calentamiento",F837&lt;&gt;"Bilbo"),IF(AND(K837&gt;0,K837&lt;=12),ROUND(J837*(1+(K837+IF(ISNUMBER(L837),L837,0))/30),1),""),"")</f>
        <v/>
      </c>
      <c r="T837" s="21" t="str">
        <f aca="false">IF(AND(F837="Bilbo",ISNUMBER(J837),ISNUMBER(K837)),ROUND(J837*(1+K837/30),1),"")</f>
        <v/>
      </c>
      <c r="W837" s="22"/>
      <c r="X837" s="21" t="str">
        <f aca="false">IF(AND(F837="Bilbo",E837&lt;&gt;"",G837&lt;&gt;"",H837&lt;&gt;""),E837&amp;"|"&amp;G837&amp;"|"&amp;H837,"")</f>
        <v/>
      </c>
      <c r="Y837" s="21" t="str">
        <f aca="false">IF(B837="","",IF(B837&lt;&gt;B836,1,0))</f>
        <v/>
      </c>
    </row>
    <row r="838" customFormat="false" ht="15" hidden="false" customHeight="true" outlineLevel="0" collapsed="false">
      <c r="A838" s="21" t="str">
        <f aca="false">IF(B838="","",ROW()-4)</f>
        <v/>
      </c>
      <c r="B838" s="22"/>
      <c r="C838" s="21" t="str">
        <f aca="false">IF(B838="","",CHOOSE(WEEKDAY(B838,2),"LUNES","MARTES","MIÉRCOLES","JUEVES","VIERNES","SÁBADO","DOMINGO"))</f>
        <v/>
      </c>
      <c r="M838" s="23"/>
      <c r="Q838" s="21" t="str">
        <f aca="false">IF(OR(K838="",N838=""),"",K838-N838)</f>
        <v/>
      </c>
      <c r="R838" s="21" t="str">
        <f aca="false">IF(OR(J838="",K838=""),"",J838*K838)</f>
        <v/>
      </c>
      <c r="S838" s="21" t="str">
        <f aca="false">IF(AND(ISNUMBER(J838),ISNUMBER(K838),F838&lt;&gt;"Calentamiento",F838&lt;&gt;"Bilbo"),IF(AND(K838&gt;0,K838&lt;=12),ROUND(J838*(1+(K838+IF(ISNUMBER(L838),L838,0))/30),1),""),"")</f>
        <v/>
      </c>
      <c r="T838" s="21" t="str">
        <f aca="false">IF(AND(F838="Bilbo",ISNUMBER(J838),ISNUMBER(K838)),ROUND(J838*(1+K838/30),1),"")</f>
        <v/>
      </c>
      <c r="W838" s="22"/>
      <c r="X838" s="21" t="str">
        <f aca="false">IF(AND(F838="Bilbo",E838&lt;&gt;"",G838&lt;&gt;"",H838&lt;&gt;""),E838&amp;"|"&amp;G838&amp;"|"&amp;H838,"")</f>
        <v/>
      </c>
      <c r="Y838" s="21" t="str">
        <f aca="false">IF(B838="","",IF(B838&lt;&gt;B837,1,0))</f>
        <v/>
      </c>
    </row>
    <row r="839" customFormat="false" ht="15" hidden="false" customHeight="true" outlineLevel="0" collapsed="false">
      <c r="A839" s="21" t="str">
        <f aca="false">IF(B839="","",ROW()-4)</f>
        <v/>
      </c>
      <c r="B839" s="22"/>
      <c r="C839" s="21" t="str">
        <f aca="false">IF(B839="","",CHOOSE(WEEKDAY(B839,2),"LUNES","MARTES","MIÉRCOLES","JUEVES","VIERNES","SÁBADO","DOMINGO"))</f>
        <v/>
      </c>
      <c r="M839" s="23"/>
      <c r="Q839" s="21" t="str">
        <f aca="false">IF(OR(K839="",N839=""),"",K839-N839)</f>
        <v/>
      </c>
      <c r="R839" s="21" t="str">
        <f aca="false">IF(OR(J839="",K839=""),"",J839*K839)</f>
        <v/>
      </c>
      <c r="S839" s="21" t="str">
        <f aca="false">IF(AND(ISNUMBER(J839),ISNUMBER(K839),F839&lt;&gt;"Calentamiento",F839&lt;&gt;"Bilbo"),IF(AND(K839&gt;0,K839&lt;=12),ROUND(J839*(1+(K839+IF(ISNUMBER(L839),L839,0))/30),1),""),"")</f>
        <v/>
      </c>
      <c r="T839" s="21" t="str">
        <f aca="false">IF(AND(F839="Bilbo",ISNUMBER(J839),ISNUMBER(K839)),ROUND(J839*(1+K839/30),1),"")</f>
        <v/>
      </c>
      <c r="W839" s="22"/>
      <c r="X839" s="21" t="str">
        <f aca="false">IF(AND(F839="Bilbo",E839&lt;&gt;"",G839&lt;&gt;"",H839&lt;&gt;""),E839&amp;"|"&amp;G839&amp;"|"&amp;H839,"")</f>
        <v/>
      </c>
      <c r="Y839" s="21" t="str">
        <f aca="false">IF(B839="","",IF(B839&lt;&gt;B838,1,0))</f>
        <v/>
      </c>
    </row>
    <row r="840" customFormat="false" ht="15" hidden="false" customHeight="true" outlineLevel="0" collapsed="false">
      <c r="A840" s="21" t="str">
        <f aca="false">IF(B840="","",ROW()-4)</f>
        <v/>
      </c>
      <c r="B840" s="22"/>
      <c r="C840" s="21" t="str">
        <f aca="false">IF(B840="","",CHOOSE(WEEKDAY(B840,2),"LUNES","MARTES","MIÉRCOLES","JUEVES","VIERNES","SÁBADO","DOMINGO"))</f>
        <v/>
      </c>
      <c r="M840" s="23"/>
      <c r="Q840" s="21" t="str">
        <f aca="false">IF(OR(K840="",N840=""),"",K840-N840)</f>
        <v/>
      </c>
      <c r="R840" s="21" t="str">
        <f aca="false">IF(OR(J840="",K840=""),"",J840*K840)</f>
        <v/>
      </c>
      <c r="S840" s="21" t="str">
        <f aca="false">IF(AND(ISNUMBER(J840),ISNUMBER(K840),F840&lt;&gt;"Calentamiento",F840&lt;&gt;"Bilbo"),IF(AND(K840&gt;0,K840&lt;=12),ROUND(J840*(1+(K840+IF(ISNUMBER(L840),L840,0))/30),1),""),"")</f>
        <v/>
      </c>
      <c r="T840" s="21" t="str">
        <f aca="false">IF(AND(F840="Bilbo",ISNUMBER(J840),ISNUMBER(K840)),ROUND(J840*(1+K840/30),1),"")</f>
        <v/>
      </c>
      <c r="W840" s="22"/>
      <c r="X840" s="21" t="str">
        <f aca="false">IF(AND(F840="Bilbo",E840&lt;&gt;"",G840&lt;&gt;"",H840&lt;&gt;""),E840&amp;"|"&amp;G840&amp;"|"&amp;H840,"")</f>
        <v/>
      </c>
      <c r="Y840" s="21" t="str">
        <f aca="false">IF(B840="","",IF(B840&lt;&gt;B839,1,0))</f>
        <v/>
      </c>
    </row>
    <row r="841" customFormat="false" ht="15" hidden="false" customHeight="true" outlineLevel="0" collapsed="false">
      <c r="A841" s="21" t="str">
        <f aca="false">IF(B841="","",ROW()-4)</f>
        <v/>
      </c>
      <c r="B841" s="22"/>
      <c r="C841" s="21" t="str">
        <f aca="false">IF(B841="","",CHOOSE(WEEKDAY(B841,2),"LUNES","MARTES","MIÉRCOLES","JUEVES","VIERNES","SÁBADO","DOMINGO"))</f>
        <v/>
      </c>
      <c r="M841" s="23"/>
      <c r="Q841" s="21" t="str">
        <f aca="false">IF(OR(K841="",N841=""),"",K841-N841)</f>
        <v/>
      </c>
      <c r="R841" s="21" t="str">
        <f aca="false">IF(OR(J841="",K841=""),"",J841*K841)</f>
        <v/>
      </c>
      <c r="S841" s="21" t="str">
        <f aca="false">IF(AND(ISNUMBER(J841),ISNUMBER(K841),F841&lt;&gt;"Calentamiento",F841&lt;&gt;"Bilbo"),IF(AND(K841&gt;0,K841&lt;=12),ROUND(J841*(1+(K841+IF(ISNUMBER(L841),L841,0))/30),1),""),"")</f>
        <v/>
      </c>
      <c r="T841" s="21" t="str">
        <f aca="false">IF(AND(F841="Bilbo",ISNUMBER(J841),ISNUMBER(K841)),ROUND(J841*(1+K841/30),1),"")</f>
        <v/>
      </c>
      <c r="W841" s="22"/>
      <c r="X841" s="21" t="str">
        <f aca="false">IF(AND(F841="Bilbo",E841&lt;&gt;"",G841&lt;&gt;"",H841&lt;&gt;""),E841&amp;"|"&amp;G841&amp;"|"&amp;H841,"")</f>
        <v/>
      </c>
      <c r="Y841" s="21" t="str">
        <f aca="false">IF(B841="","",IF(B841&lt;&gt;B840,1,0))</f>
        <v/>
      </c>
    </row>
    <row r="842" customFormat="false" ht="15" hidden="false" customHeight="true" outlineLevel="0" collapsed="false">
      <c r="A842" s="21" t="str">
        <f aca="false">IF(B842="","",ROW()-4)</f>
        <v/>
      </c>
      <c r="B842" s="22"/>
      <c r="C842" s="21" t="str">
        <f aca="false">IF(B842="","",CHOOSE(WEEKDAY(B842,2),"LUNES","MARTES","MIÉRCOLES","JUEVES","VIERNES","SÁBADO","DOMINGO"))</f>
        <v/>
      </c>
      <c r="M842" s="23"/>
      <c r="Q842" s="21" t="str">
        <f aca="false">IF(OR(K842="",N842=""),"",K842-N842)</f>
        <v/>
      </c>
      <c r="R842" s="21" t="str">
        <f aca="false">IF(OR(J842="",K842=""),"",J842*K842)</f>
        <v/>
      </c>
      <c r="S842" s="21" t="str">
        <f aca="false">IF(AND(ISNUMBER(J842),ISNUMBER(K842),F842&lt;&gt;"Calentamiento",F842&lt;&gt;"Bilbo"),IF(AND(K842&gt;0,K842&lt;=12),ROUND(J842*(1+(K842+IF(ISNUMBER(L842),L842,0))/30),1),""),"")</f>
        <v/>
      </c>
      <c r="T842" s="21" t="str">
        <f aca="false">IF(AND(F842="Bilbo",ISNUMBER(J842),ISNUMBER(K842)),ROUND(J842*(1+K842/30),1),"")</f>
        <v/>
      </c>
      <c r="W842" s="22"/>
      <c r="X842" s="21" t="str">
        <f aca="false">IF(AND(F842="Bilbo",E842&lt;&gt;"",G842&lt;&gt;"",H842&lt;&gt;""),E842&amp;"|"&amp;G842&amp;"|"&amp;H842,"")</f>
        <v/>
      </c>
      <c r="Y842" s="21" t="str">
        <f aca="false">IF(B842="","",IF(B842&lt;&gt;B841,1,0))</f>
        <v/>
      </c>
    </row>
    <row r="843" customFormat="false" ht="15" hidden="false" customHeight="true" outlineLevel="0" collapsed="false">
      <c r="A843" s="21" t="str">
        <f aca="false">IF(B843="","",ROW()-4)</f>
        <v/>
      </c>
      <c r="B843" s="22"/>
      <c r="C843" s="21" t="str">
        <f aca="false">IF(B843="","",CHOOSE(WEEKDAY(B843,2),"LUNES","MARTES","MIÉRCOLES","JUEVES","VIERNES","SÁBADO","DOMINGO"))</f>
        <v/>
      </c>
      <c r="M843" s="23"/>
      <c r="Q843" s="21" t="str">
        <f aca="false">IF(OR(K843="",N843=""),"",K843-N843)</f>
        <v/>
      </c>
      <c r="R843" s="21" t="str">
        <f aca="false">IF(OR(J843="",K843=""),"",J843*K843)</f>
        <v/>
      </c>
      <c r="S843" s="21" t="str">
        <f aca="false">IF(AND(ISNUMBER(J843),ISNUMBER(K843),F843&lt;&gt;"Calentamiento",F843&lt;&gt;"Bilbo"),IF(AND(K843&gt;0,K843&lt;=12),ROUND(J843*(1+(K843+IF(ISNUMBER(L843),L843,0))/30),1),""),"")</f>
        <v/>
      </c>
      <c r="T843" s="21" t="str">
        <f aca="false">IF(AND(F843="Bilbo",ISNUMBER(J843),ISNUMBER(K843)),ROUND(J843*(1+K843/30),1),"")</f>
        <v/>
      </c>
      <c r="W843" s="22"/>
      <c r="X843" s="21" t="str">
        <f aca="false">IF(AND(F843="Bilbo",E843&lt;&gt;"",G843&lt;&gt;"",H843&lt;&gt;""),E843&amp;"|"&amp;G843&amp;"|"&amp;H843,"")</f>
        <v/>
      </c>
      <c r="Y843" s="21" t="str">
        <f aca="false">IF(B843="","",IF(B843&lt;&gt;B842,1,0))</f>
        <v/>
      </c>
    </row>
    <row r="844" customFormat="false" ht="15" hidden="false" customHeight="true" outlineLevel="0" collapsed="false">
      <c r="A844" s="21" t="str">
        <f aca="false">IF(B844="","",ROW()-4)</f>
        <v/>
      </c>
      <c r="B844" s="22"/>
      <c r="C844" s="21" t="str">
        <f aca="false">IF(B844="","",CHOOSE(WEEKDAY(B844,2),"LUNES","MARTES","MIÉRCOLES","JUEVES","VIERNES","SÁBADO","DOMINGO"))</f>
        <v/>
      </c>
      <c r="M844" s="23"/>
      <c r="Q844" s="21" t="str">
        <f aca="false">IF(OR(K844="",N844=""),"",K844-N844)</f>
        <v/>
      </c>
      <c r="R844" s="21" t="str">
        <f aca="false">IF(OR(J844="",K844=""),"",J844*K844)</f>
        <v/>
      </c>
      <c r="S844" s="21" t="str">
        <f aca="false">IF(AND(ISNUMBER(J844),ISNUMBER(K844),F844&lt;&gt;"Calentamiento",F844&lt;&gt;"Bilbo"),IF(AND(K844&gt;0,K844&lt;=12),ROUND(J844*(1+(K844+IF(ISNUMBER(L844),L844,0))/30),1),""),"")</f>
        <v/>
      </c>
      <c r="T844" s="21" t="str">
        <f aca="false">IF(AND(F844="Bilbo",ISNUMBER(J844),ISNUMBER(K844)),ROUND(J844*(1+K844/30),1),"")</f>
        <v/>
      </c>
      <c r="W844" s="22"/>
      <c r="X844" s="21" t="str">
        <f aca="false">IF(AND(F844="Bilbo",E844&lt;&gt;"",G844&lt;&gt;"",H844&lt;&gt;""),E844&amp;"|"&amp;G844&amp;"|"&amp;H844,"")</f>
        <v/>
      </c>
      <c r="Y844" s="21" t="str">
        <f aca="false">IF(B844="","",IF(B844&lt;&gt;B843,1,0))</f>
        <v/>
      </c>
    </row>
    <row r="845" customFormat="false" ht="15" hidden="false" customHeight="true" outlineLevel="0" collapsed="false">
      <c r="A845" s="21" t="str">
        <f aca="false">IF(B845="","",ROW()-4)</f>
        <v/>
      </c>
      <c r="B845" s="22"/>
      <c r="C845" s="21" t="str">
        <f aca="false">IF(B845="","",CHOOSE(WEEKDAY(B845,2),"LUNES","MARTES","MIÉRCOLES","JUEVES","VIERNES","SÁBADO","DOMINGO"))</f>
        <v/>
      </c>
      <c r="M845" s="23"/>
      <c r="Q845" s="21" t="str">
        <f aca="false">IF(OR(K845="",N845=""),"",K845-N845)</f>
        <v/>
      </c>
      <c r="R845" s="21" t="str">
        <f aca="false">IF(OR(J845="",K845=""),"",J845*K845)</f>
        <v/>
      </c>
      <c r="S845" s="21" t="str">
        <f aca="false">IF(AND(ISNUMBER(J845),ISNUMBER(K845),F845&lt;&gt;"Calentamiento",F845&lt;&gt;"Bilbo"),IF(AND(K845&gt;0,K845&lt;=12),ROUND(J845*(1+(K845+IF(ISNUMBER(L845),L845,0))/30),1),""),"")</f>
        <v/>
      </c>
      <c r="T845" s="21" t="str">
        <f aca="false">IF(AND(F845="Bilbo",ISNUMBER(J845),ISNUMBER(K845)),ROUND(J845*(1+K845/30),1),"")</f>
        <v/>
      </c>
      <c r="W845" s="22"/>
      <c r="X845" s="21" t="str">
        <f aca="false">IF(AND(F845="Bilbo",E845&lt;&gt;"",G845&lt;&gt;"",H845&lt;&gt;""),E845&amp;"|"&amp;G845&amp;"|"&amp;H845,"")</f>
        <v/>
      </c>
      <c r="Y845" s="21" t="str">
        <f aca="false">IF(B845="","",IF(B845&lt;&gt;B844,1,0))</f>
        <v/>
      </c>
    </row>
    <row r="846" customFormat="false" ht="15" hidden="false" customHeight="true" outlineLevel="0" collapsed="false">
      <c r="A846" s="21" t="str">
        <f aca="false">IF(B846="","",ROW()-4)</f>
        <v/>
      </c>
      <c r="B846" s="22"/>
      <c r="C846" s="21" t="str">
        <f aca="false">IF(B846="","",CHOOSE(WEEKDAY(B846,2),"LUNES","MARTES","MIÉRCOLES","JUEVES","VIERNES","SÁBADO","DOMINGO"))</f>
        <v/>
      </c>
      <c r="M846" s="23"/>
      <c r="Q846" s="21" t="str">
        <f aca="false">IF(OR(K846="",N846=""),"",K846-N846)</f>
        <v/>
      </c>
      <c r="R846" s="21" t="str">
        <f aca="false">IF(OR(J846="",K846=""),"",J846*K846)</f>
        <v/>
      </c>
      <c r="S846" s="21" t="str">
        <f aca="false">IF(AND(ISNUMBER(J846),ISNUMBER(K846),F846&lt;&gt;"Calentamiento",F846&lt;&gt;"Bilbo"),IF(AND(K846&gt;0,K846&lt;=12),ROUND(J846*(1+(K846+IF(ISNUMBER(L846),L846,0))/30),1),""),"")</f>
        <v/>
      </c>
      <c r="T846" s="21" t="str">
        <f aca="false">IF(AND(F846="Bilbo",ISNUMBER(J846),ISNUMBER(K846)),ROUND(J846*(1+K846/30),1),"")</f>
        <v/>
      </c>
      <c r="W846" s="22"/>
      <c r="X846" s="21" t="str">
        <f aca="false">IF(AND(F846="Bilbo",E846&lt;&gt;"",G846&lt;&gt;"",H846&lt;&gt;""),E846&amp;"|"&amp;G846&amp;"|"&amp;H846,"")</f>
        <v/>
      </c>
      <c r="Y846" s="21" t="str">
        <f aca="false">IF(B846="","",IF(B846&lt;&gt;B845,1,0))</f>
        <v/>
      </c>
    </row>
    <row r="847" customFormat="false" ht="15" hidden="false" customHeight="true" outlineLevel="0" collapsed="false">
      <c r="A847" s="21" t="str">
        <f aca="false">IF(B847="","",ROW()-4)</f>
        <v/>
      </c>
      <c r="B847" s="22"/>
      <c r="C847" s="21" t="str">
        <f aca="false">IF(B847="","",CHOOSE(WEEKDAY(B847,2),"LUNES","MARTES","MIÉRCOLES","JUEVES","VIERNES","SÁBADO","DOMINGO"))</f>
        <v/>
      </c>
      <c r="M847" s="23"/>
      <c r="Q847" s="21" t="str">
        <f aca="false">IF(OR(K847="",N847=""),"",K847-N847)</f>
        <v/>
      </c>
      <c r="R847" s="21" t="str">
        <f aca="false">IF(OR(J847="",K847=""),"",J847*K847)</f>
        <v/>
      </c>
      <c r="S847" s="21" t="str">
        <f aca="false">IF(AND(ISNUMBER(J847),ISNUMBER(K847),F847&lt;&gt;"Calentamiento",F847&lt;&gt;"Bilbo"),IF(AND(K847&gt;0,K847&lt;=12),ROUND(J847*(1+(K847+IF(ISNUMBER(L847),L847,0))/30),1),""),"")</f>
        <v/>
      </c>
      <c r="T847" s="21" t="str">
        <f aca="false">IF(AND(F847="Bilbo",ISNUMBER(J847),ISNUMBER(K847)),ROUND(J847*(1+K847/30),1),"")</f>
        <v/>
      </c>
      <c r="W847" s="22"/>
      <c r="X847" s="21" t="str">
        <f aca="false">IF(AND(F847="Bilbo",E847&lt;&gt;"",G847&lt;&gt;"",H847&lt;&gt;""),E847&amp;"|"&amp;G847&amp;"|"&amp;H847,"")</f>
        <v/>
      </c>
      <c r="Y847" s="21" t="str">
        <f aca="false">IF(B847="","",IF(B847&lt;&gt;B846,1,0))</f>
        <v/>
      </c>
    </row>
    <row r="848" customFormat="false" ht="15" hidden="false" customHeight="true" outlineLevel="0" collapsed="false">
      <c r="A848" s="21" t="str">
        <f aca="false">IF(B848="","",ROW()-4)</f>
        <v/>
      </c>
      <c r="B848" s="22"/>
      <c r="C848" s="21" t="str">
        <f aca="false">IF(B848="","",CHOOSE(WEEKDAY(B848,2),"LUNES","MARTES","MIÉRCOLES","JUEVES","VIERNES","SÁBADO","DOMINGO"))</f>
        <v/>
      </c>
      <c r="M848" s="23"/>
      <c r="Q848" s="21" t="str">
        <f aca="false">IF(OR(K848="",N848=""),"",K848-N848)</f>
        <v/>
      </c>
      <c r="R848" s="21" t="str">
        <f aca="false">IF(OR(J848="",K848=""),"",J848*K848)</f>
        <v/>
      </c>
      <c r="S848" s="21" t="str">
        <f aca="false">IF(AND(ISNUMBER(J848),ISNUMBER(K848),F848&lt;&gt;"Calentamiento",F848&lt;&gt;"Bilbo"),IF(AND(K848&gt;0,K848&lt;=12),ROUND(J848*(1+(K848+IF(ISNUMBER(L848),L848,0))/30),1),""),"")</f>
        <v/>
      </c>
      <c r="T848" s="21" t="str">
        <f aca="false">IF(AND(F848="Bilbo",ISNUMBER(J848),ISNUMBER(K848)),ROUND(J848*(1+K848/30),1),"")</f>
        <v/>
      </c>
      <c r="W848" s="22"/>
      <c r="X848" s="21" t="str">
        <f aca="false">IF(AND(F848="Bilbo",E848&lt;&gt;"",G848&lt;&gt;"",H848&lt;&gt;""),E848&amp;"|"&amp;G848&amp;"|"&amp;H848,"")</f>
        <v/>
      </c>
      <c r="Y848" s="21" t="str">
        <f aca="false">IF(B848="","",IF(B848&lt;&gt;B847,1,0))</f>
        <v/>
      </c>
    </row>
    <row r="849" customFormat="false" ht="15" hidden="false" customHeight="true" outlineLevel="0" collapsed="false">
      <c r="A849" s="21" t="str">
        <f aca="false">IF(B849="","",ROW()-4)</f>
        <v/>
      </c>
      <c r="B849" s="22"/>
      <c r="C849" s="21" t="str">
        <f aca="false">IF(B849="","",CHOOSE(WEEKDAY(B849,2),"LUNES","MARTES","MIÉRCOLES","JUEVES","VIERNES","SÁBADO","DOMINGO"))</f>
        <v/>
      </c>
      <c r="M849" s="23"/>
      <c r="Q849" s="21" t="str">
        <f aca="false">IF(OR(K849="",N849=""),"",K849-N849)</f>
        <v/>
      </c>
      <c r="R849" s="21" t="str">
        <f aca="false">IF(OR(J849="",K849=""),"",J849*K849)</f>
        <v/>
      </c>
      <c r="S849" s="21" t="str">
        <f aca="false">IF(AND(ISNUMBER(J849),ISNUMBER(K849),F849&lt;&gt;"Calentamiento",F849&lt;&gt;"Bilbo"),IF(AND(K849&gt;0,K849&lt;=12),ROUND(J849*(1+(K849+IF(ISNUMBER(L849),L849,0))/30),1),""),"")</f>
        <v/>
      </c>
      <c r="T849" s="21" t="str">
        <f aca="false">IF(AND(F849="Bilbo",ISNUMBER(J849),ISNUMBER(K849)),ROUND(J849*(1+K849/30),1),"")</f>
        <v/>
      </c>
      <c r="W849" s="22"/>
      <c r="X849" s="21" t="str">
        <f aca="false">IF(AND(F849="Bilbo",E849&lt;&gt;"",G849&lt;&gt;"",H849&lt;&gt;""),E849&amp;"|"&amp;G849&amp;"|"&amp;H849,"")</f>
        <v/>
      </c>
      <c r="Y849" s="21" t="str">
        <f aca="false">IF(B849="","",IF(B849&lt;&gt;B848,1,0))</f>
        <v/>
      </c>
    </row>
    <row r="850" customFormat="false" ht="15" hidden="false" customHeight="true" outlineLevel="0" collapsed="false">
      <c r="A850" s="21" t="str">
        <f aca="false">IF(B850="","",ROW()-4)</f>
        <v/>
      </c>
      <c r="B850" s="22"/>
      <c r="C850" s="21" t="str">
        <f aca="false">IF(B850="","",CHOOSE(WEEKDAY(B850,2),"LUNES","MARTES","MIÉRCOLES","JUEVES","VIERNES","SÁBADO","DOMINGO"))</f>
        <v/>
      </c>
      <c r="M850" s="23"/>
      <c r="Q850" s="21" t="str">
        <f aca="false">IF(OR(K850="",N850=""),"",K850-N850)</f>
        <v/>
      </c>
      <c r="R850" s="21" t="str">
        <f aca="false">IF(OR(J850="",K850=""),"",J850*K850)</f>
        <v/>
      </c>
      <c r="S850" s="21" t="str">
        <f aca="false">IF(AND(ISNUMBER(J850),ISNUMBER(K850),F850&lt;&gt;"Calentamiento",F850&lt;&gt;"Bilbo"),IF(AND(K850&gt;0,K850&lt;=12),ROUND(J850*(1+(K850+IF(ISNUMBER(L850),L850,0))/30),1),""),"")</f>
        <v/>
      </c>
      <c r="T850" s="21" t="str">
        <f aca="false">IF(AND(F850="Bilbo",ISNUMBER(J850),ISNUMBER(K850)),ROUND(J850*(1+K850/30),1),"")</f>
        <v/>
      </c>
      <c r="W850" s="22"/>
      <c r="X850" s="21" t="str">
        <f aca="false">IF(AND(F850="Bilbo",E850&lt;&gt;"",G850&lt;&gt;"",H850&lt;&gt;""),E850&amp;"|"&amp;G850&amp;"|"&amp;H850,"")</f>
        <v/>
      </c>
      <c r="Y850" s="21" t="str">
        <f aca="false">IF(B850="","",IF(B850&lt;&gt;B849,1,0))</f>
        <v/>
      </c>
    </row>
    <row r="851" customFormat="false" ht="15" hidden="false" customHeight="true" outlineLevel="0" collapsed="false">
      <c r="A851" s="21" t="str">
        <f aca="false">IF(B851="","",ROW()-4)</f>
        <v/>
      </c>
      <c r="B851" s="22"/>
      <c r="C851" s="21" t="str">
        <f aca="false">IF(B851="","",CHOOSE(WEEKDAY(B851,2),"LUNES","MARTES","MIÉRCOLES","JUEVES","VIERNES","SÁBADO","DOMINGO"))</f>
        <v/>
      </c>
      <c r="M851" s="23"/>
      <c r="Q851" s="21" t="str">
        <f aca="false">IF(OR(K851="",N851=""),"",K851-N851)</f>
        <v/>
      </c>
      <c r="R851" s="21" t="str">
        <f aca="false">IF(OR(J851="",K851=""),"",J851*K851)</f>
        <v/>
      </c>
      <c r="S851" s="21" t="str">
        <f aca="false">IF(AND(ISNUMBER(J851),ISNUMBER(K851),F851&lt;&gt;"Calentamiento",F851&lt;&gt;"Bilbo"),IF(AND(K851&gt;0,K851&lt;=12),ROUND(J851*(1+(K851+IF(ISNUMBER(L851),L851,0))/30),1),""),"")</f>
        <v/>
      </c>
      <c r="T851" s="21" t="str">
        <f aca="false">IF(AND(F851="Bilbo",ISNUMBER(J851),ISNUMBER(K851)),ROUND(J851*(1+K851/30),1),"")</f>
        <v/>
      </c>
      <c r="W851" s="22"/>
      <c r="X851" s="21" t="str">
        <f aca="false">IF(AND(F851="Bilbo",E851&lt;&gt;"",G851&lt;&gt;"",H851&lt;&gt;""),E851&amp;"|"&amp;G851&amp;"|"&amp;H851,"")</f>
        <v/>
      </c>
      <c r="Y851" s="21" t="str">
        <f aca="false">IF(B851="","",IF(B851&lt;&gt;B850,1,0))</f>
        <v/>
      </c>
    </row>
    <row r="852" customFormat="false" ht="15" hidden="false" customHeight="true" outlineLevel="0" collapsed="false">
      <c r="A852" s="21" t="str">
        <f aca="false">IF(B852="","",ROW()-4)</f>
        <v/>
      </c>
      <c r="B852" s="22"/>
      <c r="C852" s="21" t="str">
        <f aca="false">IF(B852="","",CHOOSE(WEEKDAY(B852,2),"LUNES","MARTES","MIÉRCOLES","JUEVES","VIERNES","SÁBADO","DOMINGO"))</f>
        <v/>
      </c>
      <c r="M852" s="23"/>
      <c r="Q852" s="21" t="str">
        <f aca="false">IF(OR(K852="",N852=""),"",K852-N852)</f>
        <v/>
      </c>
      <c r="R852" s="21" t="str">
        <f aca="false">IF(OR(J852="",K852=""),"",J852*K852)</f>
        <v/>
      </c>
      <c r="S852" s="21" t="str">
        <f aca="false">IF(AND(ISNUMBER(J852),ISNUMBER(K852),F852&lt;&gt;"Calentamiento",F852&lt;&gt;"Bilbo"),IF(AND(K852&gt;0,K852&lt;=12),ROUND(J852*(1+(K852+IF(ISNUMBER(L852),L852,0))/30),1),""),"")</f>
        <v/>
      </c>
      <c r="T852" s="21" t="str">
        <f aca="false">IF(AND(F852="Bilbo",ISNUMBER(J852),ISNUMBER(K852)),ROUND(J852*(1+K852/30),1),"")</f>
        <v/>
      </c>
      <c r="W852" s="22"/>
      <c r="X852" s="21" t="str">
        <f aca="false">IF(AND(F852="Bilbo",E852&lt;&gt;"",G852&lt;&gt;"",H852&lt;&gt;""),E852&amp;"|"&amp;G852&amp;"|"&amp;H852,"")</f>
        <v/>
      </c>
      <c r="Y852" s="21" t="str">
        <f aca="false">IF(B852="","",IF(B852&lt;&gt;B851,1,0))</f>
        <v/>
      </c>
    </row>
    <row r="853" customFormat="false" ht="15" hidden="false" customHeight="true" outlineLevel="0" collapsed="false">
      <c r="A853" s="21" t="str">
        <f aca="false">IF(B853="","",ROW()-4)</f>
        <v/>
      </c>
      <c r="B853" s="22"/>
      <c r="C853" s="21" t="str">
        <f aca="false">IF(B853="","",CHOOSE(WEEKDAY(B853,2),"LUNES","MARTES","MIÉRCOLES","JUEVES","VIERNES","SÁBADO","DOMINGO"))</f>
        <v/>
      </c>
      <c r="M853" s="23"/>
      <c r="Q853" s="21" t="str">
        <f aca="false">IF(OR(K853="",N853=""),"",K853-N853)</f>
        <v/>
      </c>
      <c r="R853" s="21" t="str">
        <f aca="false">IF(OR(J853="",K853=""),"",J853*K853)</f>
        <v/>
      </c>
      <c r="S853" s="21" t="str">
        <f aca="false">IF(AND(ISNUMBER(J853),ISNUMBER(K853),F853&lt;&gt;"Calentamiento",F853&lt;&gt;"Bilbo"),IF(AND(K853&gt;0,K853&lt;=12),ROUND(J853*(1+(K853+IF(ISNUMBER(L853),L853,0))/30),1),""),"")</f>
        <v/>
      </c>
      <c r="T853" s="21" t="str">
        <f aca="false">IF(AND(F853="Bilbo",ISNUMBER(J853),ISNUMBER(K853)),ROUND(J853*(1+K853/30),1),"")</f>
        <v/>
      </c>
      <c r="W853" s="22"/>
      <c r="X853" s="21" t="str">
        <f aca="false">IF(AND(F853="Bilbo",E853&lt;&gt;"",G853&lt;&gt;"",H853&lt;&gt;""),E853&amp;"|"&amp;G853&amp;"|"&amp;H853,"")</f>
        <v/>
      </c>
      <c r="Y853" s="21" t="str">
        <f aca="false">IF(B853="","",IF(B853&lt;&gt;B852,1,0))</f>
        <v/>
      </c>
    </row>
    <row r="854" customFormat="false" ht="15" hidden="false" customHeight="true" outlineLevel="0" collapsed="false">
      <c r="A854" s="21" t="str">
        <f aca="false">IF(B854="","",ROW()-4)</f>
        <v/>
      </c>
      <c r="B854" s="22"/>
      <c r="C854" s="21" t="str">
        <f aca="false">IF(B854="","",CHOOSE(WEEKDAY(B854,2),"LUNES","MARTES","MIÉRCOLES","JUEVES","VIERNES","SÁBADO","DOMINGO"))</f>
        <v/>
      </c>
      <c r="M854" s="23"/>
      <c r="Q854" s="21" t="str">
        <f aca="false">IF(OR(K854="",N854=""),"",K854-N854)</f>
        <v/>
      </c>
      <c r="R854" s="21" t="str">
        <f aca="false">IF(OR(J854="",K854=""),"",J854*K854)</f>
        <v/>
      </c>
      <c r="S854" s="21" t="str">
        <f aca="false">IF(AND(ISNUMBER(J854),ISNUMBER(K854),F854&lt;&gt;"Calentamiento",F854&lt;&gt;"Bilbo"),IF(AND(K854&gt;0,K854&lt;=12),ROUND(J854*(1+(K854+IF(ISNUMBER(L854),L854,0))/30),1),""),"")</f>
        <v/>
      </c>
      <c r="T854" s="21" t="str">
        <f aca="false">IF(AND(F854="Bilbo",ISNUMBER(J854),ISNUMBER(K854)),ROUND(J854*(1+K854/30),1),"")</f>
        <v/>
      </c>
      <c r="W854" s="22"/>
      <c r="X854" s="21" t="str">
        <f aca="false">IF(AND(F854="Bilbo",E854&lt;&gt;"",G854&lt;&gt;"",H854&lt;&gt;""),E854&amp;"|"&amp;G854&amp;"|"&amp;H854,"")</f>
        <v/>
      </c>
      <c r="Y854" s="21" t="str">
        <f aca="false">IF(B854="","",IF(B854&lt;&gt;B853,1,0))</f>
        <v/>
      </c>
    </row>
    <row r="855" customFormat="false" ht="15" hidden="false" customHeight="true" outlineLevel="0" collapsed="false">
      <c r="A855" s="21" t="str">
        <f aca="false">IF(B855="","",ROW()-4)</f>
        <v/>
      </c>
      <c r="B855" s="22"/>
      <c r="C855" s="21" t="str">
        <f aca="false">IF(B855="","",CHOOSE(WEEKDAY(B855,2),"LUNES","MARTES","MIÉRCOLES","JUEVES","VIERNES","SÁBADO","DOMINGO"))</f>
        <v/>
      </c>
      <c r="M855" s="23"/>
      <c r="Q855" s="21" t="str">
        <f aca="false">IF(OR(K855="",N855=""),"",K855-N855)</f>
        <v/>
      </c>
      <c r="R855" s="21" t="str">
        <f aca="false">IF(OR(J855="",K855=""),"",J855*K855)</f>
        <v/>
      </c>
      <c r="S855" s="21" t="str">
        <f aca="false">IF(AND(ISNUMBER(J855),ISNUMBER(K855),F855&lt;&gt;"Calentamiento",F855&lt;&gt;"Bilbo"),IF(AND(K855&gt;0,K855&lt;=12),ROUND(J855*(1+(K855+IF(ISNUMBER(L855),L855,0))/30),1),""),"")</f>
        <v/>
      </c>
      <c r="T855" s="21" t="str">
        <f aca="false">IF(AND(F855="Bilbo",ISNUMBER(J855),ISNUMBER(K855)),ROUND(J855*(1+K855/30),1),"")</f>
        <v/>
      </c>
      <c r="W855" s="22"/>
      <c r="X855" s="21" t="str">
        <f aca="false">IF(AND(F855="Bilbo",E855&lt;&gt;"",G855&lt;&gt;"",H855&lt;&gt;""),E855&amp;"|"&amp;G855&amp;"|"&amp;H855,"")</f>
        <v/>
      </c>
      <c r="Y855" s="21" t="str">
        <f aca="false">IF(B855="","",IF(B855&lt;&gt;B854,1,0))</f>
        <v/>
      </c>
    </row>
    <row r="856" customFormat="false" ht="15" hidden="false" customHeight="true" outlineLevel="0" collapsed="false">
      <c r="A856" s="21" t="str">
        <f aca="false">IF(B856="","",ROW()-4)</f>
        <v/>
      </c>
      <c r="B856" s="22"/>
      <c r="C856" s="21" t="str">
        <f aca="false">IF(B856="","",CHOOSE(WEEKDAY(B856,2),"LUNES","MARTES","MIÉRCOLES","JUEVES","VIERNES","SÁBADO","DOMINGO"))</f>
        <v/>
      </c>
      <c r="M856" s="23"/>
      <c r="Q856" s="21" t="str">
        <f aca="false">IF(OR(K856="",N856=""),"",K856-N856)</f>
        <v/>
      </c>
      <c r="R856" s="21" t="str">
        <f aca="false">IF(OR(J856="",K856=""),"",J856*K856)</f>
        <v/>
      </c>
      <c r="S856" s="21" t="str">
        <f aca="false">IF(AND(ISNUMBER(J856),ISNUMBER(K856),F856&lt;&gt;"Calentamiento",F856&lt;&gt;"Bilbo"),IF(AND(K856&gt;0,K856&lt;=12),ROUND(J856*(1+(K856+IF(ISNUMBER(L856),L856,0))/30),1),""),"")</f>
        <v/>
      </c>
      <c r="T856" s="21" t="str">
        <f aca="false">IF(AND(F856="Bilbo",ISNUMBER(J856),ISNUMBER(K856)),ROUND(J856*(1+K856/30),1),"")</f>
        <v/>
      </c>
      <c r="W856" s="22"/>
      <c r="X856" s="21" t="str">
        <f aca="false">IF(AND(F856="Bilbo",E856&lt;&gt;"",G856&lt;&gt;"",H856&lt;&gt;""),E856&amp;"|"&amp;G856&amp;"|"&amp;H856,"")</f>
        <v/>
      </c>
      <c r="Y856" s="21" t="str">
        <f aca="false">IF(B856="","",IF(B856&lt;&gt;B855,1,0))</f>
        <v/>
      </c>
    </row>
    <row r="857" customFormat="false" ht="15" hidden="false" customHeight="true" outlineLevel="0" collapsed="false">
      <c r="A857" s="21" t="str">
        <f aca="false">IF(B857="","",ROW()-4)</f>
        <v/>
      </c>
      <c r="B857" s="22"/>
      <c r="C857" s="21" t="str">
        <f aca="false">IF(B857="","",CHOOSE(WEEKDAY(B857,2),"LUNES","MARTES","MIÉRCOLES","JUEVES","VIERNES","SÁBADO","DOMINGO"))</f>
        <v/>
      </c>
      <c r="M857" s="23"/>
      <c r="Q857" s="21" t="str">
        <f aca="false">IF(OR(K857="",N857=""),"",K857-N857)</f>
        <v/>
      </c>
      <c r="R857" s="21" t="str">
        <f aca="false">IF(OR(J857="",K857=""),"",J857*K857)</f>
        <v/>
      </c>
      <c r="S857" s="21" t="str">
        <f aca="false">IF(AND(ISNUMBER(J857),ISNUMBER(K857),F857&lt;&gt;"Calentamiento",F857&lt;&gt;"Bilbo"),IF(AND(K857&gt;0,K857&lt;=12),ROUND(J857*(1+(K857+IF(ISNUMBER(L857),L857,0))/30),1),""),"")</f>
        <v/>
      </c>
      <c r="T857" s="21" t="str">
        <f aca="false">IF(AND(F857="Bilbo",ISNUMBER(J857),ISNUMBER(K857)),ROUND(J857*(1+K857/30),1),"")</f>
        <v/>
      </c>
      <c r="W857" s="22"/>
      <c r="X857" s="21" t="str">
        <f aca="false">IF(AND(F857="Bilbo",E857&lt;&gt;"",G857&lt;&gt;"",H857&lt;&gt;""),E857&amp;"|"&amp;G857&amp;"|"&amp;H857,"")</f>
        <v/>
      </c>
      <c r="Y857" s="21" t="str">
        <f aca="false">IF(B857="","",IF(B857&lt;&gt;B856,1,0))</f>
        <v/>
      </c>
    </row>
    <row r="858" customFormat="false" ht="15" hidden="false" customHeight="true" outlineLevel="0" collapsed="false">
      <c r="A858" s="21" t="str">
        <f aca="false">IF(B858="","",ROW()-4)</f>
        <v/>
      </c>
      <c r="B858" s="22"/>
      <c r="C858" s="21" t="str">
        <f aca="false">IF(B858="","",CHOOSE(WEEKDAY(B858,2),"LUNES","MARTES","MIÉRCOLES","JUEVES","VIERNES","SÁBADO","DOMINGO"))</f>
        <v/>
      </c>
      <c r="M858" s="23"/>
      <c r="Q858" s="21" t="str">
        <f aca="false">IF(OR(K858="",N858=""),"",K858-N858)</f>
        <v/>
      </c>
      <c r="R858" s="21" t="str">
        <f aca="false">IF(OR(J858="",K858=""),"",J858*K858)</f>
        <v/>
      </c>
      <c r="S858" s="21" t="str">
        <f aca="false">IF(AND(ISNUMBER(J858),ISNUMBER(K858),F858&lt;&gt;"Calentamiento",F858&lt;&gt;"Bilbo"),IF(AND(K858&gt;0,K858&lt;=12),ROUND(J858*(1+(K858+IF(ISNUMBER(L858),L858,0))/30),1),""),"")</f>
        <v/>
      </c>
      <c r="T858" s="21" t="str">
        <f aca="false">IF(AND(F858="Bilbo",ISNUMBER(J858),ISNUMBER(K858)),ROUND(J858*(1+K858/30),1),"")</f>
        <v/>
      </c>
      <c r="W858" s="22"/>
      <c r="X858" s="21" t="str">
        <f aca="false">IF(AND(F858="Bilbo",E858&lt;&gt;"",G858&lt;&gt;"",H858&lt;&gt;""),E858&amp;"|"&amp;G858&amp;"|"&amp;H858,"")</f>
        <v/>
      </c>
      <c r="Y858" s="21" t="str">
        <f aca="false">IF(B858="","",IF(B858&lt;&gt;B857,1,0))</f>
        <v/>
      </c>
    </row>
    <row r="859" customFormat="false" ht="15" hidden="false" customHeight="true" outlineLevel="0" collapsed="false">
      <c r="A859" s="21" t="str">
        <f aca="false">IF(B859="","",ROW()-4)</f>
        <v/>
      </c>
      <c r="B859" s="22"/>
      <c r="C859" s="21" t="str">
        <f aca="false">IF(B859="","",CHOOSE(WEEKDAY(B859,2),"LUNES","MARTES","MIÉRCOLES","JUEVES","VIERNES","SÁBADO","DOMINGO"))</f>
        <v/>
      </c>
      <c r="M859" s="23"/>
      <c r="Q859" s="21" t="str">
        <f aca="false">IF(OR(K859="",N859=""),"",K859-N859)</f>
        <v/>
      </c>
      <c r="R859" s="21" t="str">
        <f aca="false">IF(OR(J859="",K859=""),"",J859*K859)</f>
        <v/>
      </c>
      <c r="S859" s="21" t="str">
        <f aca="false">IF(AND(ISNUMBER(J859),ISNUMBER(K859),F859&lt;&gt;"Calentamiento",F859&lt;&gt;"Bilbo"),IF(AND(K859&gt;0,K859&lt;=12),ROUND(J859*(1+(K859+IF(ISNUMBER(L859),L859,0))/30),1),""),"")</f>
        <v/>
      </c>
      <c r="T859" s="21" t="str">
        <f aca="false">IF(AND(F859="Bilbo",ISNUMBER(J859),ISNUMBER(K859)),ROUND(J859*(1+K859/30),1),"")</f>
        <v/>
      </c>
      <c r="W859" s="22"/>
      <c r="X859" s="21" t="str">
        <f aca="false">IF(AND(F859="Bilbo",E859&lt;&gt;"",G859&lt;&gt;"",H859&lt;&gt;""),E859&amp;"|"&amp;G859&amp;"|"&amp;H859,"")</f>
        <v/>
      </c>
      <c r="Y859" s="21" t="str">
        <f aca="false">IF(B859="","",IF(B859&lt;&gt;B858,1,0))</f>
        <v/>
      </c>
    </row>
    <row r="860" customFormat="false" ht="15" hidden="false" customHeight="true" outlineLevel="0" collapsed="false">
      <c r="A860" s="21" t="str">
        <f aca="false">IF(B860="","",ROW()-4)</f>
        <v/>
      </c>
      <c r="B860" s="22"/>
      <c r="C860" s="21" t="str">
        <f aca="false">IF(B860="","",CHOOSE(WEEKDAY(B860,2),"LUNES","MARTES","MIÉRCOLES","JUEVES","VIERNES","SÁBADO","DOMINGO"))</f>
        <v/>
      </c>
      <c r="M860" s="23"/>
      <c r="Q860" s="21" t="str">
        <f aca="false">IF(OR(K860="",N860=""),"",K860-N860)</f>
        <v/>
      </c>
      <c r="R860" s="21" t="str">
        <f aca="false">IF(OR(J860="",K860=""),"",J860*K860)</f>
        <v/>
      </c>
      <c r="S860" s="21" t="str">
        <f aca="false">IF(AND(ISNUMBER(J860),ISNUMBER(K860),F860&lt;&gt;"Calentamiento",F860&lt;&gt;"Bilbo"),IF(AND(K860&gt;0,K860&lt;=12),ROUND(J860*(1+(K860+IF(ISNUMBER(L860),L860,0))/30),1),""),"")</f>
        <v/>
      </c>
      <c r="T860" s="21" t="str">
        <f aca="false">IF(AND(F860="Bilbo",ISNUMBER(J860),ISNUMBER(K860)),ROUND(J860*(1+K860/30),1),"")</f>
        <v/>
      </c>
      <c r="W860" s="22"/>
      <c r="X860" s="21" t="str">
        <f aca="false">IF(AND(F860="Bilbo",E860&lt;&gt;"",G860&lt;&gt;"",H860&lt;&gt;""),E860&amp;"|"&amp;G860&amp;"|"&amp;H860,"")</f>
        <v/>
      </c>
      <c r="Y860" s="21" t="str">
        <f aca="false">IF(B860="","",IF(B860&lt;&gt;B859,1,0))</f>
        <v/>
      </c>
    </row>
    <row r="861" customFormat="false" ht="15" hidden="false" customHeight="true" outlineLevel="0" collapsed="false">
      <c r="A861" s="21" t="str">
        <f aca="false">IF(B861="","",ROW()-4)</f>
        <v/>
      </c>
      <c r="B861" s="22"/>
      <c r="C861" s="21" t="str">
        <f aca="false">IF(B861="","",CHOOSE(WEEKDAY(B861,2),"LUNES","MARTES","MIÉRCOLES","JUEVES","VIERNES","SÁBADO","DOMINGO"))</f>
        <v/>
      </c>
      <c r="M861" s="23"/>
      <c r="Q861" s="21" t="str">
        <f aca="false">IF(OR(K861="",N861=""),"",K861-N861)</f>
        <v/>
      </c>
      <c r="R861" s="21" t="str">
        <f aca="false">IF(OR(J861="",K861=""),"",J861*K861)</f>
        <v/>
      </c>
      <c r="S861" s="21" t="str">
        <f aca="false">IF(AND(ISNUMBER(J861),ISNUMBER(K861),F861&lt;&gt;"Calentamiento",F861&lt;&gt;"Bilbo"),IF(AND(K861&gt;0,K861&lt;=12),ROUND(J861*(1+(K861+IF(ISNUMBER(L861),L861,0))/30),1),""),"")</f>
        <v/>
      </c>
      <c r="T861" s="21" t="str">
        <f aca="false">IF(AND(F861="Bilbo",ISNUMBER(J861),ISNUMBER(K861)),ROUND(J861*(1+K861/30),1),"")</f>
        <v/>
      </c>
      <c r="W861" s="22"/>
      <c r="X861" s="21" t="str">
        <f aca="false">IF(AND(F861="Bilbo",E861&lt;&gt;"",G861&lt;&gt;"",H861&lt;&gt;""),E861&amp;"|"&amp;G861&amp;"|"&amp;H861,"")</f>
        <v/>
      </c>
      <c r="Y861" s="21" t="str">
        <f aca="false">IF(B861="","",IF(B861&lt;&gt;B860,1,0))</f>
        <v/>
      </c>
    </row>
    <row r="862" customFormat="false" ht="15" hidden="false" customHeight="true" outlineLevel="0" collapsed="false">
      <c r="A862" s="21" t="str">
        <f aca="false">IF(B862="","",ROW()-4)</f>
        <v/>
      </c>
      <c r="B862" s="22"/>
      <c r="C862" s="21" t="str">
        <f aca="false">IF(B862="","",CHOOSE(WEEKDAY(B862,2),"LUNES","MARTES","MIÉRCOLES","JUEVES","VIERNES","SÁBADO","DOMINGO"))</f>
        <v/>
      </c>
      <c r="M862" s="23"/>
      <c r="Q862" s="21" t="str">
        <f aca="false">IF(OR(K862="",N862=""),"",K862-N862)</f>
        <v/>
      </c>
      <c r="R862" s="21" t="str">
        <f aca="false">IF(OR(J862="",K862=""),"",J862*K862)</f>
        <v/>
      </c>
      <c r="S862" s="21" t="str">
        <f aca="false">IF(AND(ISNUMBER(J862),ISNUMBER(K862),F862&lt;&gt;"Calentamiento",F862&lt;&gt;"Bilbo"),IF(AND(K862&gt;0,K862&lt;=12),ROUND(J862*(1+(K862+IF(ISNUMBER(L862),L862,0))/30),1),""),"")</f>
        <v/>
      </c>
      <c r="T862" s="21" t="str">
        <f aca="false">IF(AND(F862="Bilbo",ISNUMBER(J862),ISNUMBER(K862)),ROUND(J862*(1+K862/30),1),"")</f>
        <v/>
      </c>
      <c r="W862" s="22"/>
      <c r="X862" s="21" t="str">
        <f aca="false">IF(AND(F862="Bilbo",E862&lt;&gt;"",G862&lt;&gt;"",H862&lt;&gt;""),E862&amp;"|"&amp;G862&amp;"|"&amp;H862,"")</f>
        <v/>
      </c>
      <c r="Y862" s="21" t="str">
        <f aca="false">IF(B862="","",IF(B862&lt;&gt;B861,1,0))</f>
        <v/>
      </c>
    </row>
    <row r="863" customFormat="false" ht="15" hidden="false" customHeight="true" outlineLevel="0" collapsed="false">
      <c r="A863" s="21" t="str">
        <f aca="false">IF(B863="","",ROW()-4)</f>
        <v/>
      </c>
      <c r="B863" s="22"/>
      <c r="C863" s="21" t="str">
        <f aca="false">IF(B863="","",CHOOSE(WEEKDAY(B863,2),"LUNES","MARTES","MIÉRCOLES","JUEVES","VIERNES","SÁBADO","DOMINGO"))</f>
        <v/>
      </c>
      <c r="M863" s="23"/>
      <c r="Q863" s="21" t="str">
        <f aca="false">IF(OR(K863="",N863=""),"",K863-N863)</f>
        <v/>
      </c>
      <c r="R863" s="21" t="str">
        <f aca="false">IF(OR(J863="",K863=""),"",J863*K863)</f>
        <v/>
      </c>
      <c r="S863" s="21" t="str">
        <f aca="false">IF(AND(ISNUMBER(J863),ISNUMBER(K863),F863&lt;&gt;"Calentamiento",F863&lt;&gt;"Bilbo"),IF(AND(K863&gt;0,K863&lt;=12),ROUND(J863*(1+(K863+IF(ISNUMBER(L863),L863,0))/30),1),""),"")</f>
        <v/>
      </c>
      <c r="T863" s="21" t="str">
        <f aca="false">IF(AND(F863="Bilbo",ISNUMBER(J863),ISNUMBER(K863)),ROUND(J863*(1+K863/30),1),"")</f>
        <v/>
      </c>
      <c r="W863" s="22"/>
      <c r="X863" s="21" t="str">
        <f aca="false">IF(AND(F863="Bilbo",E863&lt;&gt;"",G863&lt;&gt;"",H863&lt;&gt;""),E863&amp;"|"&amp;G863&amp;"|"&amp;H863,"")</f>
        <v/>
      </c>
      <c r="Y863" s="21" t="str">
        <f aca="false">IF(B863="","",IF(B863&lt;&gt;B862,1,0))</f>
        <v/>
      </c>
    </row>
    <row r="864" customFormat="false" ht="15" hidden="false" customHeight="true" outlineLevel="0" collapsed="false">
      <c r="A864" s="21" t="str">
        <f aca="false">IF(B864="","",ROW()-4)</f>
        <v/>
      </c>
      <c r="B864" s="22"/>
      <c r="C864" s="21" t="str">
        <f aca="false">IF(B864="","",CHOOSE(WEEKDAY(B864,2),"LUNES","MARTES","MIÉRCOLES","JUEVES","VIERNES","SÁBADO","DOMINGO"))</f>
        <v/>
      </c>
      <c r="M864" s="23"/>
      <c r="Q864" s="21" t="str">
        <f aca="false">IF(OR(K864="",N864=""),"",K864-N864)</f>
        <v/>
      </c>
      <c r="R864" s="21" t="str">
        <f aca="false">IF(OR(J864="",K864=""),"",J864*K864)</f>
        <v/>
      </c>
      <c r="S864" s="21" t="str">
        <f aca="false">IF(AND(ISNUMBER(J864),ISNUMBER(K864),F864&lt;&gt;"Calentamiento",F864&lt;&gt;"Bilbo"),IF(AND(K864&gt;0,K864&lt;=12),ROUND(J864*(1+(K864+IF(ISNUMBER(L864),L864,0))/30),1),""),"")</f>
        <v/>
      </c>
      <c r="T864" s="21" t="str">
        <f aca="false">IF(AND(F864="Bilbo",ISNUMBER(J864),ISNUMBER(K864)),ROUND(J864*(1+K864/30),1),"")</f>
        <v/>
      </c>
      <c r="W864" s="22"/>
      <c r="X864" s="21" t="str">
        <f aca="false">IF(AND(F864="Bilbo",E864&lt;&gt;"",G864&lt;&gt;"",H864&lt;&gt;""),E864&amp;"|"&amp;G864&amp;"|"&amp;H864,"")</f>
        <v/>
      </c>
      <c r="Y864" s="21" t="str">
        <f aca="false">IF(B864="","",IF(B864&lt;&gt;B863,1,0))</f>
        <v/>
      </c>
    </row>
    <row r="865" customFormat="false" ht="15" hidden="false" customHeight="true" outlineLevel="0" collapsed="false">
      <c r="A865" s="21" t="str">
        <f aca="false">IF(B865="","",ROW()-4)</f>
        <v/>
      </c>
      <c r="B865" s="22"/>
      <c r="C865" s="21" t="str">
        <f aca="false">IF(B865="","",CHOOSE(WEEKDAY(B865,2),"LUNES","MARTES","MIÉRCOLES","JUEVES","VIERNES","SÁBADO","DOMINGO"))</f>
        <v/>
      </c>
      <c r="M865" s="23"/>
      <c r="Q865" s="21" t="str">
        <f aca="false">IF(OR(K865="",N865=""),"",K865-N865)</f>
        <v/>
      </c>
      <c r="R865" s="21" t="str">
        <f aca="false">IF(OR(J865="",K865=""),"",J865*K865)</f>
        <v/>
      </c>
      <c r="S865" s="21" t="str">
        <f aca="false">IF(AND(ISNUMBER(J865),ISNUMBER(K865),F865&lt;&gt;"Calentamiento",F865&lt;&gt;"Bilbo"),IF(AND(K865&gt;0,K865&lt;=12),ROUND(J865*(1+(K865+IF(ISNUMBER(L865),L865,0))/30),1),""),"")</f>
        <v/>
      </c>
      <c r="T865" s="21" t="str">
        <f aca="false">IF(AND(F865="Bilbo",ISNUMBER(J865),ISNUMBER(K865)),ROUND(J865*(1+K865/30),1),"")</f>
        <v/>
      </c>
      <c r="W865" s="22"/>
      <c r="X865" s="21" t="str">
        <f aca="false">IF(AND(F865="Bilbo",E865&lt;&gt;"",G865&lt;&gt;"",H865&lt;&gt;""),E865&amp;"|"&amp;G865&amp;"|"&amp;H865,"")</f>
        <v/>
      </c>
      <c r="Y865" s="21" t="str">
        <f aca="false">IF(B865="","",IF(B865&lt;&gt;B864,1,0))</f>
        <v/>
      </c>
    </row>
    <row r="866" customFormat="false" ht="15" hidden="false" customHeight="true" outlineLevel="0" collapsed="false">
      <c r="A866" s="21" t="str">
        <f aca="false">IF(B866="","",ROW()-4)</f>
        <v/>
      </c>
      <c r="B866" s="22"/>
      <c r="C866" s="21" t="str">
        <f aca="false">IF(B866="","",CHOOSE(WEEKDAY(B866,2),"LUNES","MARTES","MIÉRCOLES","JUEVES","VIERNES","SÁBADO","DOMINGO"))</f>
        <v/>
      </c>
      <c r="M866" s="23"/>
      <c r="Q866" s="21" t="str">
        <f aca="false">IF(OR(K866="",N866=""),"",K866-N866)</f>
        <v/>
      </c>
      <c r="R866" s="21" t="str">
        <f aca="false">IF(OR(J866="",K866=""),"",J866*K866)</f>
        <v/>
      </c>
      <c r="S866" s="21" t="str">
        <f aca="false">IF(AND(ISNUMBER(J866),ISNUMBER(K866),F866&lt;&gt;"Calentamiento",F866&lt;&gt;"Bilbo"),IF(AND(K866&gt;0,K866&lt;=12),ROUND(J866*(1+(K866+IF(ISNUMBER(L866),L866,0))/30),1),""),"")</f>
        <v/>
      </c>
      <c r="T866" s="21" t="str">
        <f aca="false">IF(AND(F866="Bilbo",ISNUMBER(J866),ISNUMBER(K866)),ROUND(J866*(1+K866/30),1),"")</f>
        <v/>
      </c>
      <c r="W866" s="22"/>
      <c r="X866" s="21" t="str">
        <f aca="false">IF(AND(F866="Bilbo",E866&lt;&gt;"",G866&lt;&gt;"",H866&lt;&gt;""),E866&amp;"|"&amp;G866&amp;"|"&amp;H866,"")</f>
        <v/>
      </c>
      <c r="Y866" s="21" t="str">
        <f aca="false">IF(B866="","",IF(B866&lt;&gt;B865,1,0))</f>
        <v/>
      </c>
    </row>
    <row r="867" customFormat="false" ht="15" hidden="false" customHeight="true" outlineLevel="0" collapsed="false">
      <c r="A867" s="21" t="str">
        <f aca="false">IF(B867="","",ROW()-4)</f>
        <v/>
      </c>
      <c r="B867" s="22"/>
      <c r="C867" s="21" t="str">
        <f aca="false">IF(B867="","",CHOOSE(WEEKDAY(B867,2),"LUNES","MARTES","MIÉRCOLES","JUEVES","VIERNES","SÁBADO","DOMINGO"))</f>
        <v/>
      </c>
      <c r="M867" s="23"/>
      <c r="Q867" s="21" t="str">
        <f aca="false">IF(OR(K867="",N867=""),"",K867-N867)</f>
        <v/>
      </c>
      <c r="R867" s="21" t="str">
        <f aca="false">IF(OR(J867="",K867=""),"",J867*K867)</f>
        <v/>
      </c>
      <c r="S867" s="21" t="str">
        <f aca="false">IF(AND(ISNUMBER(J867),ISNUMBER(K867),F867&lt;&gt;"Calentamiento",F867&lt;&gt;"Bilbo"),IF(AND(K867&gt;0,K867&lt;=12),ROUND(J867*(1+(K867+IF(ISNUMBER(L867),L867,0))/30),1),""),"")</f>
        <v/>
      </c>
      <c r="T867" s="21" t="str">
        <f aca="false">IF(AND(F867="Bilbo",ISNUMBER(J867),ISNUMBER(K867)),ROUND(J867*(1+K867/30),1),"")</f>
        <v/>
      </c>
      <c r="W867" s="22"/>
      <c r="X867" s="21" t="str">
        <f aca="false">IF(AND(F867="Bilbo",E867&lt;&gt;"",G867&lt;&gt;"",H867&lt;&gt;""),E867&amp;"|"&amp;G867&amp;"|"&amp;H867,"")</f>
        <v/>
      </c>
      <c r="Y867" s="21" t="str">
        <f aca="false">IF(B867="","",IF(B867&lt;&gt;B866,1,0))</f>
        <v/>
      </c>
    </row>
    <row r="868" customFormat="false" ht="15" hidden="false" customHeight="true" outlineLevel="0" collapsed="false">
      <c r="A868" s="21" t="str">
        <f aca="false">IF(B868="","",ROW()-4)</f>
        <v/>
      </c>
      <c r="B868" s="22"/>
      <c r="C868" s="21" t="str">
        <f aca="false">IF(B868="","",CHOOSE(WEEKDAY(B868,2),"LUNES","MARTES","MIÉRCOLES","JUEVES","VIERNES","SÁBADO","DOMINGO"))</f>
        <v/>
      </c>
      <c r="M868" s="23"/>
      <c r="Q868" s="21" t="str">
        <f aca="false">IF(OR(K868="",N868=""),"",K868-N868)</f>
        <v/>
      </c>
      <c r="R868" s="21" t="str">
        <f aca="false">IF(OR(J868="",K868=""),"",J868*K868)</f>
        <v/>
      </c>
      <c r="S868" s="21" t="str">
        <f aca="false">IF(AND(ISNUMBER(J868),ISNUMBER(K868),F868&lt;&gt;"Calentamiento",F868&lt;&gt;"Bilbo"),IF(AND(K868&gt;0,K868&lt;=12),ROUND(J868*(1+(K868+IF(ISNUMBER(L868),L868,0))/30),1),""),"")</f>
        <v/>
      </c>
      <c r="T868" s="21" t="str">
        <f aca="false">IF(AND(F868="Bilbo",ISNUMBER(J868),ISNUMBER(K868)),ROUND(J868*(1+K868/30),1),"")</f>
        <v/>
      </c>
      <c r="W868" s="22"/>
      <c r="X868" s="21" t="str">
        <f aca="false">IF(AND(F868="Bilbo",E868&lt;&gt;"",G868&lt;&gt;"",H868&lt;&gt;""),E868&amp;"|"&amp;G868&amp;"|"&amp;H868,"")</f>
        <v/>
      </c>
      <c r="Y868" s="21" t="str">
        <f aca="false">IF(B868="","",IF(B868&lt;&gt;B867,1,0))</f>
        <v/>
      </c>
    </row>
    <row r="869" customFormat="false" ht="15" hidden="false" customHeight="true" outlineLevel="0" collapsed="false">
      <c r="A869" s="21" t="str">
        <f aca="false">IF(B869="","",ROW()-4)</f>
        <v/>
      </c>
      <c r="B869" s="22"/>
      <c r="C869" s="21" t="str">
        <f aca="false">IF(B869="","",CHOOSE(WEEKDAY(B869,2),"LUNES","MARTES","MIÉRCOLES","JUEVES","VIERNES","SÁBADO","DOMINGO"))</f>
        <v/>
      </c>
      <c r="M869" s="23"/>
      <c r="Q869" s="21" t="str">
        <f aca="false">IF(OR(K869="",N869=""),"",K869-N869)</f>
        <v/>
      </c>
      <c r="R869" s="21" t="str">
        <f aca="false">IF(OR(J869="",K869=""),"",J869*K869)</f>
        <v/>
      </c>
      <c r="S869" s="21" t="str">
        <f aca="false">IF(AND(ISNUMBER(J869),ISNUMBER(K869),F869&lt;&gt;"Calentamiento",F869&lt;&gt;"Bilbo"),IF(AND(K869&gt;0,K869&lt;=12),ROUND(J869*(1+(K869+IF(ISNUMBER(L869),L869,0))/30),1),""),"")</f>
        <v/>
      </c>
      <c r="T869" s="21" t="str">
        <f aca="false">IF(AND(F869="Bilbo",ISNUMBER(J869),ISNUMBER(K869)),ROUND(J869*(1+K869/30),1),"")</f>
        <v/>
      </c>
      <c r="W869" s="22"/>
      <c r="X869" s="21" t="str">
        <f aca="false">IF(AND(F869="Bilbo",E869&lt;&gt;"",G869&lt;&gt;"",H869&lt;&gt;""),E869&amp;"|"&amp;G869&amp;"|"&amp;H869,"")</f>
        <v/>
      </c>
      <c r="Y869" s="21" t="str">
        <f aca="false">IF(B869="","",IF(B869&lt;&gt;B868,1,0))</f>
        <v/>
      </c>
    </row>
    <row r="870" customFormat="false" ht="15" hidden="false" customHeight="true" outlineLevel="0" collapsed="false">
      <c r="A870" s="21" t="str">
        <f aca="false">IF(B870="","",ROW()-4)</f>
        <v/>
      </c>
      <c r="B870" s="22"/>
      <c r="C870" s="21" t="str">
        <f aca="false">IF(B870="","",CHOOSE(WEEKDAY(B870,2),"LUNES","MARTES","MIÉRCOLES","JUEVES","VIERNES","SÁBADO","DOMINGO"))</f>
        <v/>
      </c>
      <c r="M870" s="23"/>
      <c r="Q870" s="21" t="str">
        <f aca="false">IF(OR(K870="",N870=""),"",K870-N870)</f>
        <v/>
      </c>
      <c r="R870" s="21" t="str">
        <f aca="false">IF(OR(J870="",K870=""),"",J870*K870)</f>
        <v/>
      </c>
      <c r="S870" s="21" t="str">
        <f aca="false">IF(AND(ISNUMBER(J870),ISNUMBER(K870),F870&lt;&gt;"Calentamiento",F870&lt;&gt;"Bilbo"),IF(AND(K870&gt;0,K870&lt;=12),ROUND(J870*(1+(K870+IF(ISNUMBER(L870),L870,0))/30),1),""),"")</f>
        <v/>
      </c>
      <c r="T870" s="21" t="str">
        <f aca="false">IF(AND(F870="Bilbo",ISNUMBER(J870),ISNUMBER(K870)),ROUND(J870*(1+K870/30),1),"")</f>
        <v/>
      </c>
      <c r="W870" s="22"/>
      <c r="X870" s="21" t="str">
        <f aca="false">IF(AND(F870="Bilbo",E870&lt;&gt;"",G870&lt;&gt;"",H870&lt;&gt;""),E870&amp;"|"&amp;G870&amp;"|"&amp;H870,"")</f>
        <v/>
      </c>
      <c r="Y870" s="21" t="str">
        <f aca="false">IF(B870="","",IF(B870&lt;&gt;B869,1,0))</f>
        <v/>
      </c>
    </row>
    <row r="871" customFormat="false" ht="15" hidden="false" customHeight="true" outlineLevel="0" collapsed="false">
      <c r="A871" s="21" t="str">
        <f aca="false">IF(B871="","",ROW()-4)</f>
        <v/>
      </c>
      <c r="B871" s="22"/>
      <c r="C871" s="21" t="str">
        <f aca="false">IF(B871="","",CHOOSE(WEEKDAY(B871,2),"LUNES","MARTES","MIÉRCOLES","JUEVES","VIERNES","SÁBADO","DOMINGO"))</f>
        <v/>
      </c>
      <c r="M871" s="23"/>
      <c r="Q871" s="21" t="str">
        <f aca="false">IF(OR(K871="",N871=""),"",K871-N871)</f>
        <v/>
      </c>
      <c r="R871" s="21" t="str">
        <f aca="false">IF(OR(J871="",K871=""),"",J871*K871)</f>
        <v/>
      </c>
      <c r="S871" s="21" t="str">
        <f aca="false">IF(AND(ISNUMBER(J871),ISNUMBER(K871),F871&lt;&gt;"Calentamiento",F871&lt;&gt;"Bilbo"),IF(AND(K871&gt;0,K871&lt;=12),ROUND(J871*(1+(K871+IF(ISNUMBER(L871),L871,0))/30),1),""),"")</f>
        <v/>
      </c>
      <c r="T871" s="21" t="str">
        <f aca="false">IF(AND(F871="Bilbo",ISNUMBER(J871),ISNUMBER(K871)),ROUND(J871*(1+K871/30),1),"")</f>
        <v/>
      </c>
      <c r="W871" s="22"/>
      <c r="X871" s="21" t="str">
        <f aca="false">IF(AND(F871="Bilbo",E871&lt;&gt;"",G871&lt;&gt;"",H871&lt;&gt;""),E871&amp;"|"&amp;G871&amp;"|"&amp;H871,"")</f>
        <v/>
      </c>
      <c r="Y871" s="21" t="str">
        <f aca="false">IF(B871="","",IF(B871&lt;&gt;B870,1,0))</f>
        <v/>
      </c>
    </row>
    <row r="872" customFormat="false" ht="15" hidden="false" customHeight="true" outlineLevel="0" collapsed="false">
      <c r="A872" s="21" t="str">
        <f aca="false">IF(B872="","",ROW()-4)</f>
        <v/>
      </c>
      <c r="B872" s="22"/>
      <c r="C872" s="21" t="str">
        <f aca="false">IF(B872="","",CHOOSE(WEEKDAY(B872,2),"LUNES","MARTES","MIÉRCOLES","JUEVES","VIERNES","SÁBADO","DOMINGO"))</f>
        <v/>
      </c>
      <c r="M872" s="23"/>
      <c r="Q872" s="21" t="str">
        <f aca="false">IF(OR(K872="",N872=""),"",K872-N872)</f>
        <v/>
      </c>
      <c r="R872" s="21" t="str">
        <f aca="false">IF(OR(J872="",K872=""),"",J872*K872)</f>
        <v/>
      </c>
      <c r="S872" s="21" t="str">
        <f aca="false">IF(AND(ISNUMBER(J872),ISNUMBER(K872),F872&lt;&gt;"Calentamiento",F872&lt;&gt;"Bilbo"),IF(AND(K872&gt;0,K872&lt;=12),ROUND(J872*(1+(K872+IF(ISNUMBER(L872),L872,0))/30),1),""),"")</f>
        <v/>
      </c>
      <c r="T872" s="21" t="str">
        <f aca="false">IF(AND(F872="Bilbo",ISNUMBER(J872),ISNUMBER(K872)),ROUND(J872*(1+K872/30),1),"")</f>
        <v/>
      </c>
      <c r="W872" s="22"/>
      <c r="X872" s="21" t="str">
        <f aca="false">IF(AND(F872="Bilbo",E872&lt;&gt;"",G872&lt;&gt;"",H872&lt;&gt;""),E872&amp;"|"&amp;G872&amp;"|"&amp;H872,"")</f>
        <v/>
      </c>
      <c r="Y872" s="21" t="str">
        <f aca="false">IF(B872="","",IF(B872&lt;&gt;B871,1,0))</f>
        <v/>
      </c>
    </row>
    <row r="873" customFormat="false" ht="15" hidden="false" customHeight="true" outlineLevel="0" collapsed="false">
      <c r="A873" s="21" t="str">
        <f aca="false">IF(B873="","",ROW()-4)</f>
        <v/>
      </c>
      <c r="B873" s="22"/>
      <c r="C873" s="21" t="str">
        <f aca="false">IF(B873="","",CHOOSE(WEEKDAY(B873,2),"LUNES","MARTES","MIÉRCOLES","JUEVES","VIERNES","SÁBADO","DOMINGO"))</f>
        <v/>
      </c>
      <c r="M873" s="23"/>
      <c r="Q873" s="21" t="str">
        <f aca="false">IF(OR(K873="",N873=""),"",K873-N873)</f>
        <v/>
      </c>
      <c r="R873" s="21" t="str">
        <f aca="false">IF(OR(J873="",K873=""),"",J873*K873)</f>
        <v/>
      </c>
      <c r="S873" s="21" t="str">
        <f aca="false">IF(AND(ISNUMBER(J873),ISNUMBER(K873),F873&lt;&gt;"Calentamiento",F873&lt;&gt;"Bilbo"),IF(AND(K873&gt;0,K873&lt;=12),ROUND(J873*(1+(K873+IF(ISNUMBER(L873),L873,0))/30),1),""),"")</f>
        <v/>
      </c>
      <c r="T873" s="21" t="str">
        <f aca="false">IF(AND(F873="Bilbo",ISNUMBER(J873),ISNUMBER(K873)),ROUND(J873*(1+K873/30),1),"")</f>
        <v/>
      </c>
      <c r="W873" s="22"/>
      <c r="X873" s="21" t="str">
        <f aca="false">IF(AND(F873="Bilbo",E873&lt;&gt;"",G873&lt;&gt;"",H873&lt;&gt;""),E873&amp;"|"&amp;G873&amp;"|"&amp;H873,"")</f>
        <v/>
      </c>
      <c r="Y873" s="21" t="str">
        <f aca="false">IF(B873="","",IF(B873&lt;&gt;B872,1,0))</f>
        <v/>
      </c>
    </row>
    <row r="874" customFormat="false" ht="15" hidden="false" customHeight="true" outlineLevel="0" collapsed="false">
      <c r="A874" s="21" t="str">
        <f aca="false">IF(B874="","",ROW()-4)</f>
        <v/>
      </c>
      <c r="B874" s="22"/>
      <c r="C874" s="21" t="str">
        <f aca="false">IF(B874="","",CHOOSE(WEEKDAY(B874,2),"LUNES","MARTES","MIÉRCOLES","JUEVES","VIERNES","SÁBADO","DOMINGO"))</f>
        <v/>
      </c>
      <c r="M874" s="23"/>
      <c r="Q874" s="21" t="str">
        <f aca="false">IF(OR(K874="",N874=""),"",K874-N874)</f>
        <v/>
      </c>
      <c r="R874" s="21" t="str">
        <f aca="false">IF(OR(J874="",K874=""),"",J874*K874)</f>
        <v/>
      </c>
      <c r="S874" s="21" t="str">
        <f aca="false">IF(AND(ISNUMBER(J874),ISNUMBER(K874),F874&lt;&gt;"Calentamiento",F874&lt;&gt;"Bilbo"),IF(AND(K874&gt;0,K874&lt;=12),ROUND(J874*(1+(K874+IF(ISNUMBER(L874),L874,0))/30),1),""),"")</f>
        <v/>
      </c>
      <c r="T874" s="21" t="str">
        <f aca="false">IF(AND(F874="Bilbo",ISNUMBER(J874),ISNUMBER(K874)),ROUND(J874*(1+K874/30),1),"")</f>
        <v/>
      </c>
      <c r="W874" s="22"/>
      <c r="X874" s="21" t="str">
        <f aca="false">IF(AND(F874="Bilbo",E874&lt;&gt;"",G874&lt;&gt;"",H874&lt;&gt;""),E874&amp;"|"&amp;G874&amp;"|"&amp;H874,"")</f>
        <v/>
      </c>
      <c r="Y874" s="21" t="str">
        <f aca="false">IF(B874="","",IF(B874&lt;&gt;B873,1,0))</f>
        <v/>
      </c>
    </row>
    <row r="875" customFormat="false" ht="15" hidden="false" customHeight="true" outlineLevel="0" collapsed="false">
      <c r="A875" s="21" t="str">
        <f aca="false">IF(B875="","",ROW()-4)</f>
        <v/>
      </c>
      <c r="B875" s="22"/>
      <c r="C875" s="21" t="str">
        <f aca="false">IF(B875="","",CHOOSE(WEEKDAY(B875,2),"LUNES","MARTES","MIÉRCOLES","JUEVES","VIERNES","SÁBADO","DOMINGO"))</f>
        <v/>
      </c>
      <c r="M875" s="23"/>
      <c r="Q875" s="21" t="str">
        <f aca="false">IF(OR(K875="",N875=""),"",K875-N875)</f>
        <v/>
      </c>
      <c r="R875" s="21" t="str">
        <f aca="false">IF(OR(J875="",K875=""),"",J875*K875)</f>
        <v/>
      </c>
      <c r="S875" s="21" t="str">
        <f aca="false">IF(AND(ISNUMBER(J875),ISNUMBER(K875),F875&lt;&gt;"Calentamiento",F875&lt;&gt;"Bilbo"),IF(AND(K875&gt;0,K875&lt;=12),ROUND(J875*(1+(K875+IF(ISNUMBER(L875),L875,0))/30),1),""),"")</f>
        <v/>
      </c>
      <c r="T875" s="21" t="str">
        <f aca="false">IF(AND(F875="Bilbo",ISNUMBER(J875),ISNUMBER(K875)),ROUND(J875*(1+K875/30),1),"")</f>
        <v/>
      </c>
      <c r="W875" s="22"/>
      <c r="X875" s="21" t="str">
        <f aca="false">IF(AND(F875="Bilbo",E875&lt;&gt;"",G875&lt;&gt;"",H875&lt;&gt;""),E875&amp;"|"&amp;G875&amp;"|"&amp;H875,"")</f>
        <v/>
      </c>
      <c r="Y875" s="21" t="str">
        <f aca="false">IF(B875="","",IF(B875&lt;&gt;B874,1,0))</f>
        <v/>
      </c>
    </row>
    <row r="876" customFormat="false" ht="15" hidden="false" customHeight="true" outlineLevel="0" collapsed="false">
      <c r="A876" s="21" t="str">
        <f aca="false">IF(B876="","",ROW()-4)</f>
        <v/>
      </c>
      <c r="B876" s="22"/>
      <c r="C876" s="21" t="str">
        <f aca="false">IF(B876="","",CHOOSE(WEEKDAY(B876,2),"LUNES","MARTES","MIÉRCOLES","JUEVES","VIERNES","SÁBADO","DOMINGO"))</f>
        <v/>
      </c>
      <c r="M876" s="23"/>
      <c r="Q876" s="21" t="str">
        <f aca="false">IF(OR(K876="",N876=""),"",K876-N876)</f>
        <v/>
      </c>
      <c r="R876" s="21" t="str">
        <f aca="false">IF(OR(J876="",K876=""),"",J876*K876)</f>
        <v/>
      </c>
      <c r="S876" s="21" t="str">
        <f aca="false">IF(AND(ISNUMBER(J876),ISNUMBER(K876),F876&lt;&gt;"Calentamiento",F876&lt;&gt;"Bilbo"),IF(AND(K876&gt;0,K876&lt;=12),ROUND(J876*(1+(K876+IF(ISNUMBER(L876),L876,0))/30),1),""),"")</f>
        <v/>
      </c>
      <c r="T876" s="21" t="str">
        <f aca="false">IF(AND(F876="Bilbo",ISNUMBER(J876),ISNUMBER(K876)),ROUND(J876*(1+K876/30),1),"")</f>
        <v/>
      </c>
      <c r="W876" s="22"/>
      <c r="X876" s="21" t="str">
        <f aca="false">IF(AND(F876="Bilbo",E876&lt;&gt;"",G876&lt;&gt;"",H876&lt;&gt;""),E876&amp;"|"&amp;G876&amp;"|"&amp;H876,"")</f>
        <v/>
      </c>
      <c r="Y876" s="21" t="str">
        <f aca="false">IF(B876="","",IF(B876&lt;&gt;B875,1,0))</f>
        <v/>
      </c>
    </row>
    <row r="877" customFormat="false" ht="15" hidden="false" customHeight="true" outlineLevel="0" collapsed="false">
      <c r="A877" s="21" t="str">
        <f aca="false">IF(B877="","",ROW()-4)</f>
        <v/>
      </c>
      <c r="B877" s="22"/>
      <c r="C877" s="21" t="str">
        <f aca="false">IF(B877="","",CHOOSE(WEEKDAY(B877,2),"LUNES","MARTES","MIÉRCOLES","JUEVES","VIERNES","SÁBADO","DOMINGO"))</f>
        <v/>
      </c>
      <c r="M877" s="23"/>
      <c r="Q877" s="21" t="str">
        <f aca="false">IF(OR(K877="",N877=""),"",K877-N877)</f>
        <v/>
      </c>
      <c r="R877" s="21" t="str">
        <f aca="false">IF(OR(J877="",K877=""),"",J877*K877)</f>
        <v/>
      </c>
      <c r="S877" s="21" t="str">
        <f aca="false">IF(AND(ISNUMBER(J877),ISNUMBER(K877),F877&lt;&gt;"Calentamiento",F877&lt;&gt;"Bilbo"),IF(AND(K877&gt;0,K877&lt;=12),ROUND(J877*(1+(K877+IF(ISNUMBER(L877),L877,0))/30),1),""),"")</f>
        <v/>
      </c>
      <c r="T877" s="21" t="str">
        <f aca="false">IF(AND(F877="Bilbo",ISNUMBER(J877),ISNUMBER(K877)),ROUND(J877*(1+K877/30),1),"")</f>
        <v/>
      </c>
      <c r="W877" s="22"/>
      <c r="X877" s="21" t="str">
        <f aca="false">IF(AND(F877="Bilbo",E877&lt;&gt;"",G877&lt;&gt;"",H877&lt;&gt;""),E877&amp;"|"&amp;G877&amp;"|"&amp;H877,"")</f>
        <v/>
      </c>
      <c r="Y877" s="21" t="str">
        <f aca="false">IF(B877="","",IF(B877&lt;&gt;B876,1,0))</f>
        <v/>
      </c>
    </row>
    <row r="878" customFormat="false" ht="15" hidden="false" customHeight="true" outlineLevel="0" collapsed="false">
      <c r="A878" s="21" t="str">
        <f aca="false">IF(B878="","",ROW()-4)</f>
        <v/>
      </c>
      <c r="B878" s="22"/>
      <c r="C878" s="21" t="str">
        <f aca="false">IF(B878="","",CHOOSE(WEEKDAY(B878,2),"LUNES","MARTES","MIÉRCOLES","JUEVES","VIERNES","SÁBADO","DOMINGO"))</f>
        <v/>
      </c>
      <c r="M878" s="23"/>
      <c r="Q878" s="21" t="str">
        <f aca="false">IF(OR(K878="",N878=""),"",K878-N878)</f>
        <v/>
      </c>
      <c r="R878" s="21" t="str">
        <f aca="false">IF(OR(J878="",K878=""),"",J878*K878)</f>
        <v/>
      </c>
      <c r="S878" s="21" t="str">
        <f aca="false">IF(AND(ISNUMBER(J878),ISNUMBER(K878),F878&lt;&gt;"Calentamiento",F878&lt;&gt;"Bilbo"),IF(AND(K878&gt;0,K878&lt;=12),ROUND(J878*(1+(K878+IF(ISNUMBER(L878),L878,0))/30),1),""),"")</f>
        <v/>
      </c>
      <c r="T878" s="21" t="str">
        <f aca="false">IF(AND(F878="Bilbo",ISNUMBER(J878),ISNUMBER(K878)),ROUND(J878*(1+K878/30),1),"")</f>
        <v/>
      </c>
      <c r="W878" s="22"/>
      <c r="X878" s="21" t="str">
        <f aca="false">IF(AND(F878="Bilbo",E878&lt;&gt;"",G878&lt;&gt;"",H878&lt;&gt;""),E878&amp;"|"&amp;G878&amp;"|"&amp;H878,"")</f>
        <v/>
      </c>
      <c r="Y878" s="21" t="str">
        <f aca="false">IF(B878="","",IF(B878&lt;&gt;B877,1,0))</f>
        <v/>
      </c>
    </row>
    <row r="879" customFormat="false" ht="15" hidden="false" customHeight="true" outlineLevel="0" collapsed="false">
      <c r="A879" s="21" t="str">
        <f aca="false">IF(B879="","",ROW()-4)</f>
        <v/>
      </c>
      <c r="B879" s="22"/>
      <c r="C879" s="21" t="str">
        <f aca="false">IF(B879="","",CHOOSE(WEEKDAY(B879,2),"LUNES","MARTES","MIÉRCOLES","JUEVES","VIERNES","SÁBADO","DOMINGO"))</f>
        <v/>
      </c>
      <c r="M879" s="23"/>
      <c r="Q879" s="21" t="str">
        <f aca="false">IF(OR(K879="",N879=""),"",K879-N879)</f>
        <v/>
      </c>
      <c r="R879" s="21" t="str">
        <f aca="false">IF(OR(J879="",K879=""),"",J879*K879)</f>
        <v/>
      </c>
      <c r="S879" s="21" t="str">
        <f aca="false">IF(AND(ISNUMBER(J879),ISNUMBER(K879),F879&lt;&gt;"Calentamiento",F879&lt;&gt;"Bilbo"),IF(AND(K879&gt;0,K879&lt;=12),ROUND(J879*(1+(K879+IF(ISNUMBER(L879),L879,0))/30),1),""),"")</f>
        <v/>
      </c>
      <c r="T879" s="21" t="str">
        <f aca="false">IF(AND(F879="Bilbo",ISNUMBER(J879),ISNUMBER(K879)),ROUND(J879*(1+K879/30),1),"")</f>
        <v/>
      </c>
      <c r="W879" s="22"/>
      <c r="X879" s="21" t="str">
        <f aca="false">IF(AND(F879="Bilbo",E879&lt;&gt;"",G879&lt;&gt;"",H879&lt;&gt;""),E879&amp;"|"&amp;G879&amp;"|"&amp;H879,"")</f>
        <v/>
      </c>
      <c r="Y879" s="21" t="str">
        <f aca="false">IF(B879="","",IF(B879&lt;&gt;B878,1,0))</f>
        <v/>
      </c>
    </row>
    <row r="880" customFormat="false" ht="15" hidden="false" customHeight="true" outlineLevel="0" collapsed="false">
      <c r="A880" s="21" t="str">
        <f aca="false">IF(B880="","",ROW()-4)</f>
        <v/>
      </c>
      <c r="B880" s="22"/>
      <c r="C880" s="21" t="str">
        <f aca="false">IF(B880="","",CHOOSE(WEEKDAY(B880,2),"LUNES","MARTES","MIÉRCOLES","JUEVES","VIERNES","SÁBADO","DOMINGO"))</f>
        <v/>
      </c>
      <c r="M880" s="23"/>
      <c r="Q880" s="21" t="str">
        <f aca="false">IF(OR(K880="",N880=""),"",K880-N880)</f>
        <v/>
      </c>
      <c r="R880" s="21" t="str">
        <f aca="false">IF(OR(J880="",K880=""),"",J880*K880)</f>
        <v/>
      </c>
      <c r="S880" s="21" t="str">
        <f aca="false">IF(AND(ISNUMBER(J880),ISNUMBER(K880),F880&lt;&gt;"Calentamiento",F880&lt;&gt;"Bilbo"),IF(AND(K880&gt;0,K880&lt;=12),ROUND(J880*(1+(K880+IF(ISNUMBER(L880),L880,0))/30),1),""),"")</f>
        <v/>
      </c>
      <c r="T880" s="21" t="str">
        <f aca="false">IF(AND(F880="Bilbo",ISNUMBER(J880),ISNUMBER(K880)),ROUND(J880*(1+K880/30),1),"")</f>
        <v/>
      </c>
      <c r="W880" s="22"/>
      <c r="X880" s="21" t="str">
        <f aca="false">IF(AND(F880="Bilbo",E880&lt;&gt;"",G880&lt;&gt;"",H880&lt;&gt;""),E880&amp;"|"&amp;G880&amp;"|"&amp;H880,"")</f>
        <v/>
      </c>
      <c r="Y880" s="21" t="str">
        <f aca="false">IF(B880="","",IF(B880&lt;&gt;B879,1,0))</f>
        <v/>
      </c>
    </row>
    <row r="881" customFormat="false" ht="15" hidden="false" customHeight="true" outlineLevel="0" collapsed="false">
      <c r="A881" s="21" t="str">
        <f aca="false">IF(B881="","",ROW()-4)</f>
        <v/>
      </c>
      <c r="B881" s="22"/>
      <c r="C881" s="21" t="str">
        <f aca="false">IF(B881="","",CHOOSE(WEEKDAY(B881,2),"LUNES","MARTES","MIÉRCOLES","JUEVES","VIERNES","SÁBADO","DOMINGO"))</f>
        <v/>
      </c>
      <c r="M881" s="23"/>
      <c r="Q881" s="21" t="str">
        <f aca="false">IF(OR(K881="",N881=""),"",K881-N881)</f>
        <v/>
      </c>
      <c r="R881" s="21" t="str">
        <f aca="false">IF(OR(J881="",K881=""),"",J881*K881)</f>
        <v/>
      </c>
      <c r="S881" s="21" t="str">
        <f aca="false">IF(AND(ISNUMBER(J881),ISNUMBER(K881),F881&lt;&gt;"Calentamiento",F881&lt;&gt;"Bilbo"),IF(AND(K881&gt;0,K881&lt;=12),ROUND(J881*(1+(K881+IF(ISNUMBER(L881),L881,0))/30),1),""),"")</f>
        <v/>
      </c>
      <c r="T881" s="21" t="str">
        <f aca="false">IF(AND(F881="Bilbo",ISNUMBER(J881),ISNUMBER(K881)),ROUND(J881*(1+K881/30),1),"")</f>
        <v/>
      </c>
      <c r="W881" s="22"/>
      <c r="X881" s="21" t="str">
        <f aca="false">IF(AND(F881="Bilbo",E881&lt;&gt;"",G881&lt;&gt;"",H881&lt;&gt;""),E881&amp;"|"&amp;G881&amp;"|"&amp;H881,"")</f>
        <v/>
      </c>
      <c r="Y881" s="21" t="str">
        <f aca="false">IF(B881="","",IF(B881&lt;&gt;B880,1,0))</f>
        <v/>
      </c>
    </row>
    <row r="882" customFormat="false" ht="15" hidden="false" customHeight="true" outlineLevel="0" collapsed="false">
      <c r="A882" s="21" t="str">
        <f aca="false">IF(B882="","",ROW()-4)</f>
        <v/>
      </c>
      <c r="B882" s="22"/>
      <c r="C882" s="21" t="str">
        <f aca="false">IF(B882="","",CHOOSE(WEEKDAY(B882,2),"LUNES","MARTES","MIÉRCOLES","JUEVES","VIERNES","SÁBADO","DOMINGO"))</f>
        <v/>
      </c>
      <c r="M882" s="23"/>
      <c r="Q882" s="21" t="str">
        <f aca="false">IF(OR(K882="",N882=""),"",K882-N882)</f>
        <v/>
      </c>
      <c r="R882" s="21" t="str">
        <f aca="false">IF(OR(J882="",K882=""),"",J882*K882)</f>
        <v/>
      </c>
      <c r="S882" s="21" t="str">
        <f aca="false">IF(AND(ISNUMBER(J882),ISNUMBER(K882),F882&lt;&gt;"Calentamiento",F882&lt;&gt;"Bilbo"),IF(AND(K882&gt;0,K882&lt;=12),ROUND(J882*(1+(K882+IF(ISNUMBER(L882),L882,0))/30),1),""),"")</f>
        <v/>
      </c>
      <c r="T882" s="21" t="str">
        <f aca="false">IF(AND(F882="Bilbo",ISNUMBER(J882),ISNUMBER(K882)),ROUND(J882*(1+K882/30),1),"")</f>
        <v/>
      </c>
      <c r="W882" s="22"/>
      <c r="X882" s="21" t="str">
        <f aca="false">IF(AND(F882="Bilbo",E882&lt;&gt;"",G882&lt;&gt;"",H882&lt;&gt;""),E882&amp;"|"&amp;G882&amp;"|"&amp;H882,"")</f>
        <v/>
      </c>
      <c r="Y882" s="21" t="str">
        <f aca="false">IF(B882="","",IF(B882&lt;&gt;B881,1,0))</f>
        <v/>
      </c>
    </row>
    <row r="883" customFormat="false" ht="15" hidden="false" customHeight="true" outlineLevel="0" collapsed="false">
      <c r="A883" s="21" t="str">
        <f aca="false">IF(B883="","",ROW()-4)</f>
        <v/>
      </c>
      <c r="B883" s="22"/>
      <c r="C883" s="21" t="str">
        <f aca="false">IF(B883="","",CHOOSE(WEEKDAY(B883,2),"LUNES","MARTES","MIÉRCOLES","JUEVES","VIERNES","SÁBADO","DOMINGO"))</f>
        <v/>
      </c>
      <c r="M883" s="23"/>
      <c r="Q883" s="21" t="str">
        <f aca="false">IF(OR(K883="",N883=""),"",K883-N883)</f>
        <v/>
      </c>
      <c r="R883" s="21" t="str">
        <f aca="false">IF(OR(J883="",K883=""),"",J883*K883)</f>
        <v/>
      </c>
      <c r="S883" s="21" t="str">
        <f aca="false">IF(AND(ISNUMBER(J883),ISNUMBER(K883),F883&lt;&gt;"Calentamiento",F883&lt;&gt;"Bilbo"),IF(AND(K883&gt;0,K883&lt;=12),ROUND(J883*(1+(K883+IF(ISNUMBER(L883),L883,0))/30),1),""),"")</f>
        <v/>
      </c>
      <c r="T883" s="21" t="str">
        <f aca="false">IF(AND(F883="Bilbo",ISNUMBER(J883),ISNUMBER(K883)),ROUND(J883*(1+K883/30),1),"")</f>
        <v/>
      </c>
      <c r="W883" s="22"/>
      <c r="X883" s="21" t="str">
        <f aca="false">IF(AND(F883="Bilbo",E883&lt;&gt;"",G883&lt;&gt;"",H883&lt;&gt;""),E883&amp;"|"&amp;G883&amp;"|"&amp;H883,"")</f>
        <v/>
      </c>
      <c r="Y883" s="21" t="str">
        <f aca="false">IF(B883="","",IF(B883&lt;&gt;B882,1,0))</f>
        <v/>
      </c>
    </row>
    <row r="884" customFormat="false" ht="15" hidden="false" customHeight="true" outlineLevel="0" collapsed="false">
      <c r="A884" s="21" t="str">
        <f aca="false">IF(B884="","",ROW()-4)</f>
        <v/>
      </c>
      <c r="B884" s="22"/>
      <c r="C884" s="21" t="str">
        <f aca="false">IF(B884="","",CHOOSE(WEEKDAY(B884,2),"LUNES","MARTES","MIÉRCOLES","JUEVES","VIERNES","SÁBADO","DOMINGO"))</f>
        <v/>
      </c>
      <c r="M884" s="23"/>
      <c r="Q884" s="21" t="str">
        <f aca="false">IF(OR(K884="",N884=""),"",K884-N884)</f>
        <v/>
      </c>
      <c r="R884" s="21" t="str">
        <f aca="false">IF(OR(J884="",K884=""),"",J884*K884)</f>
        <v/>
      </c>
      <c r="S884" s="21" t="str">
        <f aca="false">IF(AND(ISNUMBER(J884),ISNUMBER(K884),F884&lt;&gt;"Calentamiento",F884&lt;&gt;"Bilbo"),IF(AND(K884&gt;0,K884&lt;=12),ROUND(J884*(1+(K884+IF(ISNUMBER(L884),L884,0))/30),1),""),"")</f>
        <v/>
      </c>
      <c r="T884" s="21" t="str">
        <f aca="false">IF(AND(F884="Bilbo",ISNUMBER(J884),ISNUMBER(K884)),ROUND(J884*(1+K884/30),1),"")</f>
        <v/>
      </c>
      <c r="W884" s="22"/>
      <c r="X884" s="21" t="str">
        <f aca="false">IF(AND(F884="Bilbo",E884&lt;&gt;"",G884&lt;&gt;"",H884&lt;&gt;""),E884&amp;"|"&amp;G884&amp;"|"&amp;H884,"")</f>
        <v/>
      </c>
      <c r="Y884" s="21" t="str">
        <f aca="false">IF(B884="","",IF(B884&lt;&gt;B883,1,0))</f>
        <v/>
      </c>
    </row>
    <row r="885" customFormat="false" ht="15" hidden="false" customHeight="true" outlineLevel="0" collapsed="false">
      <c r="A885" s="21" t="str">
        <f aca="false">IF(B885="","",ROW()-4)</f>
        <v/>
      </c>
      <c r="B885" s="22"/>
      <c r="C885" s="21" t="str">
        <f aca="false">IF(B885="","",CHOOSE(WEEKDAY(B885,2),"LUNES","MARTES","MIÉRCOLES","JUEVES","VIERNES","SÁBADO","DOMINGO"))</f>
        <v/>
      </c>
      <c r="M885" s="23"/>
      <c r="Q885" s="21" t="str">
        <f aca="false">IF(OR(K885="",N885=""),"",K885-N885)</f>
        <v/>
      </c>
      <c r="R885" s="21" t="str">
        <f aca="false">IF(OR(J885="",K885=""),"",J885*K885)</f>
        <v/>
      </c>
      <c r="S885" s="21" t="str">
        <f aca="false">IF(AND(ISNUMBER(J885),ISNUMBER(K885),F885&lt;&gt;"Calentamiento",F885&lt;&gt;"Bilbo"),IF(AND(K885&gt;0,K885&lt;=12),ROUND(J885*(1+(K885+IF(ISNUMBER(L885),L885,0))/30),1),""),"")</f>
        <v/>
      </c>
      <c r="T885" s="21" t="str">
        <f aca="false">IF(AND(F885="Bilbo",ISNUMBER(J885),ISNUMBER(K885)),ROUND(J885*(1+K885/30),1),"")</f>
        <v/>
      </c>
      <c r="W885" s="22"/>
      <c r="X885" s="21" t="str">
        <f aca="false">IF(AND(F885="Bilbo",E885&lt;&gt;"",G885&lt;&gt;"",H885&lt;&gt;""),E885&amp;"|"&amp;G885&amp;"|"&amp;H885,"")</f>
        <v/>
      </c>
      <c r="Y885" s="21" t="str">
        <f aca="false">IF(B885="","",IF(B885&lt;&gt;B884,1,0))</f>
        <v/>
      </c>
    </row>
    <row r="886" customFormat="false" ht="15" hidden="false" customHeight="true" outlineLevel="0" collapsed="false">
      <c r="A886" s="21" t="str">
        <f aca="false">IF(B886="","",ROW()-4)</f>
        <v/>
      </c>
      <c r="B886" s="22"/>
      <c r="C886" s="21" t="str">
        <f aca="false">IF(B886="","",CHOOSE(WEEKDAY(B886,2),"LUNES","MARTES","MIÉRCOLES","JUEVES","VIERNES","SÁBADO","DOMINGO"))</f>
        <v/>
      </c>
      <c r="M886" s="23"/>
      <c r="Q886" s="21" t="str">
        <f aca="false">IF(OR(K886="",N886=""),"",K886-N886)</f>
        <v/>
      </c>
      <c r="R886" s="21" t="str">
        <f aca="false">IF(OR(J886="",K886=""),"",J886*K886)</f>
        <v/>
      </c>
      <c r="S886" s="21" t="str">
        <f aca="false">IF(AND(ISNUMBER(J886),ISNUMBER(K886),F886&lt;&gt;"Calentamiento",F886&lt;&gt;"Bilbo"),IF(AND(K886&gt;0,K886&lt;=12),ROUND(J886*(1+(K886+IF(ISNUMBER(L886),L886,0))/30),1),""),"")</f>
        <v/>
      </c>
      <c r="T886" s="21" t="str">
        <f aca="false">IF(AND(F886="Bilbo",ISNUMBER(J886),ISNUMBER(K886)),ROUND(J886*(1+K886/30),1),"")</f>
        <v/>
      </c>
      <c r="W886" s="22"/>
      <c r="X886" s="21" t="str">
        <f aca="false">IF(AND(F886="Bilbo",E886&lt;&gt;"",G886&lt;&gt;"",H886&lt;&gt;""),E886&amp;"|"&amp;G886&amp;"|"&amp;H886,"")</f>
        <v/>
      </c>
      <c r="Y886" s="21" t="str">
        <f aca="false">IF(B886="","",IF(B886&lt;&gt;B885,1,0))</f>
        <v/>
      </c>
    </row>
    <row r="887" customFormat="false" ht="15" hidden="false" customHeight="true" outlineLevel="0" collapsed="false">
      <c r="A887" s="21" t="str">
        <f aca="false">IF(B887="","",ROW()-4)</f>
        <v/>
      </c>
      <c r="B887" s="22"/>
      <c r="C887" s="21" t="str">
        <f aca="false">IF(B887="","",CHOOSE(WEEKDAY(B887,2),"LUNES","MARTES","MIÉRCOLES","JUEVES","VIERNES","SÁBADO","DOMINGO"))</f>
        <v/>
      </c>
      <c r="M887" s="23"/>
      <c r="Q887" s="21" t="str">
        <f aca="false">IF(OR(K887="",N887=""),"",K887-N887)</f>
        <v/>
      </c>
      <c r="R887" s="21" t="str">
        <f aca="false">IF(OR(J887="",K887=""),"",J887*K887)</f>
        <v/>
      </c>
      <c r="S887" s="21" t="str">
        <f aca="false">IF(AND(ISNUMBER(J887),ISNUMBER(K887),F887&lt;&gt;"Calentamiento",F887&lt;&gt;"Bilbo"),IF(AND(K887&gt;0,K887&lt;=12),ROUND(J887*(1+(K887+IF(ISNUMBER(L887),L887,0))/30),1),""),"")</f>
        <v/>
      </c>
      <c r="T887" s="21" t="str">
        <f aca="false">IF(AND(F887="Bilbo",ISNUMBER(J887),ISNUMBER(K887)),ROUND(J887*(1+K887/30),1),"")</f>
        <v/>
      </c>
      <c r="W887" s="22"/>
      <c r="X887" s="21" t="str">
        <f aca="false">IF(AND(F887="Bilbo",E887&lt;&gt;"",G887&lt;&gt;"",H887&lt;&gt;""),E887&amp;"|"&amp;G887&amp;"|"&amp;H887,"")</f>
        <v/>
      </c>
      <c r="Y887" s="21" t="str">
        <f aca="false">IF(B887="","",IF(B887&lt;&gt;B886,1,0))</f>
        <v/>
      </c>
    </row>
    <row r="888" customFormat="false" ht="15" hidden="false" customHeight="true" outlineLevel="0" collapsed="false">
      <c r="A888" s="21" t="str">
        <f aca="false">IF(B888="","",ROW()-4)</f>
        <v/>
      </c>
      <c r="B888" s="22"/>
      <c r="C888" s="21" t="str">
        <f aca="false">IF(B888="","",CHOOSE(WEEKDAY(B888,2),"LUNES","MARTES","MIÉRCOLES","JUEVES","VIERNES","SÁBADO","DOMINGO"))</f>
        <v/>
      </c>
      <c r="M888" s="23"/>
      <c r="Q888" s="21" t="str">
        <f aca="false">IF(OR(K888="",N888=""),"",K888-N888)</f>
        <v/>
      </c>
      <c r="R888" s="21" t="str">
        <f aca="false">IF(OR(J888="",K888=""),"",J888*K888)</f>
        <v/>
      </c>
      <c r="S888" s="21" t="str">
        <f aca="false">IF(AND(ISNUMBER(J888),ISNUMBER(K888),F888&lt;&gt;"Calentamiento",F888&lt;&gt;"Bilbo"),IF(AND(K888&gt;0,K888&lt;=12),ROUND(J888*(1+(K888+IF(ISNUMBER(L888),L888,0))/30),1),""),"")</f>
        <v/>
      </c>
      <c r="T888" s="21" t="str">
        <f aca="false">IF(AND(F888="Bilbo",ISNUMBER(J888),ISNUMBER(K888)),ROUND(J888*(1+K888/30),1),"")</f>
        <v/>
      </c>
      <c r="W888" s="22"/>
      <c r="X888" s="21" t="str">
        <f aca="false">IF(AND(F888="Bilbo",E888&lt;&gt;"",G888&lt;&gt;"",H888&lt;&gt;""),E888&amp;"|"&amp;G888&amp;"|"&amp;H888,"")</f>
        <v/>
      </c>
      <c r="Y888" s="21" t="str">
        <f aca="false">IF(B888="","",IF(B888&lt;&gt;B887,1,0))</f>
        <v/>
      </c>
    </row>
    <row r="889" customFormat="false" ht="15" hidden="false" customHeight="true" outlineLevel="0" collapsed="false">
      <c r="A889" s="21" t="str">
        <f aca="false">IF(B889="","",ROW()-4)</f>
        <v/>
      </c>
      <c r="B889" s="22"/>
      <c r="C889" s="21" t="str">
        <f aca="false">IF(B889="","",CHOOSE(WEEKDAY(B889,2),"LUNES","MARTES","MIÉRCOLES","JUEVES","VIERNES","SÁBADO","DOMINGO"))</f>
        <v/>
      </c>
      <c r="M889" s="23"/>
      <c r="Q889" s="21" t="str">
        <f aca="false">IF(OR(K889="",N889=""),"",K889-N889)</f>
        <v/>
      </c>
      <c r="R889" s="21" t="str">
        <f aca="false">IF(OR(J889="",K889=""),"",J889*K889)</f>
        <v/>
      </c>
      <c r="S889" s="21" t="str">
        <f aca="false">IF(AND(ISNUMBER(J889),ISNUMBER(K889),F889&lt;&gt;"Calentamiento",F889&lt;&gt;"Bilbo"),IF(AND(K889&gt;0,K889&lt;=12),ROUND(J889*(1+(K889+IF(ISNUMBER(L889),L889,0))/30),1),""),"")</f>
        <v/>
      </c>
      <c r="T889" s="21" t="str">
        <f aca="false">IF(AND(F889="Bilbo",ISNUMBER(J889),ISNUMBER(K889)),ROUND(J889*(1+K889/30),1),"")</f>
        <v/>
      </c>
      <c r="W889" s="22"/>
      <c r="X889" s="21" t="str">
        <f aca="false">IF(AND(F889="Bilbo",E889&lt;&gt;"",G889&lt;&gt;"",H889&lt;&gt;""),E889&amp;"|"&amp;G889&amp;"|"&amp;H889,"")</f>
        <v/>
      </c>
      <c r="Y889" s="21" t="str">
        <f aca="false">IF(B889="","",IF(B889&lt;&gt;B888,1,0))</f>
        <v/>
      </c>
    </row>
    <row r="890" customFormat="false" ht="15" hidden="false" customHeight="true" outlineLevel="0" collapsed="false">
      <c r="A890" s="21" t="str">
        <f aca="false">IF(B890="","",ROW()-4)</f>
        <v/>
      </c>
      <c r="B890" s="22"/>
      <c r="C890" s="21" t="str">
        <f aca="false">IF(B890="","",CHOOSE(WEEKDAY(B890,2),"LUNES","MARTES","MIÉRCOLES","JUEVES","VIERNES","SÁBADO","DOMINGO"))</f>
        <v/>
      </c>
      <c r="M890" s="23"/>
      <c r="Q890" s="21" t="str">
        <f aca="false">IF(OR(K890="",N890=""),"",K890-N890)</f>
        <v/>
      </c>
      <c r="R890" s="21" t="str">
        <f aca="false">IF(OR(J890="",K890=""),"",J890*K890)</f>
        <v/>
      </c>
      <c r="S890" s="21" t="str">
        <f aca="false">IF(AND(ISNUMBER(J890),ISNUMBER(K890),F890&lt;&gt;"Calentamiento",F890&lt;&gt;"Bilbo"),IF(AND(K890&gt;0,K890&lt;=12),ROUND(J890*(1+(K890+IF(ISNUMBER(L890),L890,0))/30),1),""),"")</f>
        <v/>
      </c>
      <c r="T890" s="21" t="str">
        <f aca="false">IF(AND(F890="Bilbo",ISNUMBER(J890),ISNUMBER(K890)),ROUND(J890*(1+K890/30),1),"")</f>
        <v/>
      </c>
      <c r="W890" s="22"/>
      <c r="X890" s="21" t="str">
        <f aca="false">IF(AND(F890="Bilbo",E890&lt;&gt;"",G890&lt;&gt;"",H890&lt;&gt;""),E890&amp;"|"&amp;G890&amp;"|"&amp;H890,"")</f>
        <v/>
      </c>
      <c r="Y890" s="21" t="str">
        <f aca="false">IF(B890="","",IF(B890&lt;&gt;B889,1,0))</f>
        <v/>
      </c>
    </row>
    <row r="891" customFormat="false" ht="15" hidden="false" customHeight="true" outlineLevel="0" collapsed="false">
      <c r="A891" s="21" t="str">
        <f aca="false">IF(B891="","",ROW()-4)</f>
        <v/>
      </c>
      <c r="B891" s="22"/>
      <c r="C891" s="21" t="str">
        <f aca="false">IF(B891="","",CHOOSE(WEEKDAY(B891,2),"LUNES","MARTES","MIÉRCOLES","JUEVES","VIERNES","SÁBADO","DOMINGO"))</f>
        <v/>
      </c>
      <c r="M891" s="23"/>
      <c r="Q891" s="21" t="str">
        <f aca="false">IF(OR(K891="",N891=""),"",K891-N891)</f>
        <v/>
      </c>
      <c r="R891" s="21" t="str">
        <f aca="false">IF(OR(J891="",K891=""),"",J891*K891)</f>
        <v/>
      </c>
      <c r="S891" s="21" t="str">
        <f aca="false">IF(AND(ISNUMBER(J891),ISNUMBER(K891),F891&lt;&gt;"Calentamiento",F891&lt;&gt;"Bilbo"),IF(AND(K891&gt;0,K891&lt;=12),ROUND(J891*(1+(K891+IF(ISNUMBER(L891),L891,0))/30),1),""),"")</f>
        <v/>
      </c>
      <c r="T891" s="21" t="str">
        <f aca="false">IF(AND(F891="Bilbo",ISNUMBER(J891),ISNUMBER(K891)),ROUND(J891*(1+K891/30),1),"")</f>
        <v/>
      </c>
      <c r="W891" s="22"/>
      <c r="X891" s="21" t="str">
        <f aca="false">IF(AND(F891="Bilbo",E891&lt;&gt;"",G891&lt;&gt;"",H891&lt;&gt;""),E891&amp;"|"&amp;G891&amp;"|"&amp;H891,"")</f>
        <v/>
      </c>
      <c r="Y891" s="21" t="str">
        <f aca="false">IF(B891="","",IF(B891&lt;&gt;B890,1,0))</f>
        <v/>
      </c>
    </row>
    <row r="892" customFormat="false" ht="15" hidden="false" customHeight="true" outlineLevel="0" collapsed="false">
      <c r="A892" s="21" t="str">
        <f aca="false">IF(B892="","",ROW()-4)</f>
        <v/>
      </c>
      <c r="B892" s="22"/>
      <c r="C892" s="21" t="str">
        <f aca="false">IF(B892="","",CHOOSE(WEEKDAY(B892,2),"LUNES","MARTES","MIÉRCOLES","JUEVES","VIERNES","SÁBADO","DOMINGO"))</f>
        <v/>
      </c>
      <c r="M892" s="23"/>
      <c r="Q892" s="21" t="str">
        <f aca="false">IF(OR(K892="",N892=""),"",K892-N892)</f>
        <v/>
      </c>
      <c r="R892" s="21" t="str">
        <f aca="false">IF(OR(J892="",K892=""),"",J892*K892)</f>
        <v/>
      </c>
      <c r="S892" s="21" t="str">
        <f aca="false">IF(AND(ISNUMBER(J892),ISNUMBER(K892),F892&lt;&gt;"Calentamiento",F892&lt;&gt;"Bilbo"),IF(AND(K892&gt;0,K892&lt;=12),ROUND(J892*(1+(K892+IF(ISNUMBER(L892),L892,0))/30),1),""),"")</f>
        <v/>
      </c>
      <c r="T892" s="21" t="str">
        <f aca="false">IF(AND(F892="Bilbo",ISNUMBER(J892),ISNUMBER(K892)),ROUND(J892*(1+K892/30),1),"")</f>
        <v/>
      </c>
      <c r="W892" s="22"/>
      <c r="X892" s="21" t="str">
        <f aca="false">IF(AND(F892="Bilbo",E892&lt;&gt;"",G892&lt;&gt;"",H892&lt;&gt;""),E892&amp;"|"&amp;G892&amp;"|"&amp;H892,"")</f>
        <v/>
      </c>
      <c r="Y892" s="21" t="str">
        <f aca="false">IF(B892="","",IF(B892&lt;&gt;B891,1,0))</f>
        <v/>
      </c>
    </row>
    <row r="893" customFormat="false" ht="15" hidden="false" customHeight="true" outlineLevel="0" collapsed="false">
      <c r="A893" s="21" t="str">
        <f aca="false">IF(B893="","",ROW()-4)</f>
        <v/>
      </c>
      <c r="B893" s="22"/>
      <c r="C893" s="21" t="str">
        <f aca="false">IF(B893="","",CHOOSE(WEEKDAY(B893,2),"LUNES","MARTES","MIÉRCOLES","JUEVES","VIERNES","SÁBADO","DOMINGO"))</f>
        <v/>
      </c>
      <c r="M893" s="23"/>
      <c r="Q893" s="21" t="str">
        <f aca="false">IF(OR(K893="",N893=""),"",K893-N893)</f>
        <v/>
      </c>
      <c r="R893" s="21" t="str">
        <f aca="false">IF(OR(J893="",K893=""),"",J893*K893)</f>
        <v/>
      </c>
      <c r="S893" s="21" t="str">
        <f aca="false">IF(AND(ISNUMBER(J893),ISNUMBER(K893),F893&lt;&gt;"Calentamiento",F893&lt;&gt;"Bilbo"),IF(AND(K893&gt;0,K893&lt;=12),ROUND(J893*(1+(K893+IF(ISNUMBER(L893),L893,0))/30),1),""),"")</f>
        <v/>
      </c>
      <c r="T893" s="21" t="str">
        <f aca="false">IF(AND(F893="Bilbo",ISNUMBER(J893),ISNUMBER(K893)),ROUND(J893*(1+K893/30),1),"")</f>
        <v/>
      </c>
      <c r="W893" s="22"/>
      <c r="X893" s="21" t="str">
        <f aca="false">IF(AND(F893="Bilbo",E893&lt;&gt;"",G893&lt;&gt;"",H893&lt;&gt;""),E893&amp;"|"&amp;G893&amp;"|"&amp;H893,"")</f>
        <v/>
      </c>
      <c r="Y893" s="21" t="str">
        <f aca="false">IF(B893="","",IF(B893&lt;&gt;B892,1,0))</f>
        <v/>
      </c>
    </row>
    <row r="894" customFormat="false" ht="15" hidden="false" customHeight="true" outlineLevel="0" collapsed="false">
      <c r="A894" s="21" t="str">
        <f aca="false">IF(B894="","",ROW()-4)</f>
        <v/>
      </c>
      <c r="B894" s="22"/>
      <c r="C894" s="21" t="str">
        <f aca="false">IF(B894="","",CHOOSE(WEEKDAY(B894,2),"LUNES","MARTES","MIÉRCOLES","JUEVES","VIERNES","SÁBADO","DOMINGO"))</f>
        <v/>
      </c>
      <c r="M894" s="23"/>
      <c r="Q894" s="21" t="str">
        <f aca="false">IF(OR(K894="",N894=""),"",K894-N894)</f>
        <v/>
      </c>
      <c r="R894" s="21" t="str">
        <f aca="false">IF(OR(J894="",K894=""),"",J894*K894)</f>
        <v/>
      </c>
      <c r="S894" s="21" t="str">
        <f aca="false">IF(AND(ISNUMBER(J894),ISNUMBER(K894),F894&lt;&gt;"Calentamiento",F894&lt;&gt;"Bilbo"),IF(AND(K894&gt;0,K894&lt;=12),ROUND(J894*(1+(K894+IF(ISNUMBER(L894),L894,0))/30),1),""),"")</f>
        <v/>
      </c>
      <c r="T894" s="21" t="str">
        <f aca="false">IF(AND(F894="Bilbo",ISNUMBER(J894),ISNUMBER(K894)),ROUND(J894*(1+K894/30),1),"")</f>
        <v/>
      </c>
      <c r="W894" s="22"/>
      <c r="X894" s="21" t="str">
        <f aca="false">IF(AND(F894="Bilbo",E894&lt;&gt;"",G894&lt;&gt;"",H894&lt;&gt;""),E894&amp;"|"&amp;G894&amp;"|"&amp;H894,"")</f>
        <v/>
      </c>
      <c r="Y894" s="21" t="str">
        <f aca="false">IF(B894="","",IF(B894&lt;&gt;B893,1,0))</f>
        <v/>
      </c>
    </row>
    <row r="895" customFormat="false" ht="15" hidden="false" customHeight="true" outlineLevel="0" collapsed="false">
      <c r="A895" s="21" t="str">
        <f aca="false">IF(B895="","",ROW()-4)</f>
        <v/>
      </c>
      <c r="B895" s="22"/>
      <c r="C895" s="21" t="str">
        <f aca="false">IF(B895="","",CHOOSE(WEEKDAY(B895,2),"LUNES","MARTES","MIÉRCOLES","JUEVES","VIERNES","SÁBADO","DOMINGO"))</f>
        <v/>
      </c>
      <c r="M895" s="23"/>
      <c r="Q895" s="21" t="str">
        <f aca="false">IF(OR(K895="",N895=""),"",K895-N895)</f>
        <v/>
      </c>
      <c r="R895" s="21" t="str">
        <f aca="false">IF(OR(J895="",K895=""),"",J895*K895)</f>
        <v/>
      </c>
      <c r="S895" s="21" t="str">
        <f aca="false">IF(AND(ISNUMBER(J895),ISNUMBER(K895),F895&lt;&gt;"Calentamiento",F895&lt;&gt;"Bilbo"),IF(AND(K895&gt;0,K895&lt;=12),ROUND(J895*(1+(K895+IF(ISNUMBER(L895),L895,0))/30),1),""),"")</f>
        <v/>
      </c>
      <c r="T895" s="21" t="str">
        <f aca="false">IF(AND(F895="Bilbo",ISNUMBER(J895),ISNUMBER(K895)),ROUND(J895*(1+K895/30),1),"")</f>
        <v/>
      </c>
      <c r="W895" s="22"/>
      <c r="X895" s="21" t="str">
        <f aca="false">IF(AND(F895="Bilbo",E895&lt;&gt;"",G895&lt;&gt;"",H895&lt;&gt;""),E895&amp;"|"&amp;G895&amp;"|"&amp;H895,"")</f>
        <v/>
      </c>
      <c r="Y895" s="21" t="str">
        <f aca="false">IF(B895="","",IF(B895&lt;&gt;B894,1,0))</f>
        <v/>
      </c>
    </row>
    <row r="896" customFormat="false" ht="15" hidden="false" customHeight="true" outlineLevel="0" collapsed="false">
      <c r="A896" s="21" t="str">
        <f aca="false">IF(B896="","",ROW()-4)</f>
        <v/>
      </c>
      <c r="B896" s="22"/>
      <c r="C896" s="21" t="str">
        <f aca="false">IF(B896="","",CHOOSE(WEEKDAY(B896,2),"LUNES","MARTES","MIÉRCOLES","JUEVES","VIERNES","SÁBADO","DOMINGO"))</f>
        <v/>
      </c>
      <c r="M896" s="23"/>
      <c r="Q896" s="21" t="str">
        <f aca="false">IF(OR(K896="",N896=""),"",K896-N896)</f>
        <v/>
      </c>
      <c r="R896" s="21" t="str">
        <f aca="false">IF(OR(J896="",K896=""),"",J896*K896)</f>
        <v/>
      </c>
      <c r="S896" s="21" t="str">
        <f aca="false">IF(AND(ISNUMBER(J896),ISNUMBER(K896),F896&lt;&gt;"Calentamiento",F896&lt;&gt;"Bilbo"),IF(AND(K896&gt;0,K896&lt;=12),ROUND(J896*(1+(K896+IF(ISNUMBER(L896),L896,0))/30),1),""),"")</f>
        <v/>
      </c>
      <c r="T896" s="21" t="str">
        <f aca="false">IF(AND(F896="Bilbo",ISNUMBER(J896),ISNUMBER(K896)),ROUND(J896*(1+K896/30),1),"")</f>
        <v/>
      </c>
      <c r="W896" s="22"/>
      <c r="X896" s="21" t="str">
        <f aca="false">IF(AND(F896="Bilbo",E896&lt;&gt;"",G896&lt;&gt;"",H896&lt;&gt;""),E896&amp;"|"&amp;G896&amp;"|"&amp;H896,"")</f>
        <v/>
      </c>
      <c r="Y896" s="21" t="str">
        <f aca="false">IF(B896="","",IF(B896&lt;&gt;B895,1,0))</f>
        <v/>
      </c>
    </row>
    <row r="897" customFormat="false" ht="15" hidden="false" customHeight="true" outlineLevel="0" collapsed="false">
      <c r="A897" s="21" t="str">
        <f aca="false">IF(B897="","",ROW()-4)</f>
        <v/>
      </c>
      <c r="B897" s="22"/>
      <c r="C897" s="21" t="str">
        <f aca="false">IF(B897="","",CHOOSE(WEEKDAY(B897,2),"LUNES","MARTES","MIÉRCOLES","JUEVES","VIERNES","SÁBADO","DOMINGO"))</f>
        <v/>
      </c>
      <c r="M897" s="23"/>
      <c r="Q897" s="21" t="str">
        <f aca="false">IF(OR(K897="",N897=""),"",K897-N897)</f>
        <v/>
      </c>
      <c r="R897" s="21" t="str">
        <f aca="false">IF(OR(J897="",K897=""),"",J897*K897)</f>
        <v/>
      </c>
      <c r="S897" s="21" t="str">
        <f aca="false">IF(AND(ISNUMBER(J897),ISNUMBER(K897),F897&lt;&gt;"Calentamiento",F897&lt;&gt;"Bilbo"),IF(AND(K897&gt;0,K897&lt;=12),ROUND(J897*(1+(K897+IF(ISNUMBER(L897),L897,0))/30),1),""),"")</f>
        <v/>
      </c>
      <c r="T897" s="21" t="str">
        <f aca="false">IF(AND(F897="Bilbo",ISNUMBER(J897),ISNUMBER(K897)),ROUND(J897*(1+K897/30),1),"")</f>
        <v/>
      </c>
      <c r="W897" s="22"/>
      <c r="X897" s="21" t="str">
        <f aca="false">IF(AND(F897="Bilbo",E897&lt;&gt;"",G897&lt;&gt;"",H897&lt;&gt;""),E897&amp;"|"&amp;G897&amp;"|"&amp;H897,"")</f>
        <v/>
      </c>
      <c r="Y897" s="21" t="str">
        <f aca="false">IF(B897="","",IF(B897&lt;&gt;B896,1,0))</f>
        <v/>
      </c>
    </row>
    <row r="898" customFormat="false" ht="15" hidden="false" customHeight="true" outlineLevel="0" collapsed="false">
      <c r="A898" s="21" t="str">
        <f aca="false">IF(B898="","",ROW()-4)</f>
        <v/>
      </c>
      <c r="B898" s="22"/>
      <c r="C898" s="21" t="str">
        <f aca="false">IF(B898="","",CHOOSE(WEEKDAY(B898,2),"LUNES","MARTES","MIÉRCOLES","JUEVES","VIERNES","SÁBADO","DOMINGO"))</f>
        <v/>
      </c>
      <c r="M898" s="23"/>
      <c r="Q898" s="21" t="str">
        <f aca="false">IF(OR(K898="",N898=""),"",K898-N898)</f>
        <v/>
      </c>
      <c r="R898" s="21" t="str">
        <f aca="false">IF(OR(J898="",K898=""),"",J898*K898)</f>
        <v/>
      </c>
      <c r="S898" s="21" t="str">
        <f aca="false">IF(AND(ISNUMBER(J898),ISNUMBER(K898),F898&lt;&gt;"Calentamiento",F898&lt;&gt;"Bilbo"),IF(AND(K898&gt;0,K898&lt;=12),ROUND(J898*(1+(K898+IF(ISNUMBER(L898),L898,0))/30),1),""),"")</f>
        <v/>
      </c>
      <c r="T898" s="21" t="str">
        <f aca="false">IF(AND(F898="Bilbo",ISNUMBER(J898),ISNUMBER(K898)),ROUND(J898*(1+K898/30),1),"")</f>
        <v/>
      </c>
      <c r="W898" s="22"/>
      <c r="X898" s="21" t="str">
        <f aca="false">IF(AND(F898="Bilbo",E898&lt;&gt;"",G898&lt;&gt;"",H898&lt;&gt;""),E898&amp;"|"&amp;G898&amp;"|"&amp;H898,"")</f>
        <v/>
      </c>
      <c r="Y898" s="21" t="str">
        <f aca="false">IF(B898="","",IF(B898&lt;&gt;B897,1,0))</f>
        <v/>
      </c>
    </row>
    <row r="899" customFormat="false" ht="15" hidden="false" customHeight="true" outlineLevel="0" collapsed="false">
      <c r="A899" s="21" t="str">
        <f aca="false">IF(B899="","",ROW()-4)</f>
        <v/>
      </c>
      <c r="B899" s="22"/>
      <c r="C899" s="21" t="str">
        <f aca="false">IF(B899="","",CHOOSE(WEEKDAY(B899,2),"LUNES","MARTES","MIÉRCOLES","JUEVES","VIERNES","SÁBADO","DOMINGO"))</f>
        <v/>
      </c>
      <c r="M899" s="23"/>
      <c r="Q899" s="21" t="str">
        <f aca="false">IF(OR(K899="",N899=""),"",K899-N899)</f>
        <v/>
      </c>
      <c r="R899" s="21" t="str">
        <f aca="false">IF(OR(J899="",K899=""),"",J899*K899)</f>
        <v/>
      </c>
      <c r="S899" s="21" t="str">
        <f aca="false">IF(AND(ISNUMBER(J899),ISNUMBER(K899),F899&lt;&gt;"Calentamiento",F899&lt;&gt;"Bilbo"),IF(AND(K899&gt;0,K899&lt;=12),ROUND(J899*(1+(K899+IF(ISNUMBER(L899),L899,0))/30),1),""),"")</f>
        <v/>
      </c>
      <c r="T899" s="21" t="str">
        <f aca="false">IF(AND(F899="Bilbo",ISNUMBER(J899),ISNUMBER(K899)),ROUND(J899*(1+K899/30),1),"")</f>
        <v/>
      </c>
      <c r="W899" s="22"/>
      <c r="X899" s="21" t="str">
        <f aca="false">IF(AND(F899="Bilbo",E899&lt;&gt;"",G899&lt;&gt;"",H899&lt;&gt;""),E899&amp;"|"&amp;G899&amp;"|"&amp;H899,"")</f>
        <v/>
      </c>
      <c r="Y899" s="21" t="str">
        <f aca="false">IF(B899="","",IF(B899&lt;&gt;B898,1,0))</f>
        <v/>
      </c>
    </row>
    <row r="900" customFormat="false" ht="15" hidden="false" customHeight="true" outlineLevel="0" collapsed="false">
      <c r="A900" s="21" t="str">
        <f aca="false">IF(B900="","",ROW()-4)</f>
        <v/>
      </c>
      <c r="B900" s="22"/>
      <c r="C900" s="21" t="str">
        <f aca="false">IF(B900="","",CHOOSE(WEEKDAY(B900,2),"LUNES","MARTES","MIÉRCOLES","JUEVES","VIERNES","SÁBADO","DOMINGO"))</f>
        <v/>
      </c>
      <c r="M900" s="23"/>
      <c r="Q900" s="21" t="str">
        <f aca="false">IF(OR(K900="",N900=""),"",K900-N900)</f>
        <v/>
      </c>
      <c r="R900" s="21" t="str">
        <f aca="false">IF(OR(J900="",K900=""),"",J900*K900)</f>
        <v/>
      </c>
      <c r="S900" s="21" t="str">
        <f aca="false">IF(AND(ISNUMBER(J900),ISNUMBER(K900),F900&lt;&gt;"Calentamiento",F900&lt;&gt;"Bilbo"),IF(AND(K900&gt;0,K900&lt;=12),ROUND(J900*(1+(K900+IF(ISNUMBER(L900),L900,0))/30),1),""),"")</f>
        <v/>
      </c>
      <c r="T900" s="21" t="str">
        <f aca="false">IF(AND(F900="Bilbo",ISNUMBER(J900),ISNUMBER(K900)),ROUND(J900*(1+K900/30),1),"")</f>
        <v/>
      </c>
      <c r="W900" s="22"/>
      <c r="X900" s="21" t="str">
        <f aca="false">IF(AND(F900="Bilbo",E900&lt;&gt;"",G900&lt;&gt;"",H900&lt;&gt;""),E900&amp;"|"&amp;G900&amp;"|"&amp;H900,"")</f>
        <v/>
      </c>
      <c r="Y900" s="21" t="str">
        <f aca="false">IF(B900="","",IF(B900&lt;&gt;B899,1,0))</f>
        <v/>
      </c>
    </row>
    <row r="901" customFormat="false" ht="15" hidden="false" customHeight="true" outlineLevel="0" collapsed="false">
      <c r="A901" s="21" t="str">
        <f aca="false">IF(B901="","",ROW()-4)</f>
        <v/>
      </c>
      <c r="B901" s="22"/>
      <c r="C901" s="21" t="str">
        <f aca="false">IF(B901="","",CHOOSE(WEEKDAY(B901,2),"LUNES","MARTES","MIÉRCOLES","JUEVES","VIERNES","SÁBADO","DOMINGO"))</f>
        <v/>
      </c>
      <c r="M901" s="23"/>
      <c r="Q901" s="21" t="str">
        <f aca="false">IF(OR(K901="",N901=""),"",K901-N901)</f>
        <v/>
      </c>
      <c r="R901" s="21" t="str">
        <f aca="false">IF(OR(J901="",K901=""),"",J901*K901)</f>
        <v/>
      </c>
      <c r="S901" s="21" t="str">
        <f aca="false">IF(AND(ISNUMBER(J901),ISNUMBER(K901),F901&lt;&gt;"Calentamiento",F901&lt;&gt;"Bilbo"),IF(AND(K901&gt;0,K901&lt;=12),ROUND(J901*(1+(K901+IF(ISNUMBER(L901),L901,0))/30),1),""),"")</f>
        <v/>
      </c>
      <c r="T901" s="21" t="str">
        <f aca="false">IF(AND(F901="Bilbo",ISNUMBER(J901),ISNUMBER(K901)),ROUND(J901*(1+K901/30),1),"")</f>
        <v/>
      </c>
      <c r="W901" s="22"/>
      <c r="X901" s="21" t="str">
        <f aca="false">IF(AND(F901="Bilbo",E901&lt;&gt;"",G901&lt;&gt;"",H901&lt;&gt;""),E901&amp;"|"&amp;G901&amp;"|"&amp;H901,"")</f>
        <v/>
      </c>
      <c r="Y901" s="21" t="str">
        <f aca="false">IF(B901="","",IF(B901&lt;&gt;B900,1,0))</f>
        <v/>
      </c>
    </row>
    <row r="902" customFormat="false" ht="15" hidden="false" customHeight="true" outlineLevel="0" collapsed="false">
      <c r="A902" s="21" t="str">
        <f aca="false">IF(B902="","",ROW()-4)</f>
        <v/>
      </c>
      <c r="B902" s="22"/>
      <c r="C902" s="21" t="str">
        <f aca="false">IF(B902="","",CHOOSE(WEEKDAY(B902,2),"LUNES","MARTES","MIÉRCOLES","JUEVES","VIERNES","SÁBADO","DOMINGO"))</f>
        <v/>
      </c>
      <c r="M902" s="23"/>
      <c r="Q902" s="21" t="str">
        <f aca="false">IF(OR(K902="",N902=""),"",K902-N902)</f>
        <v/>
      </c>
      <c r="R902" s="21" t="str">
        <f aca="false">IF(OR(J902="",K902=""),"",J902*K902)</f>
        <v/>
      </c>
      <c r="S902" s="21" t="str">
        <f aca="false">IF(AND(ISNUMBER(J902),ISNUMBER(K902),F902&lt;&gt;"Calentamiento",F902&lt;&gt;"Bilbo"),IF(AND(K902&gt;0,K902&lt;=12),ROUND(J902*(1+(K902+IF(ISNUMBER(L902),L902,0))/30),1),""),"")</f>
        <v/>
      </c>
      <c r="T902" s="21" t="str">
        <f aca="false">IF(AND(F902="Bilbo",ISNUMBER(J902),ISNUMBER(K902)),ROUND(J902*(1+K902/30),1),"")</f>
        <v/>
      </c>
      <c r="W902" s="22"/>
      <c r="X902" s="21" t="str">
        <f aca="false">IF(AND(F902="Bilbo",E902&lt;&gt;"",G902&lt;&gt;"",H902&lt;&gt;""),E902&amp;"|"&amp;G902&amp;"|"&amp;H902,"")</f>
        <v/>
      </c>
      <c r="Y902" s="21" t="str">
        <f aca="false">IF(B902="","",IF(B902&lt;&gt;B901,1,0))</f>
        <v/>
      </c>
    </row>
    <row r="903" customFormat="false" ht="15" hidden="false" customHeight="true" outlineLevel="0" collapsed="false">
      <c r="A903" s="21" t="str">
        <f aca="false">IF(B903="","",ROW()-4)</f>
        <v/>
      </c>
      <c r="B903" s="22"/>
      <c r="C903" s="21" t="str">
        <f aca="false">IF(B903="","",CHOOSE(WEEKDAY(B903,2),"LUNES","MARTES","MIÉRCOLES","JUEVES","VIERNES","SÁBADO","DOMINGO"))</f>
        <v/>
      </c>
      <c r="M903" s="23"/>
      <c r="Q903" s="21" t="str">
        <f aca="false">IF(OR(K903="",N903=""),"",K903-N903)</f>
        <v/>
      </c>
      <c r="R903" s="21" t="str">
        <f aca="false">IF(OR(J903="",K903=""),"",J903*K903)</f>
        <v/>
      </c>
      <c r="S903" s="21" t="str">
        <f aca="false">IF(AND(ISNUMBER(J903),ISNUMBER(K903),F903&lt;&gt;"Calentamiento",F903&lt;&gt;"Bilbo"),IF(AND(K903&gt;0,K903&lt;=12),ROUND(J903*(1+(K903+IF(ISNUMBER(L903),L903,0))/30),1),""),"")</f>
        <v/>
      </c>
      <c r="T903" s="21" t="str">
        <f aca="false">IF(AND(F903="Bilbo",ISNUMBER(J903),ISNUMBER(K903)),ROUND(J903*(1+K903/30),1),"")</f>
        <v/>
      </c>
      <c r="W903" s="22"/>
      <c r="X903" s="21" t="str">
        <f aca="false">IF(AND(F903="Bilbo",E903&lt;&gt;"",G903&lt;&gt;"",H903&lt;&gt;""),E903&amp;"|"&amp;G903&amp;"|"&amp;H903,"")</f>
        <v/>
      </c>
      <c r="Y903" s="21" t="str">
        <f aca="false">IF(B903="","",IF(B903&lt;&gt;B902,1,0))</f>
        <v/>
      </c>
    </row>
    <row r="904" customFormat="false" ht="15" hidden="false" customHeight="true" outlineLevel="0" collapsed="false">
      <c r="A904" s="21" t="str">
        <f aca="false">IF(B904="","",ROW()-4)</f>
        <v/>
      </c>
      <c r="B904" s="22"/>
      <c r="C904" s="21" t="str">
        <f aca="false">IF(B904="","",CHOOSE(WEEKDAY(B904,2),"LUNES","MARTES","MIÉRCOLES","JUEVES","VIERNES","SÁBADO","DOMINGO"))</f>
        <v/>
      </c>
      <c r="M904" s="23"/>
      <c r="Q904" s="21" t="str">
        <f aca="false">IF(OR(K904="",N904=""),"",K904-N904)</f>
        <v/>
      </c>
      <c r="R904" s="21" t="str">
        <f aca="false">IF(OR(J904="",K904=""),"",J904*K904)</f>
        <v/>
      </c>
      <c r="S904" s="21" t="str">
        <f aca="false">IF(AND(ISNUMBER(J904),ISNUMBER(K904),F904&lt;&gt;"Calentamiento",F904&lt;&gt;"Bilbo"),IF(AND(K904&gt;0,K904&lt;=12),ROUND(J904*(1+(K904+IF(ISNUMBER(L904),L904,0))/30),1),""),"")</f>
        <v/>
      </c>
      <c r="T904" s="21" t="str">
        <f aca="false">IF(AND(F904="Bilbo",ISNUMBER(J904),ISNUMBER(K904)),ROUND(J904*(1+K904/30),1),"")</f>
        <v/>
      </c>
      <c r="W904" s="22"/>
      <c r="X904" s="21" t="str">
        <f aca="false">IF(AND(F904="Bilbo",E904&lt;&gt;"",G904&lt;&gt;"",H904&lt;&gt;""),E904&amp;"|"&amp;G904&amp;"|"&amp;H904,"")</f>
        <v/>
      </c>
      <c r="Y904" s="21" t="str">
        <f aca="false">IF(B904="","",IF(B904&lt;&gt;B903,1,0))</f>
        <v/>
      </c>
    </row>
    <row r="905" customFormat="false" ht="15" hidden="false" customHeight="true" outlineLevel="0" collapsed="false">
      <c r="A905" s="21" t="str">
        <f aca="false">IF(B905="","",ROW()-4)</f>
        <v/>
      </c>
      <c r="B905" s="22"/>
      <c r="C905" s="21" t="str">
        <f aca="false">IF(B905="","",CHOOSE(WEEKDAY(B905,2),"LUNES","MARTES","MIÉRCOLES","JUEVES","VIERNES","SÁBADO","DOMINGO"))</f>
        <v/>
      </c>
      <c r="M905" s="23"/>
      <c r="Q905" s="21" t="str">
        <f aca="false">IF(OR(K905="",N905=""),"",K905-N905)</f>
        <v/>
      </c>
      <c r="R905" s="21" t="str">
        <f aca="false">IF(OR(J905="",K905=""),"",J905*K905)</f>
        <v/>
      </c>
      <c r="S905" s="21" t="str">
        <f aca="false">IF(AND(ISNUMBER(J905),ISNUMBER(K905),F905&lt;&gt;"Calentamiento",F905&lt;&gt;"Bilbo"),IF(AND(K905&gt;0,K905&lt;=12),ROUND(J905*(1+(K905+IF(ISNUMBER(L905),L905,0))/30),1),""),"")</f>
        <v/>
      </c>
      <c r="T905" s="21" t="str">
        <f aca="false">IF(AND(F905="Bilbo",ISNUMBER(J905),ISNUMBER(K905)),ROUND(J905*(1+K905/30),1),"")</f>
        <v/>
      </c>
      <c r="W905" s="22"/>
      <c r="X905" s="21" t="str">
        <f aca="false">IF(AND(F905="Bilbo",E905&lt;&gt;"",G905&lt;&gt;"",H905&lt;&gt;""),E905&amp;"|"&amp;G905&amp;"|"&amp;H905,"")</f>
        <v/>
      </c>
      <c r="Y905" s="21" t="str">
        <f aca="false">IF(B905="","",IF(B905&lt;&gt;B904,1,0))</f>
        <v/>
      </c>
    </row>
    <row r="906" customFormat="false" ht="15" hidden="false" customHeight="true" outlineLevel="0" collapsed="false">
      <c r="A906" s="21" t="str">
        <f aca="false">IF(B906="","",ROW()-4)</f>
        <v/>
      </c>
      <c r="B906" s="22"/>
      <c r="C906" s="21" t="str">
        <f aca="false">IF(B906="","",CHOOSE(WEEKDAY(B906,2),"LUNES","MARTES","MIÉRCOLES","JUEVES","VIERNES","SÁBADO","DOMINGO"))</f>
        <v/>
      </c>
      <c r="M906" s="23"/>
      <c r="Q906" s="21" t="str">
        <f aca="false">IF(OR(K906="",N906=""),"",K906-N906)</f>
        <v/>
      </c>
      <c r="R906" s="21" t="str">
        <f aca="false">IF(OR(J906="",K906=""),"",J906*K906)</f>
        <v/>
      </c>
      <c r="S906" s="21" t="str">
        <f aca="false">IF(AND(ISNUMBER(J906),ISNUMBER(K906),F906&lt;&gt;"Calentamiento",F906&lt;&gt;"Bilbo"),IF(AND(K906&gt;0,K906&lt;=12),ROUND(J906*(1+(K906+IF(ISNUMBER(L906),L906,0))/30),1),""),"")</f>
        <v/>
      </c>
      <c r="T906" s="21" t="str">
        <f aca="false">IF(AND(F906="Bilbo",ISNUMBER(J906),ISNUMBER(K906)),ROUND(J906*(1+K906/30),1),"")</f>
        <v/>
      </c>
      <c r="W906" s="22"/>
      <c r="X906" s="21" t="str">
        <f aca="false">IF(AND(F906="Bilbo",E906&lt;&gt;"",G906&lt;&gt;"",H906&lt;&gt;""),E906&amp;"|"&amp;G906&amp;"|"&amp;H906,"")</f>
        <v/>
      </c>
      <c r="Y906" s="21" t="str">
        <f aca="false">IF(B906="","",IF(B906&lt;&gt;B905,1,0))</f>
        <v/>
      </c>
    </row>
    <row r="907" customFormat="false" ht="15" hidden="false" customHeight="true" outlineLevel="0" collapsed="false">
      <c r="A907" s="21" t="str">
        <f aca="false">IF(B907="","",ROW()-4)</f>
        <v/>
      </c>
      <c r="B907" s="22"/>
      <c r="C907" s="21" t="str">
        <f aca="false">IF(B907="","",CHOOSE(WEEKDAY(B907,2),"LUNES","MARTES","MIÉRCOLES","JUEVES","VIERNES","SÁBADO","DOMINGO"))</f>
        <v/>
      </c>
      <c r="M907" s="23"/>
      <c r="Q907" s="21" t="str">
        <f aca="false">IF(OR(K907="",N907=""),"",K907-N907)</f>
        <v/>
      </c>
      <c r="R907" s="21" t="str">
        <f aca="false">IF(OR(J907="",K907=""),"",J907*K907)</f>
        <v/>
      </c>
      <c r="S907" s="21" t="str">
        <f aca="false">IF(AND(ISNUMBER(J907),ISNUMBER(K907),F907&lt;&gt;"Calentamiento",F907&lt;&gt;"Bilbo"),IF(AND(K907&gt;0,K907&lt;=12),ROUND(J907*(1+(K907+IF(ISNUMBER(L907),L907,0))/30),1),""),"")</f>
        <v/>
      </c>
      <c r="T907" s="21" t="str">
        <f aca="false">IF(AND(F907="Bilbo",ISNUMBER(J907),ISNUMBER(K907)),ROUND(J907*(1+K907/30),1),"")</f>
        <v/>
      </c>
      <c r="W907" s="22"/>
      <c r="X907" s="21" t="str">
        <f aca="false">IF(AND(F907="Bilbo",E907&lt;&gt;"",G907&lt;&gt;"",H907&lt;&gt;""),E907&amp;"|"&amp;G907&amp;"|"&amp;H907,"")</f>
        <v/>
      </c>
      <c r="Y907" s="21" t="str">
        <f aca="false">IF(B907="","",IF(B907&lt;&gt;B906,1,0))</f>
        <v/>
      </c>
    </row>
    <row r="908" customFormat="false" ht="15" hidden="false" customHeight="true" outlineLevel="0" collapsed="false">
      <c r="A908" s="21" t="str">
        <f aca="false">IF(B908="","",ROW()-4)</f>
        <v/>
      </c>
      <c r="B908" s="22"/>
      <c r="C908" s="21" t="str">
        <f aca="false">IF(B908="","",CHOOSE(WEEKDAY(B908,2),"LUNES","MARTES","MIÉRCOLES","JUEVES","VIERNES","SÁBADO","DOMINGO"))</f>
        <v/>
      </c>
      <c r="M908" s="23"/>
      <c r="Q908" s="21" t="str">
        <f aca="false">IF(OR(K908="",N908=""),"",K908-N908)</f>
        <v/>
      </c>
      <c r="R908" s="21" t="str">
        <f aca="false">IF(OR(J908="",K908=""),"",J908*K908)</f>
        <v/>
      </c>
      <c r="S908" s="21" t="str">
        <f aca="false">IF(AND(ISNUMBER(J908),ISNUMBER(K908),F908&lt;&gt;"Calentamiento",F908&lt;&gt;"Bilbo"),IF(AND(K908&gt;0,K908&lt;=12),ROUND(J908*(1+(K908+IF(ISNUMBER(L908),L908,0))/30),1),""),"")</f>
        <v/>
      </c>
      <c r="T908" s="21" t="str">
        <f aca="false">IF(AND(F908="Bilbo",ISNUMBER(J908),ISNUMBER(K908)),ROUND(J908*(1+K908/30),1),"")</f>
        <v/>
      </c>
      <c r="W908" s="22"/>
      <c r="X908" s="21" t="str">
        <f aca="false">IF(AND(F908="Bilbo",E908&lt;&gt;"",G908&lt;&gt;"",H908&lt;&gt;""),E908&amp;"|"&amp;G908&amp;"|"&amp;H908,"")</f>
        <v/>
      </c>
      <c r="Y908" s="21" t="str">
        <f aca="false">IF(B908="","",IF(B908&lt;&gt;B907,1,0))</f>
        <v/>
      </c>
    </row>
    <row r="909" customFormat="false" ht="15" hidden="false" customHeight="true" outlineLevel="0" collapsed="false">
      <c r="A909" s="21" t="str">
        <f aca="false">IF(B909="","",ROW()-4)</f>
        <v/>
      </c>
      <c r="B909" s="22"/>
      <c r="C909" s="21" t="str">
        <f aca="false">IF(B909="","",CHOOSE(WEEKDAY(B909,2),"LUNES","MARTES","MIÉRCOLES","JUEVES","VIERNES","SÁBADO","DOMINGO"))</f>
        <v/>
      </c>
      <c r="M909" s="23"/>
      <c r="Q909" s="21" t="str">
        <f aca="false">IF(OR(K909="",N909=""),"",K909-N909)</f>
        <v/>
      </c>
      <c r="R909" s="21" t="str">
        <f aca="false">IF(OR(J909="",K909=""),"",J909*K909)</f>
        <v/>
      </c>
      <c r="S909" s="21" t="str">
        <f aca="false">IF(AND(ISNUMBER(J909),ISNUMBER(K909),F909&lt;&gt;"Calentamiento",F909&lt;&gt;"Bilbo"),IF(AND(K909&gt;0,K909&lt;=12),ROUND(J909*(1+(K909+IF(ISNUMBER(L909),L909,0))/30),1),""),"")</f>
        <v/>
      </c>
      <c r="T909" s="21" t="str">
        <f aca="false">IF(AND(F909="Bilbo",ISNUMBER(J909),ISNUMBER(K909)),ROUND(J909*(1+K909/30),1),"")</f>
        <v/>
      </c>
      <c r="W909" s="22"/>
      <c r="X909" s="21" t="str">
        <f aca="false">IF(AND(F909="Bilbo",E909&lt;&gt;"",G909&lt;&gt;"",H909&lt;&gt;""),E909&amp;"|"&amp;G909&amp;"|"&amp;H909,"")</f>
        <v/>
      </c>
      <c r="Y909" s="21" t="str">
        <f aca="false">IF(B909="","",IF(B909&lt;&gt;B908,1,0))</f>
        <v/>
      </c>
    </row>
    <row r="910" customFormat="false" ht="15" hidden="false" customHeight="true" outlineLevel="0" collapsed="false">
      <c r="A910" s="21" t="str">
        <f aca="false">IF(B910="","",ROW()-4)</f>
        <v/>
      </c>
      <c r="B910" s="22"/>
      <c r="C910" s="21" t="str">
        <f aca="false">IF(B910="","",CHOOSE(WEEKDAY(B910,2),"LUNES","MARTES","MIÉRCOLES","JUEVES","VIERNES","SÁBADO","DOMINGO"))</f>
        <v/>
      </c>
      <c r="M910" s="23"/>
      <c r="Q910" s="21" t="str">
        <f aca="false">IF(OR(K910="",N910=""),"",K910-N910)</f>
        <v/>
      </c>
      <c r="R910" s="21" t="str">
        <f aca="false">IF(OR(J910="",K910=""),"",J910*K910)</f>
        <v/>
      </c>
      <c r="S910" s="21" t="str">
        <f aca="false">IF(AND(ISNUMBER(J910),ISNUMBER(K910),F910&lt;&gt;"Calentamiento",F910&lt;&gt;"Bilbo"),IF(AND(K910&gt;0,K910&lt;=12),ROUND(J910*(1+(K910+IF(ISNUMBER(L910),L910,0))/30),1),""),"")</f>
        <v/>
      </c>
      <c r="T910" s="21" t="str">
        <f aca="false">IF(AND(F910="Bilbo",ISNUMBER(J910),ISNUMBER(K910)),ROUND(J910*(1+K910/30),1),"")</f>
        <v/>
      </c>
      <c r="W910" s="22"/>
      <c r="X910" s="21" t="str">
        <f aca="false">IF(AND(F910="Bilbo",E910&lt;&gt;"",G910&lt;&gt;"",H910&lt;&gt;""),E910&amp;"|"&amp;G910&amp;"|"&amp;H910,"")</f>
        <v/>
      </c>
      <c r="Y910" s="21" t="str">
        <f aca="false">IF(B910="","",IF(B910&lt;&gt;B909,1,0))</f>
        <v/>
      </c>
    </row>
    <row r="911" customFormat="false" ht="15" hidden="false" customHeight="true" outlineLevel="0" collapsed="false">
      <c r="A911" s="21" t="str">
        <f aca="false">IF(B911="","",ROW()-4)</f>
        <v/>
      </c>
      <c r="B911" s="22"/>
      <c r="C911" s="21" t="str">
        <f aca="false">IF(B911="","",CHOOSE(WEEKDAY(B911,2),"LUNES","MARTES","MIÉRCOLES","JUEVES","VIERNES","SÁBADO","DOMINGO"))</f>
        <v/>
      </c>
      <c r="M911" s="23"/>
      <c r="Q911" s="21" t="str">
        <f aca="false">IF(OR(K911="",N911=""),"",K911-N911)</f>
        <v/>
      </c>
      <c r="R911" s="21" t="str">
        <f aca="false">IF(OR(J911="",K911=""),"",J911*K911)</f>
        <v/>
      </c>
      <c r="S911" s="21" t="str">
        <f aca="false">IF(AND(ISNUMBER(J911),ISNUMBER(K911),F911&lt;&gt;"Calentamiento",F911&lt;&gt;"Bilbo"),IF(AND(K911&gt;0,K911&lt;=12),ROUND(J911*(1+(K911+IF(ISNUMBER(L911),L911,0))/30),1),""),"")</f>
        <v/>
      </c>
      <c r="T911" s="21" t="str">
        <f aca="false">IF(AND(F911="Bilbo",ISNUMBER(J911),ISNUMBER(K911)),ROUND(J911*(1+K911/30),1),"")</f>
        <v/>
      </c>
      <c r="W911" s="22"/>
      <c r="X911" s="21" t="str">
        <f aca="false">IF(AND(F911="Bilbo",E911&lt;&gt;"",G911&lt;&gt;"",H911&lt;&gt;""),E911&amp;"|"&amp;G911&amp;"|"&amp;H911,"")</f>
        <v/>
      </c>
      <c r="Y911" s="21" t="str">
        <f aca="false">IF(B911="","",IF(B911&lt;&gt;B910,1,0))</f>
        <v/>
      </c>
    </row>
    <row r="912" customFormat="false" ht="15" hidden="false" customHeight="true" outlineLevel="0" collapsed="false">
      <c r="A912" s="21" t="str">
        <f aca="false">IF(B912="","",ROW()-4)</f>
        <v/>
      </c>
      <c r="B912" s="22"/>
      <c r="C912" s="21" t="str">
        <f aca="false">IF(B912="","",CHOOSE(WEEKDAY(B912,2),"LUNES","MARTES","MIÉRCOLES","JUEVES","VIERNES","SÁBADO","DOMINGO"))</f>
        <v/>
      </c>
      <c r="M912" s="23"/>
      <c r="Q912" s="21" t="str">
        <f aca="false">IF(OR(K912="",N912=""),"",K912-N912)</f>
        <v/>
      </c>
      <c r="R912" s="21" t="str">
        <f aca="false">IF(OR(J912="",K912=""),"",J912*K912)</f>
        <v/>
      </c>
      <c r="S912" s="21" t="str">
        <f aca="false">IF(AND(ISNUMBER(J912),ISNUMBER(K912),F912&lt;&gt;"Calentamiento",F912&lt;&gt;"Bilbo"),IF(AND(K912&gt;0,K912&lt;=12),ROUND(J912*(1+(K912+IF(ISNUMBER(L912),L912,0))/30),1),""),"")</f>
        <v/>
      </c>
      <c r="T912" s="21" t="str">
        <f aca="false">IF(AND(F912="Bilbo",ISNUMBER(J912),ISNUMBER(K912)),ROUND(J912*(1+K912/30),1),"")</f>
        <v/>
      </c>
      <c r="W912" s="22"/>
      <c r="X912" s="21" t="str">
        <f aca="false">IF(AND(F912="Bilbo",E912&lt;&gt;"",G912&lt;&gt;"",H912&lt;&gt;""),E912&amp;"|"&amp;G912&amp;"|"&amp;H912,"")</f>
        <v/>
      </c>
      <c r="Y912" s="21" t="str">
        <f aca="false">IF(B912="","",IF(B912&lt;&gt;B911,1,0))</f>
        <v/>
      </c>
    </row>
    <row r="913" customFormat="false" ht="15" hidden="false" customHeight="true" outlineLevel="0" collapsed="false">
      <c r="A913" s="21" t="str">
        <f aca="false">IF(B913="","",ROW()-4)</f>
        <v/>
      </c>
      <c r="B913" s="22"/>
      <c r="C913" s="21" t="str">
        <f aca="false">IF(B913="","",CHOOSE(WEEKDAY(B913,2),"LUNES","MARTES","MIÉRCOLES","JUEVES","VIERNES","SÁBADO","DOMINGO"))</f>
        <v/>
      </c>
      <c r="M913" s="23"/>
      <c r="Q913" s="21" t="str">
        <f aca="false">IF(OR(K913="",N913=""),"",K913-N913)</f>
        <v/>
      </c>
      <c r="R913" s="21" t="str">
        <f aca="false">IF(OR(J913="",K913=""),"",J913*K913)</f>
        <v/>
      </c>
      <c r="S913" s="21" t="str">
        <f aca="false">IF(AND(ISNUMBER(J913),ISNUMBER(K913),F913&lt;&gt;"Calentamiento",F913&lt;&gt;"Bilbo"),IF(AND(K913&gt;0,K913&lt;=12),ROUND(J913*(1+(K913+IF(ISNUMBER(L913),L913,0))/30),1),""),"")</f>
        <v/>
      </c>
      <c r="T913" s="21" t="str">
        <f aca="false">IF(AND(F913="Bilbo",ISNUMBER(J913),ISNUMBER(K913)),ROUND(J913*(1+K913/30),1),"")</f>
        <v/>
      </c>
      <c r="W913" s="22"/>
      <c r="X913" s="21" t="str">
        <f aca="false">IF(AND(F913="Bilbo",E913&lt;&gt;"",G913&lt;&gt;"",H913&lt;&gt;""),E913&amp;"|"&amp;G913&amp;"|"&amp;H913,"")</f>
        <v/>
      </c>
      <c r="Y913" s="21" t="str">
        <f aca="false">IF(B913="","",IF(B913&lt;&gt;B912,1,0))</f>
        <v/>
      </c>
    </row>
    <row r="914" customFormat="false" ht="15" hidden="false" customHeight="true" outlineLevel="0" collapsed="false">
      <c r="A914" s="21" t="str">
        <f aca="false">IF(B914="","",ROW()-4)</f>
        <v/>
      </c>
      <c r="B914" s="22"/>
      <c r="C914" s="21" t="str">
        <f aca="false">IF(B914="","",CHOOSE(WEEKDAY(B914,2),"LUNES","MARTES","MIÉRCOLES","JUEVES","VIERNES","SÁBADO","DOMINGO"))</f>
        <v/>
      </c>
      <c r="M914" s="23"/>
      <c r="Q914" s="21" t="str">
        <f aca="false">IF(OR(K914="",N914=""),"",K914-N914)</f>
        <v/>
      </c>
      <c r="R914" s="21" t="str">
        <f aca="false">IF(OR(J914="",K914=""),"",J914*K914)</f>
        <v/>
      </c>
      <c r="S914" s="21" t="str">
        <f aca="false">IF(AND(ISNUMBER(J914),ISNUMBER(K914),F914&lt;&gt;"Calentamiento",F914&lt;&gt;"Bilbo"),IF(AND(K914&gt;0,K914&lt;=12),ROUND(J914*(1+(K914+IF(ISNUMBER(L914),L914,0))/30),1),""),"")</f>
        <v/>
      </c>
      <c r="T914" s="21" t="str">
        <f aca="false">IF(AND(F914="Bilbo",ISNUMBER(J914),ISNUMBER(K914)),ROUND(J914*(1+K914/30),1),"")</f>
        <v/>
      </c>
      <c r="W914" s="22"/>
      <c r="X914" s="21" t="str">
        <f aca="false">IF(AND(F914="Bilbo",E914&lt;&gt;"",G914&lt;&gt;"",H914&lt;&gt;""),E914&amp;"|"&amp;G914&amp;"|"&amp;H914,"")</f>
        <v/>
      </c>
      <c r="Y914" s="21" t="str">
        <f aca="false">IF(B914="","",IF(B914&lt;&gt;B913,1,0))</f>
        <v/>
      </c>
    </row>
    <row r="915" customFormat="false" ht="15" hidden="false" customHeight="true" outlineLevel="0" collapsed="false">
      <c r="A915" s="21" t="str">
        <f aca="false">IF(B915="","",ROW()-4)</f>
        <v/>
      </c>
      <c r="B915" s="22"/>
      <c r="C915" s="21" t="str">
        <f aca="false">IF(B915="","",CHOOSE(WEEKDAY(B915,2),"LUNES","MARTES","MIÉRCOLES","JUEVES","VIERNES","SÁBADO","DOMINGO"))</f>
        <v/>
      </c>
      <c r="M915" s="23"/>
      <c r="Q915" s="21" t="str">
        <f aca="false">IF(OR(K915="",N915=""),"",K915-N915)</f>
        <v/>
      </c>
      <c r="R915" s="21" t="str">
        <f aca="false">IF(OR(J915="",K915=""),"",J915*K915)</f>
        <v/>
      </c>
      <c r="S915" s="21" t="str">
        <f aca="false">IF(AND(ISNUMBER(J915),ISNUMBER(K915),F915&lt;&gt;"Calentamiento",F915&lt;&gt;"Bilbo"),IF(AND(K915&gt;0,K915&lt;=12),ROUND(J915*(1+(K915+IF(ISNUMBER(L915),L915,0))/30),1),""),"")</f>
        <v/>
      </c>
      <c r="T915" s="21" t="str">
        <f aca="false">IF(AND(F915="Bilbo",ISNUMBER(J915),ISNUMBER(K915)),ROUND(J915*(1+K915/30),1),"")</f>
        <v/>
      </c>
      <c r="W915" s="22"/>
      <c r="X915" s="21" t="str">
        <f aca="false">IF(AND(F915="Bilbo",E915&lt;&gt;"",G915&lt;&gt;"",H915&lt;&gt;""),E915&amp;"|"&amp;G915&amp;"|"&amp;H915,"")</f>
        <v/>
      </c>
      <c r="Y915" s="21" t="str">
        <f aca="false">IF(B915="","",IF(B915&lt;&gt;B914,1,0))</f>
        <v/>
      </c>
    </row>
    <row r="916" customFormat="false" ht="15" hidden="false" customHeight="true" outlineLevel="0" collapsed="false">
      <c r="A916" s="21" t="str">
        <f aca="false">IF(B916="","",ROW()-4)</f>
        <v/>
      </c>
      <c r="B916" s="22"/>
      <c r="C916" s="21" t="str">
        <f aca="false">IF(B916="","",CHOOSE(WEEKDAY(B916,2),"LUNES","MARTES","MIÉRCOLES","JUEVES","VIERNES","SÁBADO","DOMINGO"))</f>
        <v/>
      </c>
      <c r="M916" s="23"/>
      <c r="Q916" s="21" t="str">
        <f aca="false">IF(OR(K916="",N916=""),"",K916-N916)</f>
        <v/>
      </c>
      <c r="R916" s="21" t="str">
        <f aca="false">IF(OR(J916="",K916=""),"",J916*K916)</f>
        <v/>
      </c>
      <c r="S916" s="21" t="str">
        <f aca="false">IF(AND(ISNUMBER(J916),ISNUMBER(K916),F916&lt;&gt;"Calentamiento",F916&lt;&gt;"Bilbo"),IF(AND(K916&gt;0,K916&lt;=12),ROUND(J916*(1+(K916+IF(ISNUMBER(L916),L916,0))/30),1),""),"")</f>
        <v/>
      </c>
      <c r="T916" s="21" t="str">
        <f aca="false">IF(AND(F916="Bilbo",ISNUMBER(J916),ISNUMBER(K916)),ROUND(J916*(1+K916/30),1),"")</f>
        <v/>
      </c>
      <c r="W916" s="22"/>
      <c r="X916" s="21" t="str">
        <f aca="false">IF(AND(F916="Bilbo",E916&lt;&gt;"",G916&lt;&gt;"",H916&lt;&gt;""),E916&amp;"|"&amp;G916&amp;"|"&amp;H916,"")</f>
        <v/>
      </c>
      <c r="Y916" s="21" t="str">
        <f aca="false">IF(B916="","",IF(B916&lt;&gt;B915,1,0))</f>
        <v/>
      </c>
    </row>
    <row r="917" customFormat="false" ht="15" hidden="false" customHeight="true" outlineLevel="0" collapsed="false">
      <c r="A917" s="21" t="str">
        <f aca="false">IF(B917="","",ROW()-4)</f>
        <v/>
      </c>
      <c r="B917" s="22"/>
      <c r="C917" s="21" t="str">
        <f aca="false">IF(B917="","",CHOOSE(WEEKDAY(B917,2),"LUNES","MARTES","MIÉRCOLES","JUEVES","VIERNES","SÁBADO","DOMINGO"))</f>
        <v/>
      </c>
      <c r="M917" s="23"/>
      <c r="Q917" s="21" t="str">
        <f aca="false">IF(OR(K917="",N917=""),"",K917-N917)</f>
        <v/>
      </c>
      <c r="R917" s="21" t="str">
        <f aca="false">IF(OR(J917="",K917=""),"",J917*K917)</f>
        <v/>
      </c>
      <c r="S917" s="21" t="str">
        <f aca="false">IF(AND(ISNUMBER(J917),ISNUMBER(K917),F917&lt;&gt;"Calentamiento",F917&lt;&gt;"Bilbo"),IF(AND(K917&gt;0,K917&lt;=12),ROUND(J917*(1+(K917+IF(ISNUMBER(L917),L917,0))/30),1),""),"")</f>
        <v/>
      </c>
      <c r="T917" s="21" t="str">
        <f aca="false">IF(AND(F917="Bilbo",ISNUMBER(J917),ISNUMBER(K917)),ROUND(J917*(1+K917/30),1),"")</f>
        <v/>
      </c>
      <c r="W917" s="22"/>
      <c r="X917" s="21" t="str">
        <f aca="false">IF(AND(F917="Bilbo",E917&lt;&gt;"",G917&lt;&gt;"",H917&lt;&gt;""),E917&amp;"|"&amp;G917&amp;"|"&amp;H917,"")</f>
        <v/>
      </c>
      <c r="Y917" s="21" t="str">
        <f aca="false">IF(B917="","",IF(B917&lt;&gt;B916,1,0))</f>
        <v/>
      </c>
    </row>
    <row r="918" customFormat="false" ht="15" hidden="false" customHeight="true" outlineLevel="0" collapsed="false">
      <c r="A918" s="21" t="str">
        <f aca="false">IF(B918="","",ROW()-4)</f>
        <v/>
      </c>
      <c r="B918" s="22"/>
      <c r="C918" s="21" t="str">
        <f aca="false">IF(B918="","",CHOOSE(WEEKDAY(B918,2),"LUNES","MARTES","MIÉRCOLES","JUEVES","VIERNES","SÁBADO","DOMINGO"))</f>
        <v/>
      </c>
      <c r="M918" s="23"/>
      <c r="Q918" s="21" t="str">
        <f aca="false">IF(OR(K918="",N918=""),"",K918-N918)</f>
        <v/>
      </c>
      <c r="R918" s="21" t="str">
        <f aca="false">IF(OR(J918="",K918=""),"",J918*K918)</f>
        <v/>
      </c>
      <c r="S918" s="21" t="str">
        <f aca="false">IF(AND(ISNUMBER(J918),ISNUMBER(K918),F918&lt;&gt;"Calentamiento",F918&lt;&gt;"Bilbo"),IF(AND(K918&gt;0,K918&lt;=12),ROUND(J918*(1+(K918+IF(ISNUMBER(L918),L918,0))/30),1),""),"")</f>
        <v/>
      </c>
      <c r="T918" s="21" t="str">
        <f aca="false">IF(AND(F918="Bilbo",ISNUMBER(J918),ISNUMBER(K918)),ROUND(J918*(1+K918/30),1),"")</f>
        <v/>
      </c>
      <c r="W918" s="22"/>
      <c r="X918" s="21" t="str">
        <f aca="false">IF(AND(F918="Bilbo",E918&lt;&gt;"",G918&lt;&gt;"",H918&lt;&gt;""),E918&amp;"|"&amp;G918&amp;"|"&amp;H918,"")</f>
        <v/>
      </c>
      <c r="Y918" s="21" t="str">
        <f aca="false">IF(B918="","",IF(B918&lt;&gt;B917,1,0))</f>
        <v/>
      </c>
    </row>
    <row r="919" customFormat="false" ht="15" hidden="false" customHeight="true" outlineLevel="0" collapsed="false">
      <c r="A919" s="21" t="str">
        <f aca="false">IF(B919="","",ROW()-4)</f>
        <v/>
      </c>
      <c r="B919" s="22"/>
      <c r="C919" s="21" t="str">
        <f aca="false">IF(B919="","",CHOOSE(WEEKDAY(B919,2),"LUNES","MARTES","MIÉRCOLES","JUEVES","VIERNES","SÁBADO","DOMINGO"))</f>
        <v/>
      </c>
      <c r="M919" s="23"/>
      <c r="Q919" s="21" t="str">
        <f aca="false">IF(OR(K919="",N919=""),"",K919-N919)</f>
        <v/>
      </c>
      <c r="R919" s="21" t="str">
        <f aca="false">IF(OR(J919="",K919=""),"",J919*K919)</f>
        <v/>
      </c>
      <c r="S919" s="21" t="str">
        <f aca="false">IF(AND(ISNUMBER(J919),ISNUMBER(K919),F919&lt;&gt;"Calentamiento",F919&lt;&gt;"Bilbo"),IF(AND(K919&gt;0,K919&lt;=12),ROUND(J919*(1+(K919+IF(ISNUMBER(L919),L919,0))/30),1),""),"")</f>
        <v/>
      </c>
      <c r="T919" s="21" t="str">
        <f aca="false">IF(AND(F919="Bilbo",ISNUMBER(J919),ISNUMBER(K919)),ROUND(J919*(1+K919/30),1),"")</f>
        <v/>
      </c>
      <c r="W919" s="22"/>
      <c r="X919" s="21" t="str">
        <f aca="false">IF(AND(F919="Bilbo",E919&lt;&gt;"",G919&lt;&gt;"",H919&lt;&gt;""),E919&amp;"|"&amp;G919&amp;"|"&amp;H919,"")</f>
        <v/>
      </c>
      <c r="Y919" s="21" t="str">
        <f aca="false">IF(B919="","",IF(B919&lt;&gt;B918,1,0))</f>
        <v/>
      </c>
    </row>
    <row r="920" customFormat="false" ht="15" hidden="false" customHeight="true" outlineLevel="0" collapsed="false">
      <c r="A920" s="21" t="str">
        <f aca="false">IF(B920="","",ROW()-4)</f>
        <v/>
      </c>
      <c r="B920" s="22"/>
      <c r="C920" s="21" t="str">
        <f aca="false">IF(B920="","",CHOOSE(WEEKDAY(B920,2),"LUNES","MARTES","MIÉRCOLES","JUEVES","VIERNES","SÁBADO","DOMINGO"))</f>
        <v/>
      </c>
      <c r="M920" s="23"/>
      <c r="Q920" s="21" t="str">
        <f aca="false">IF(OR(K920="",N920=""),"",K920-N920)</f>
        <v/>
      </c>
      <c r="R920" s="21" t="str">
        <f aca="false">IF(OR(J920="",K920=""),"",J920*K920)</f>
        <v/>
      </c>
      <c r="S920" s="21" t="str">
        <f aca="false">IF(AND(ISNUMBER(J920),ISNUMBER(K920),F920&lt;&gt;"Calentamiento",F920&lt;&gt;"Bilbo"),IF(AND(K920&gt;0,K920&lt;=12),ROUND(J920*(1+(K920+IF(ISNUMBER(L920),L920,0))/30),1),""),"")</f>
        <v/>
      </c>
      <c r="T920" s="21" t="str">
        <f aca="false">IF(AND(F920="Bilbo",ISNUMBER(J920),ISNUMBER(K920)),ROUND(J920*(1+K920/30),1),"")</f>
        <v/>
      </c>
      <c r="W920" s="22"/>
      <c r="X920" s="21" t="str">
        <f aca="false">IF(AND(F920="Bilbo",E920&lt;&gt;"",G920&lt;&gt;"",H920&lt;&gt;""),E920&amp;"|"&amp;G920&amp;"|"&amp;H920,"")</f>
        <v/>
      </c>
      <c r="Y920" s="21" t="str">
        <f aca="false">IF(B920="","",IF(B920&lt;&gt;B919,1,0))</f>
        <v/>
      </c>
    </row>
    <row r="921" customFormat="false" ht="15" hidden="false" customHeight="true" outlineLevel="0" collapsed="false">
      <c r="A921" s="21" t="str">
        <f aca="false">IF(B921="","",ROW()-4)</f>
        <v/>
      </c>
      <c r="B921" s="22"/>
      <c r="C921" s="21" t="str">
        <f aca="false">IF(B921="","",CHOOSE(WEEKDAY(B921,2),"LUNES","MARTES","MIÉRCOLES","JUEVES","VIERNES","SÁBADO","DOMINGO"))</f>
        <v/>
      </c>
      <c r="M921" s="23"/>
      <c r="Q921" s="21" t="str">
        <f aca="false">IF(OR(K921="",N921=""),"",K921-N921)</f>
        <v/>
      </c>
      <c r="R921" s="21" t="str">
        <f aca="false">IF(OR(J921="",K921=""),"",J921*K921)</f>
        <v/>
      </c>
      <c r="S921" s="21" t="str">
        <f aca="false">IF(AND(ISNUMBER(J921),ISNUMBER(K921),F921&lt;&gt;"Calentamiento",F921&lt;&gt;"Bilbo"),IF(AND(K921&gt;0,K921&lt;=12),ROUND(J921*(1+(K921+IF(ISNUMBER(L921),L921,0))/30),1),""),"")</f>
        <v/>
      </c>
      <c r="T921" s="21" t="str">
        <f aca="false">IF(AND(F921="Bilbo",ISNUMBER(J921),ISNUMBER(K921)),ROUND(J921*(1+K921/30),1),"")</f>
        <v/>
      </c>
      <c r="W921" s="22"/>
      <c r="X921" s="21" t="str">
        <f aca="false">IF(AND(F921="Bilbo",E921&lt;&gt;"",G921&lt;&gt;"",H921&lt;&gt;""),E921&amp;"|"&amp;G921&amp;"|"&amp;H921,"")</f>
        <v/>
      </c>
      <c r="Y921" s="21" t="str">
        <f aca="false">IF(B921="","",IF(B921&lt;&gt;B920,1,0))</f>
        <v/>
      </c>
    </row>
    <row r="922" customFormat="false" ht="15" hidden="false" customHeight="true" outlineLevel="0" collapsed="false">
      <c r="A922" s="21" t="str">
        <f aca="false">IF(B922="","",ROW()-4)</f>
        <v/>
      </c>
      <c r="B922" s="22"/>
      <c r="C922" s="21" t="str">
        <f aca="false">IF(B922="","",CHOOSE(WEEKDAY(B922,2),"LUNES","MARTES","MIÉRCOLES","JUEVES","VIERNES","SÁBADO","DOMINGO"))</f>
        <v/>
      </c>
      <c r="M922" s="23"/>
      <c r="Q922" s="21" t="str">
        <f aca="false">IF(OR(K922="",N922=""),"",K922-N922)</f>
        <v/>
      </c>
      <c r="R922" s="21" t="str">
        <f aca="false">IF(OR(J922="",K922=""),"",J922*K922)</f>
        <v/>
      </c>
      <c r="S922" s="21" t="str">
        <f aca="false">IF(AND(ISNUMBER(J922),ISNUMBER(K922),F922&lt;&gt;"Calentamiento",F922&lt;&gt;"Bilbo"),IF(AND(K922&gt;0,K922&lt;=12),ROUND(J922*(1+(K922+IF(ISNUMBER(L922),L922,0))/30),1),""),"")</f>
        <v/>
      </c>
      <c r="T922" s="21" t="str">
        <f aca="false">IF(AND(F922="Bilbo",ISNUMBER(J922),ISNUMBER(K922)),ROUND(J922*(1+K922/30),1),"")</f>
        <v/>
      </c>
      <c r="W922" s="22"/>
      <c r="X922" s="21" t="str">
        <f aca="false">IF(AND(F922="Bilbo",E922&lt;&gt;"",G922&lt;&gt;"",H922&lt;&gt;""),E922&amp;"|"&amp;G922&amp;"|"&amp;H922,"")</f>
        <v/>
      </c>
      <c r="Y922" s="21" t="str">
        <f aca="false">IF(B922="","",IF(B922&lt;&gt;B921,1,0))</f>
        <v/>
      </c>
    </row>
    <row r="923" customFormat="false" ht="15" hidden="false" customHeight="true" outlineLevel="0" collapsed="false">
      <c r="A923" s="21" t="str">
        <f aca="false">IF(B923="","",ROW()-4)</f>
        <v/>
      </c>
      <c r="B923" s="22"/>
      <c r="C923" s="21" t="str">
        <f aca="false">IF(B923="","",CHOOSE(WEEKDAY(B923,2),"LUNES","MARTES","MIÉRCOLES","JUEVES","VIERNES","SÁBADO","DOMINGO"))</f>
        <v/>
      </c>
      <c r="M923" s="23"/>
      <c r="Q923" s="21" t="str">
        <f aca="false">IF(OR(K923="",N923=""),"",K923-N923)</f>
        <v/>
      </c>
      <c r="R923" s="21" t="str">
        <f aca="false">IF(OR(J923="",K923=""),"",J923*K923)</f>
        <v/>
      </c>
      <c r="S923" s="21" t="str">
        <f aca="false">IF(AND(ISNUMBER(J923),ISNUMBER(K923),F923&lt;&gt;"Calentamiento",F923&lt;&gt;"Bilbo"),IF(AND(K923&gt;0,K923&lt;=12),ROUND(J923*(1+(K923+IF(ISNUMBER(L923),L923,0))/30),1),""),"")</f>
        <v/>
      </c>
      <c r="T923" s="21" t="str">
        <f aca="false">IF(AND(F923="Bilbo",ISNUMBER(J923),ISNUMBER(K923)),ROUND(J923*(1+K923/30),1),"")</f>
        <v/>
      </c>
      <c r="W923" s="22"/>
      <c r="X923" s="21" t="str">
        <f aca="false">IF(AND(F923="Bilbo",E923&lt;&gt;"",G923&lt;&gt;"",H923&lt;&gt;""),E923&amp;"|"&amp;G923&amp;"|"&amp;H923,"")</f>
        <v/>
      </c>
      <c r="Y923" s="21" t="str">
        <f aca="false">IF(B923="","",IF(B923&lt;&gt;B922,1,0))</f>
        <v/>
      </c>
    </row>
    <row r="924" customFormat="false" ht="15" hidden="false" customHeight="true" outlineLevel="0" collapsed="false">
      <c r="A924" s="21" t="str">
        <f aca="false">IF(B924="","",ROW()-4)</f>
        <v/>
      </c>
      <c r="B924" s="22"/>
      <c r="C924" s="21" t="str">
        <f aca="false">IF(B924="","",CHOOSE(WEEKDAY(B924,2),"LUNES","MARTES","MIÉRCOLES","JUEVES","VIERNES","SÁBADO","DOMINGO"))</f>
        <v/>
      </c>
      <c r="M924" s="23"/>
      <c r="Q924" s="21" t="str">
        <f aca="false">IF(OR(K924="",N924=""),"",K924-N924)</f>
        <v/>
      </c>
      <c r="R924" s="21" t="str">
        <f aca="false">IF(OR(J924="",K924=""),"",J924*K924)</f>
        <v/>
      </c>
      <c r="S924" s="21" t="str">
        <f aca="false">IF(AND(ISNUMBER(J924),ISNUMBER(K924),F924&lt;&gt;"Calentamiento",F924&lt;&gt;"Bilbo"),IF(AND(K924&gt;0,K924&lt;=12),ROUND(J924*(1+(K924+IF(ISNUMBER(L924),L924,0))/30),1),""),"")</f>
        <v/>
      </c>
      <c r="T924" s="21" t="str">
        <f aca="false">IF(AND(F924="Bilbo",ISNUMBER(J924),ISNUMBER(K924)),ROUND(J924*(1+K924/30),1),"")</f>
        <v/>
      </c>
      <c r="W924" s="22"/>
      <c r="X924" s="21" t="str">
        <f aca="false">IF(AND(F924="Bilbo",E924&lt;&gt;"",G924&lt;&gt;"",H924&lt;&gt;""),E924&amp;"|"&amp;G924&amp;"|"&amp;H924,"")</f>
        <v/>
      </c>
      <c r="Y924" s="21" t="str">
        <f aca="false">IF(B924="","",IF(B924&lt;&gt;B923,1,0))</f>
        <v/>
      </c>
    </row>
    <row r="925" customFormat="false" ht="15" hidden="false" customHeight="true" outlineLevel="0" collapsed="false">
      <c r="A925" s="21" t="str">
        <f aca="false">IF(B925="","",ROW()-4)</f>
        <v/>
      </c>
      <c r="B925" s="22"/>
      <c r="C925" s="21" t="str">
        <f aca="false">IF(B925="","",CHOOSE(WEEKDAY(B925,2),"LUNES","MARTES","MIÉRCOLES","JUEVES","VIERNES","SÁBADO","DOMINGO"))</f>
        <v/>
      </c>
      <c r="M925" s="23"/>
      <c r="Q925" s="21" t="str">
        <f aca="false">IF(OR(K925="",N925=""),"",K925-N925)</f>
        <v/>
      </c>
      <c r="R925" s="21" t="str">
        <f aca="false">IF(OR(J925="",K925=""),"",J925*K925)</f>
        <v/>
      </c>
      <c r="S925" s="21" t="str">
        <f aca="false">IF(AND(ISNUMBER(J925),ISNUMBER(K925),F925&lt;&gt;"Calentamiento",F925&lt;&gt;"Bilbo"),IF(AND(K925&gt;0,K925&lt;=12),ROUND(J925*(1+(K925+IF(ISNUMBER(L925),L925,0))/30),1),""),"")</f>
        <v/>
      </c>
      <c r="T925" s="21" t="str">
        <f aca="false">IF(AND(F925="Bilbo",ISNUMBER(J925),ISNUMBER(K925)),ROUND(J925*(1+K925/30),1),"")</f>
        <v/>
      </c>
      <c r="W925" s="22"/>
      <c r="X925" s="21" t="str">
        <f aca="false">IF(AND(F925="Bilbo",E925&lt;&gt;"",G925&lt;&gt;"",H925&lt;&gt;""),E925&amp;"|"&amp;G925&amp;"|"&amp;H925,"")</f>
        <v/>
      </c>
      <c r="Y925" s="21" t="str">
        <f aca="false">IF(B925="","",IF(B925&lt;&gt;B924,1,0))</f>
        <v/>
      </c>
    </row>
    <row r="926" customFormat="false" ht="15" hidden="false" customHeight="true" outlineLevel="0" collapsed="false">
      <c r="A926" s="21" t="str">
        <f aca="false">IF(B926="","",ROW()-4)</f>
        <v/>
      </c>
      <c r="B926" s="22"/>
      <c r="C926" s="21" t="str">
        <f aca="false">IF(B926="","",CHOOSE(WEEKDAY(B926,2),"LUNES","MARTES","MIÉRCOLES","JUEVES","VIERNES","SÁBADO","DOMINGO"))</f>
        <v/>
      </c>
      <c r="M926" s="23"/>
      <c r="Q926" s="21" t="str">
        <f aca="false">IF(OR(K926="",N926=""),"",K926-N926)</f>
        <v/>
      </c>
      <c r="R926" s="21" t="str">
        <f aca="false">IF(OR(J926="",K926=""),"",J926*K926)</f>
        <v/>
      </c>
      <c r="S926" s="21" t="str">
        <f aca="false">IF(AND(ISNUMBER(J926),ISNUMBER(K926),F926&lt;&gt;"Calentamiento",F926&lt;&gt;"Bilbo"),IF(AND(K926&gt;0,K926&lt;=12),ROUND(J926*(1+(K926+IF(ISNUMBER(L926),L926,0))/30),1),""),"")</f>
        <v/>
      </c>
      <c r="T926" s="21" t="str">
        <f aca="false">IF(AND(F926="Bilbo",ISNUMBER(J926),ISNUMBER(K926)),ROUND(J926*(1+K926/30),1),"")</f>
        <v/>
      </c>
      <c r="W926" s="22"/>
      <c r="X926" s="21" t="str">
        <f aca="false">IF(AND(F926="Bilbo",E926&lt;&gt;"",G926&lt;&gt;"",H926&lt;&gt;""),E926&amp;"|"&amp;G926&amp;"|"&amp;H926,"")</f>
        <v/>
      </c>
      <c r="Y926" s="21" t="str">
        <f aca="false">IF(B926="","",IF(B926&lt;&gt;B925,1,0))</f>
        <v/>
      </c>
    </row>
    <row r="927" customFormat="false" ht="15" hidden="false" customHeight="true" outlineLevel="0" collapsed="false">
      <c r="A927" s="21" t="str">
        <f aca="false">IF(B927="","",ROW()-4)</f>
        <v/>
      </c>
      <c r="B927" s="22"/>
      <c r="C927" s="21" t="str">
        <f aca="false">IF(B927="","",CHOOSE(WEEKDAY(B927,2),"LUNES","MARTES","MIÉRCOLES","JUEVES","VIERNES","SÁBADO","DOMINGO"))</f>
        <v/>
      </c>
      <c r="M927" s="23"/>
      <c r="Q927" s="21" t="str">
        <f aca="false">IF(OR(K927="",N927=""),"",K927-N927)</f>
        <v/>
      </c>
      <c r="R927" s="21" t="str">
        <f aca="false">IF(OR(J927="",K927=""),"",J927*K927)</f>
        <v/>
      </c>
      <c r="S927" s="21" t="str">
        <f aca="false">IF(AND(ISNUMBER(J927),ISNUMBER(K927),F927&lt;&gt;"Calentamiento",F927&lt;&gt;"Bilbo"),IF(AND(K927&gt;0,K927&lt;=12),ROUND(J927*(1+(K927+IF(ISNUMBER(L927),L927,0))/30),1),""),"")</f>
        <v/>
      </c>
      <c r="T927" s="21" t="str">
        <f aca="false">IF(AND(F927="Bilbo",ISNUMBER(J927),ISNUMBER(K927)),ROUND(J927*(1+K927/30),1),"")</f>
        <v/>
      </c>
      <c r="W927" s="22"/>
      <c r="X927" s="21" t="str">
        <f aca="false">IF(AND(F927="Bilbo",E927&lt;&gt;"",G927&lt;&gt;"",H927&lt;&gt;""),E927&amp;"|"&amp;G927&amp;"|"&amp;H927,"")</f>
        <v/>
      </c>
      <c r="Y927" s="21" t="str">
        <f aca="false">IF(B927="","",IF(B927&lt;&gt;B926,1,0))</f>
        <v/>
      </c>
    </row>
    <row r="928" customFormat="false" ht="15" hidden="false" customHeight="true" outlineLevel="0" collapsed="false">
      <c r="A928" s="21" t="str">
        <f aca="false">IF(B928="","",ROW()-4)</f>
        <v/>
      </c>
      <c r="B928" s="22"/>
      <c r="C928" s="21" t="str">
        <f aca="false">IF(B928="","",CHOOSE(WEEKDAY(B928,2),"LUNES","MARTES","MIÉRCOLES","JUEVES","VIERNES","SÁBADO","DOMINGO"))</f>
        <v/>
      </c>
      <c r="M928" s="23"/>
      <c r="Q928" s="21" t="str">
        <f aca="false">IF(OR(K928="",N928=""),"",K928-N928)</f>
        <v/>
      </c>
      <c r="R928" s="21" t="str">
        <f aca="false">IF(OR(J928="",K928=""),"",J928*K928)</f>
        <v/>
      </c>
      <c r="S928" s="21" t="str">
        <f aca="false">IF(AND(ISNUMBER(J928),ISNUMBER(K928),F928&lt;&gt;"Calentamiento",F928&lt;&gt;"Bilbo"),IF(AND(K928&gt;0,K928&lt;=12),ROUND(J928*(1+(K928+IF(ISNUMBER(L928),L928,0))/30),1),""),"")</f>
        <v/>
      </c>
      <c r="T928" s="21" t="str">
        <f aca="false">IF(AND(F928="Bilbo",ISNUMBER(J928),ISNUMBER(K928)),ROUND(J928*(1+K928/30),1),"")</f>
        <v/>
      </c>
      <c r="W928" s="22"/>
      <c r="X928" s="21" t="str">
        <f aca="false">IF(AND(F928="Bilbo",E928&lt;&gt;"",G928&lt;&gt;"",H928&lt;&gt;""),E928&amp;"|"&amp;G928&amp;"|"&amp;H928,"")</f>
        <v/>
      </c>
      <c r="Y928" s="21" t="str">
        <f aca="false">IF(B928="","",IF(B928&lt;&gt;B927,1,0))</f>
        <v/>
      </c>
    </row>
    <row r="929" customFormat="false" ht="15" hidden="false" customHeight="true" outlineLevel="0" collapsed="false">
      <c r="A929" s="21" t="str">
        <f aca="false">IF(B929="","",ROW()-4)</f>
        <v/>
      </c>
      <c r="B929" s="22"/>
      <c r="C929" s="21" t="str">
        <f aca="false">IF(B929="","",CHOOSE(WEEKDAY(B929,2),"LUNES","MARTES","MIÉRCOLES","JUEVES","VIERNES","SÁBADO","DOMINGO"))</f>
        <v/>
      </c>
      <c r="M929" s="23"/>
      <c r="Q929" s="21" t="str">
        <f aca="false">IF(OR(K929="",N929=""),"",K929-N929)</f>
        <v/>
      </c>
      <c r="R929" s="21" t="str">
        <f aca="false">IF(OR(J929="",K929=""),"",J929*K929)</f>
        <v/>
      </c>
      <c r="S929" s="21" t="str">
        <f aca="false">IF(AND(ISNUMBER(J929),ISNUMBER(K929),F929&lt;&gt;"Calentamiento",F929&lt;&gt;"Bilbo"),IF(AND(K929&gt;0,K929&lt;=12),ROUND(J929*(1+(K929+IF(ISNUMBER(L929),L929,0))/30),1),""),"")</f>
        <v/>
      </c>
      <c r="T929" s="21" t="str">
        <f aca="false">IF(AND(F929="Bilbo",ISNUMBER(J929),ISNUMBER(K929)),ROUND(J929*(1+K929/30),1),"")</f>
        <v/>
      </c>
      <c r="W929" s="22"/>
      <c r="X929" s="21" t="str">
        <f aca="false">IF(AND(F929="Bilbo",E929&lt;&gt;"",G929&lt;&gt;"",H929&lt;&gt;""),E929&amp;"|"&amp;G929&amp;"|"&amp;H929,"")</f>
        <v/>
      </c>
      <c r="Y929" s="21" t="str">
        <f aca="false">IF(B929="","",IF(B929&lt;&gt;B928,1,0))</f>
        <v/>
      </c>
    </row>
    <row r="930" customFormat="false" ht="15" hidden="false" customHeight="true" outlineLevel="0" collapsed="false">
      <c r="A930" s="21" t="str">
        <f aca="false">IF(B930="","",ROW()-4)</f>
        <v/>
      </c>
      <c r="B930" s="22"/>
      <c r="C930" s="21" t="str">
        <f aca="false">IF(B930="","",CHOOSE(WEEKDAY(B930,2),"LUNES","MARTES","MIÉRCOLES","JUEVES","VIERNES","SÁBADO","DOMINGO"))</f>
        <v/>
      </c>
      <c r="M930" s="23"/>
      <c r="Q930" s="21" t="str">
        <f aca="false">IF(OR(K930="",N930=""),"",K930-N930)</f>
        <v/>
      </c>
      <c r="R930" s="21" t="str">
        <f aca="false">IF(OR(J930="",K930=""),"",J930*K930)</f>
        <v/>
      </c>
      <c r="S930" s="21" t="str">
        <f aca="false">IF(AND(ISNUMBER(J930),ISNUMBER(K930),F930&lt;&gt;"Calentamiento",F930&lt;&gt;"Bilbo"),IF(AND(K930&gt;0,K930&lt;=12),ROUND(J930*(1+(K930+IF(ISNUMBER(L930),L930,0))/30),1),""),"")</f>
        <v/>
      </c>
      <c r="T930" s="21" t="str">
        <f aca="false">IF(AND(F930="Bilbo",ISNUMBER(J930),ISNUMBER(K930)),ROUND(J930*(1+K930/30),1),"")</f>
        <v/>
      </c>
      <c r="W930" s="22"/>
      <c r="X930" s="21" t="str">
        <f aca="false">IF(AND(F930="Bilbo",E930&lt;&gt;"",G930&lt;&gt;"",H930&lt;&gt;""),E930&amp;"|"&amp;G930&amp;"|"&amp;H930,"")</f>
        <v/>
      </c>
      <c r="Y930" s="21" t="str">
        <f aca="false">IF(B930="","",IF(B930&lt;&gt;B929,1,0))</f>
        <v/>
      </c>
    </row>
    <row r="931" customFormat="false" ht="15" hidden="false" customHeight="true" outlineLevel="0" collapsed="false">
      <c r="A931" s="21" t="str">
        <f aca="false">IF(B931="","",ROW()-4)</f>
        <v/>
      </c>
      <c r="B931" s="22"/>
      <c r="C931" s="21" t="str">
        <f aca="false">IF(B931="","",CHOOSE(WEEKDAY(B931,2),"LUNES","MARTES","MIÉRCOLES","JUEVES","VIERNES","SÁBADO","DOMINGO"))</f>
        <v/>
      </c>
      <c r="M931" s="23"/>
      <c r="Q931" s="21" t="str">
        <f aca="false">IF(OR(K931="",N931=""),"",K931-N931)</f>
        <v/>
      </c>
      <c r="R931" s="21" t="str">
        <f aca="false">IF(OR(J931="",K931=""),"",J931*K931)</f>
        <v/>
      </c>
      <c r="S931" s="21" t="str">
        <f aca="false">IF(AND(ISNUMBER(J931),ISNUMBER(K931),F931&lt;&gt;"Calentamiento",F931&lt;&gt;"Bilbo"),IF(AND(K931&gt;0,K931&lt;=12),ROUND(J931*(1+(K931+IF(ISNUMBER(L931),L931,0))/30),1),""),"")</f>
        <v/>
      </c>
      <c r="T931" s="21" t="str">
        <f aca="false">IF(AND(F931="Bilbo",ISNUMBER(J931),ISNUMBER(K931)),ROUND(J931*(1+K931/30),1),"")</f>
        <v/>
      </c>
      <c r="W931" s="22"/>
      <c r="X931" s="21" t="str">
        <f aca="false">IF(AND(F931="Bilbo",E931&lt;&gt;"",G931&lt;&gt;"",H931&lt;&gt;""),E931&amp;"|"&amp;G931&amp;"|"&amp;H931,"")</f>
        <v/>
      </c>
      <c r="Y931" s="21" t="str">
        <f aca="false">IF(B931="","",IF(B931&lt;&gt;B930,1,0))</f>
        <v/>
      </c>
    </row>
    <row r="932" customFormat="false" ht="15" hidden="false" customHeight="true" outlineLevel="0" collapsed="false">
      <c r="A932" s="21" t="str">
        <f aca="false">IF(B932="","",ROW()-4)</f>
        <v/>
      </c>
      <c r="B932" s="22"/>
      <c r="C932" s="21" t="str">
        <f aca="false">IF(B932="","",CHOOSE(WEEKDAY(B932,2),"LUNES","MARTES","MIÉRCOLES","JUEVES","VIERNES","SÁBADO","DOMINGO"))</f>
        <v/>
      </c>
      <c r="M932" s="23"/>
      <c r="Q932" s="21" t="str">
        <f aca="false">IF(OR(K932="",N932=""),"",K932-N932)</f>
        <v/>
      </c>
      <c r="R932" s="21" t="str">
        <f aca="false">IF(OR(J932="",K932=""),"",J932*K932)</f>
        <v/>
      </c>
      <c r="S932" s="21" t="str">
        <f aca="false">IF(AND(ISNUMBER(J932),ISNUMBER(K932),F932&lt;&gt;"Calentamiento",F932&lt;&gt;"Bilbo"),IF(AND(K932&gt;0,K932&lt;=12),ROUND(J932*(1+(K932+IF(ISNUMBER(L932),L932,0))/30),1),""),"")</f>
        <v/>
      </c>
      <c r="T932" s="21" t="str">
        <f aca="false">IF(AND(F932="Bilbo",ISNUMBER(J932),ISNUMBER(K932)),ROUND(J932*(1+K932/30),1),"")</f>
        <v/>
      </c>
      <c r="W932" s="22"/>
      <c r="X932" s="21" t="str">
        <f aca="false">IF(AND(F932="Bilbo",E932&lt;&gt;"",G932&lt;&gt;"",H932&lt;&gt;""),E932&amp;"|"&amp;G932&amp;"|"&amp;H932,"")</f>
        <v/>
      </c>
      <c r="Y932" s="21" t="str">
        <f aca="false">IF(B932="","",IF(B932&lt;&gt;B931,1,0))</f>
        <v/>
      </c>
    </row>
    <row r="933" customFormat="false" ht="15" hidden="false" customHeight="true" outlineLevel="0" collapsed="false">
      <c r="A933" s="21" t="str">
        <f aca="false">IF(B933="","",ROW()-4)</f>
        <v/>
      </c>
      <c r="B933" s="22"/>
      <c r="C933" s="21" t="str">
        <f aca="false">IF(B933="","",CHOOSE(WEEKDAY(B933,2),"LUNES","MARTES","MIÉRCOLES","JUEVES","VIERNES","SÁBADO","DOMINGO"))</f>
        <v/>
      </c>
      <c r="M933" s="23"/>
      <c r="Q933" s="21" t="str">
        <f aca="false">IF(OR(K933="",N933=""),"",K933-N933)</f>
        <v/>
      </c>
      <c r="R933" s="21" t="str">
        <f aca="false">IF(OR(J933="",K933=""),"",J933*K933)</f>
        <v/>
      </c>
      <c r="S933" s="21" t="str">
        <f aca="false">IF(AND(ISNUMBER(J933),ISNUMBER(K933),F933&lt;&gt;"Calentamiento",F933&lt;&gt;"Bilbo"),IF(AND(K933&gt;0,K933&lt;=12),ROUND(J933*(1+(K933+IF(ISNUMBER(L933),L933,0))/30),1),""),"")</f>
        <v/>
      </c>
      <c r="T933" s="21" t="str">
        <f aca="false">IF(AND(F933="Bilbo",ISNUMBER(J933),ISNUMBER(K933)),ROUND(J933*(1+K933/30),1),"")</f>
        <v/>
      </c>
      <c r="W933" s="22"/>
      <c r="X933" s="21" t="str">
        <f aca="false">IF(AND(F933="Bilbo",E933&lt;&gt;"",G933&lt;&gt;"",H933&lt;&gt;""),E933&amp;"|"&amp;G933&amp;"|"&amp;H933,"")</f>
        <v/>
      </c>
      <c r="Y933" s="21" t="str">
        <f aca="false">IF(B933="","",IF(B933&lt;&gt;B932,1,0))</f>
        <v/>
      </c>
    </row>
    <row r="934" customFormat="false" ht="15" hidden="false" customHeight="true" outlineLevel="0" collapsed="false">
      <c r="A934" s="21" t="str">
        <f aca="false">IF(B934="","",ROW()-4)</f>
        <v/>
      </c>
      <c r="B934" s="22"/>
      <c r="C934" s="21" t="str">
        <f aca="false">IF(B934="","",CHOOSE(WEEKDAY(B934,2),"LUNES","MARTES","MIÉRCOLES","JUEVES","VIERNES","SÁBADO","DOMINGO"))</f>
        <v/>
      </c>
      <c r="M934" s="23"/>
      <c r="Q934" s="21" t="str">
        <f aca="false">IF(OR(K934="",N934=""),"",K934-N934)</f>
        <v/>
      </c>
      <c r="R934" s="21" t="str">
        <f aca="false">IF(OR(J934="",K934=""),"",J934*K934)</f>
        <v/>
      </c>
      <c r="S934" s="21" t="str">
        <f aca="false">IF(AND(ISNUMBER(J934),ISNUMBER(K934),F934&lt;&gt;"Calentamiento",F934&lt;&gt;"Bilbo"),IF(AND(K934&gt;0,K934&lt;=12),ROUND(J934*(1+(K934+IF(ISNUMBER(L934),L934,0))/30),1),""),"")</f>
        <v/>
      </c>
      <c r="T934" s="21" t="str">
        <f aca="false">IF(AND(F934="Bilbo",ISNUMBER(J934),ISNUMBER(K934)),ROUND(J934*(1+K934/30),1),"")</f>
        <v/>
      </c>
      <c r="W934" s="22"/>
      <c r="X934" s="21" t="str">
        <f aca="false">IF(AND(F934="Bilbo",E934&lt;&gt;"",G934&lt;&gt;"",H934&lt;&gt;""),E934&amp;"|"&amp;G934&amp;"|"&amp;H934,"")</f>
        <v/>
      </c>
      <c r="Y934" s="21" t="str">
        <f aca="false">IF(B934="","",IF(B934&lt;&gt;B933,1,0))</f>
        <v/>
      </c>
    </row>
    <row r="935" customFormat="false" ht="15" hidden="false" customHeight="true" outlineLevel="0" collapsed="false">
      <c r="A935" s="21" t="str">
        <f aca="false">IF(B935="","",ROW()-4)</f>
        <v/>
      </c>
      <c r="B935" s="22"/>
      <c r="C935" s="21" t="str">
        <f aca="false">IF(B935="","",CHOOSE(WEEKDAY(B935,2),"LUNES","MARTES","MIÉRCOLES","JUEVES","VIERNES","SÁBADO","DOMINGO"))</f>
        <v/>
      </c>
      <c r="M935" s="23"/>
      <c r="Q935" s="21" t="str">
        <f aca="false">IF(OR(K935="",N935=""),"",K935-N935)</f>
        <v/>
      </c>
      <c r="R935" s="21" t="str">
        <f aca="false">IF(OR(J935="",K935=""),"",J935*K935)</f>
        <v/>
      </c>
      <c r="S935" s="21" t="str">
        <f aca="false">IF(AND(ISNUMBER(J935),ISNUMBER(K935),F935&lt;&gt;"Calentamiento",F935&lt;&gt;"Bilbo"),IF(AND(K935&gt;0,K935&lt;=12),ROUND(J935*(1+(K935+IF(ISNUMBER(L935),L935,0))/30),1),""),"")</f>
        <v/>
      </c>
      <c r="T935" s="21" t="str">
        <f aca="false">IF(AND(F935="Bilbo",ISNUMBER(J935),ISNUMBER(K935)),ROUND(J935*(1+K935/30),1),"")</f>
        <v/>
      </c>
      <c r="W935" s="22"/>
      <c r="X935" s="21" t="str">
        <f aca="false">IF(AND(F935="Bilbo",E935&lt;&gt;"",G935&lt;&gt;"",H935&lt;&gt;""),E935&amp;"|"&amp;G935&amp;"|"&amp;H935,"")</f>
        <v/>
      </c>
      <c r="Y935" s="21" t="str">
        <f aca="false">IF(B935="","",IF(B935&lt;&gt;B934,1,0))</f>
        <v/>
      </c>
    </row>
    <row r="936" customFormat="false" ht="15" hidden="false" customHeight="true" outlineLevel="0" collapsed="false">
      <c r="A936" s="21" t="str">
        <f aca="false">IF(B936="","",ROW()-4)</f>
        <v/>
      </c>
      <c r="B936" s="22"/>
      <c r="C936" s="21" t="str">
        <f aca="false">IF(B936="","",CHOOSE(WEEKDAY(B936,2),"LUNES","MARTES","MIÉRCOLES","JUEVES","VIERNES","SÁBADO","DOMINGO"))</f>
        <v/>
      </c>
      <c r="M936" s="23"/>
      <c r="Q936" s="21" t="str">
        <f aca="false">IF(OR(K936="",N936=""),"",K936-N936)</f>
        <v/>
      </c>
      <c r="R936" s="21" t="str">
        <f aca="false">IF(OR(J936="",K936=""),"",J936*K936)</f>
        <v/>
      </c>
      <c r="S936" s="21" t="str">
        <f aca="false">IF(AND(ISNUMBER(J936),ISNUMBER(K936),F936&lt;&gt;"Calentamiento",F936&lt;&gt;"Bilbo"),IF(AND(K936&gt;0,K936&lt;=12),ROUND(J936*(1+(K936+IF(ISNUMBER(L936),L936,0))/30),1),""),"")</f>
        <v/>
      </c>
      <c r="T936" s="21" t="str">
        <f aca="false">IF(AND(F936="Bilbo",ISNUMBER(J936),ISNUMBER(K936)),ROUND(J936*(1+K936/30),1),"")</f>
        <v/>
      </c>
      <c r="W936" s="22"/>
      <c r="X936" s="21" t="str">
        <f aca="false">IF(AND(F936="Bilbo",E936&lt;&gt;"",G936&lt;&gt;"",H936&lt;&gt;""),E936&amp;"|"&amp;G936&amp;"|"&amp;H936,"")</f>
        <v/>
      </c>
      <c r="Y936" s="21" t="str">
        <f aca="false">IF(B936="","",IF(B936&lt;&gt;B935,1,0))</f>
        <v/>
      </c>
    </row>
    <row r="937" customFormat="false" ht="15" hidden="false" customHeight="true" outlineLevel="0" collapsed="false">
      <c r="A937" s="21" t="str">
        <f aca="false">IF(B937="","",ROW()-4)</f>
        <v/>
      </c>
      <c r="B937" s="22"/>
      <c r="C937" s="21" t="str">
        <f aca="false">IF(B937="","",CHOOSE(WEEKDAY(B937,2),"LUNES","MARTES","MIÉRCOLES","JUEVES","VIERNES","SÁBADO","DOMINGO"))</f>
        <v/>
      </c>
      <c r="M937" s="23"/>
      <c r="Q937" s="21" t="str">
        <f aca="false">IF(OR(K937="",N937=""),"",K937-N937)</f>
        <v/>
      </c>
      <c r="R937" s="21" t="str">
        <f aca="false">IF(OR(J937="",K937=""),"",J937*K937)</f>
        <v/>
      </c>
      <c r="S937" s="21" t="str">
        <f aca="false">IF(AND(ISNUMBER(J937),ISNUMBER(K937),F937&lt;&gt;"Calentamiento",F937&lt;&gt;"Bilbo"),IF(AND(K937&gt;0,K937&lt;=12),ROUND(J937*(1+(K937+IF(ISNUMBER(L937),L937,0))/30),1),""),"")</f>
        <v/>
      </c>
      <c r="T937" s="21" t="str">
        <f aca="false">IF(AND(F937="Bilbo",ISNUMBER(J937),ISNUMBER(K937)),ROUND(J937*(1+K937/30),1),"")</f>
        <v/>
      </c>
      <c r="W937" s="22"/>
      <c r="X937" s="21" t="str">
        <f aca="false">IF(AND(F937="Bilbo",E937&lt;&gt;"",G937&lt;&gt;"",H937&lt;&gt;""),E937&amp;"|"&amp;G937&amp;"|"&amp;H937,"")</f>
        <v/>
      </c>
      <c r="Y937" s="21" t="str">
        <f aca="false">IF(B937="","",IF(B937&lt;&gt;B936,1,0))</f>
        <v/>
      </c>
    </row>
    <row r="938" customFormat="false" ht="15" hidden="false" customHeight="true" outlineLevel="0" collapsed="false">
      <c r="A938" s="21" t="str">
        <f aca="false">IF(B938="","",ROW()-4)</f>
        <v/>
      </c>
      <c r="B938" s="22"/>
      <c r="C938" s="21" t="str">
        <f aca="false">IF(B938="","",CHOOSE(WEEKDAY(B938,2),"LUNES","MARTES","MIÉRCOLES","JUEVES","VIERNES","SÁBADO","DOMINGO"))</f>
        <v/>
      </c>
      <c r="M938" s="23"/>
      <c r="Q938" s="21" t="str">
        <f aca="false">IF(OR(K938="",N938=""),"",K938-N938)</f>
        <v/>
      </c>
      <c r="R938" s="21" t="str">
        <f aca="false">IF(OR(J938="",K938=""),"",J938*K938)</f>
        <v/>
      </c>
      <c r="S938" s="21" t="str">
        <f aca="false">IF(AND(ISNUMBER(J938),ISNUMBER(K938),F938&lt;&gt;"Calentamiento",F938&lt;&gt;"Bilbo"),IF(AND(K938&gt;0,K938&lt;=12),ROUND(J938*(1+(K938+IF(ISNUMBER(L938),L938,0))/30),1),""),"")</f>
        <v/>
      </c>
      <c r="T938" s="21" t="str">
        <f aca="false">IF(AND(F938="Bilbo",ISNUMBER(J938),ISNUMBER(K938)),ROUND(J938*(1+K938/30),1),"")</f>
        <v/>
      </c>
      <c r="W938" s="22"/>
      <c r="X938" s="21" t="str">
        <f aca="false">IF(AND(F938="Bilbo",E938&lt;&gt;"",G938&lt;&gt;"",H938&lt;&gt;""),E938&amp;"|"&amp;G938&amp;"|"&amp;H938,"")</f>
        <v/>
      </c>
      <c r="Y938" s="21" t="str">
        <f aca="false">IF(B938="","",IF(B938&lt;&gt;B937,1,0))</f>
        <v/>
      </c>
    </row>
    <row r="939" customFormat="false" ht="15" hidden="false" customHeight="true" outlineLevel="0" collapsed="false">
      <c r="A939" s="21" t="str">
        <f aca="false">IF(B939="","",ROW()-4)</f>
        <v/>
      </c>
      <c r="B939" s="22"/>
      <c r="C939" s="21" t="str">
        <f aca="false">IF(B939="","",CHOOSE(WEEKDAY(B939,2),"LUNES","MARTES","MIÉRCOLES","JUEVES","VIERNES","SÁBADO","DOMINGO"))</f>
        <v/>
      </c>
      <c r="M939" s="23"/>
      <c r="Q939" s="21" t="str">
        <f aca="false">IF(OR(K939="",N939=""),"",K939-N939)</f>
        <v/>
      </c>
      <c r="R939" s="21" t="str">
        <f aca="false">IF(OR(J939="",K939=""),"",J939*K939)</f>
        <v/>
      </c>
      <c r="S939" s="21" t="str">
        <f aca="false">IF(AND(ISNUMBER(J939),ISNUMBER(K939),F939&lt;&gt;"Calentamiento",F939&lt;&gt;"Bilbo"),IF(AND(K939&gt;0,K939&lt;=12),ROUND(J939*(1+(K939+IF(ISNUMBER(L939),L939,0))/30),1),""),"")</f>
        <v/>
      </c>
      <c r="T939" s="21" t="str">
        <f aca="false">IF(AND(F939="Bilbo",ISNUMBER(J939),ISNUMBER(K939)),ROUND(J939*(1+K939/30),1),"")</f>
        <v/>
      </c>
      <c r="W939" s="22"/>
      <c r="X939" s="21" t="str">
        <f aca="false">IF(AND(F939="Bilbo",E939&lt;&gt;"",G939&lt;&gt;"",H939&lt;&gt;""),E939&amp;"|"&amp;G939&amp;"|"&amp;H939,"")</f>
        <v/>
      </c>
      <c r="Y939" s="21" t="str">
        <f aca="false">IF(B939="","",IF(B939&lt;&gt;B938,1,0))</f>
        <v/>
      </c>
    </row>
    <row r="940" customFormat="false" ht="15" hidden="false" customHeight="true" outlineLevel="0" collapsed="false">
      <c r="A940" s="21" t="str">
        <f aca="false">IF(B940="","",ROW()-4)</f>
        <v/>
      </c>
      <c r="B940" s="22"/>
      <c r="C940" s="21" t="str">
        <f aca="false">IF(B940="","",CHOOSE(WEEKDAY(B940,2),"LUNES","MARTES","MIÉRCOLES","JUEVES","VIERNES","SÁBADO","DOMINGO"))</f>
        <v/>
      </c>
      <c r="M940" s="23"/>
      <c r="Q940" s="21" t="str">
        <f aca="false">IF(OR(K940="",N940=""),"",K940-N940)</f>
        <v/>
      </c>
      <c r="R940" s="21" t="str">
        <f aca="false">IF(OR(J940="",K940=""),"",J940*K940)</f>
        <v/>
      </c>
      <c r="S940" s="21" t="str">
        <f aca="false">IF(AND(ISNUMBER(J940),ISNUMBER(K940),F940&lt;&gt;"Calentamiento",F940&lt;&gt;"Bilbo"),IF(AND(K940&gt;0,K940&lt;=12),ROUND(J940*(1+(K940+IF(ISNUMBER(L940),L940,0))/30),1),""),"")</f>
        <v/>
      </c>
      <c r="T940" s="21" t="str">
        <f aca="false">IF(AND(F940="Bilbo",ISNUMBER(J940),ISNUMBER(K940)),ROUND(J940*(1+K940/30),1),"")</f>
        <v/>
      </c>
      <c r="W940" s="22"/>
      <c r="X940" s="21" t="str">
        <f aca="false">IF(AND(F940="Bilbo",E940&lt;&gt;"",G940&lt;&gt;"",H940&lt;&gt;""),E940&amp;"|"&amp;G940&amp;"|"&amp;H940,"")</f>
        <v/>
      </c>
      <c r="Y940" s="21" t="str">
        <f aca="false">IF(B940="","",IF(B940&lt;&gt;B939,1,0))</f>
        <v/>
      </c>
    </row>
    <row r="941" customFormat="false" ht="15" hidden="false" customHeight="true" outlineLevel="0" collapsed="false">
      <c r="A941" s="21" t="str">
        <f aca="false">IF(B941="","",ROW()-4)</f>
        <v/>
      </c>
      <c r="B941" s="22"/>
      <c r="C941" s="21" t="str">
        <f aca="false">IF(B941="","",CHOOSE(WEEKDAY(B941,2),"LUNES","MARTES","MIÉRCOLES","JUEVES","VIERNES","SÁBADO","DOMINGO"))</f>
        <v/>
      </c>
      <c r="M941" s="23"/>
      <c r="Q941" s="21" t="str">
        <f aca="false">IF(OR(K941="",N941=""),"",K941-N941)</f>
        <v/>
      </c>
      <c r="R941" s="21" t="str">
        <f aca="false">IF(OR(J941="",K941=""),"",J941*K941)</f>
        <v/>
      </c>
      <c r="S941" s="21" t="str">
        <f aca="false">IF(AND(ISNUMBER(J941),ISNUMBER(K941),F941&lt;&gt;"Calentamiento",F941&lt;&gt;"Bilbo"),IF(AND(K941&gt;0,K941&lt;=12),ROUND(J941*(1+(K941+IF(ISNUMBER(L941),L941,0))/30),1),""),"")</f>
        <v/>
      </c>
      <c r="T941" s="21" t="str">
        <f aca="false">IF(AND(F941="Bilbo",ISNUMBER(J941),ISNUMBER(K941)),ROUND(J941*(1+K941/30),1),"")</f>
        <v/>
      </c>
      <c r="W941" s="22"/>
      <c r="X941" s="21" t="str">
        <f aca="false">IF(AND(F941="Bilbo",E941&lt;&gt;"",G941&lt;&gt;"",H941&lt;&gt;""),E941&amp;"|"&amp;G941&amp;"|"&amp;H941,"")</f>
        <v/>
      </c>
      <c r="Y941" s="21" t="str">
        <f aca="false">IF(B941="","",IF(B941&lt;&gt;B940,1,0))</f>
        <v/>
      </c>
    </row>
    <row r="942" customFormat="false" ht="15" hidden="false" customHeight="true" outlineLevel="0" collapsed="false">
      <c r="A942" s="21" t="str">
        <f aca="false">IF(B942="","",ROW()-4)</f>
        <v/>
      </c>
      <c r="B942" s="22"/>
      <c r="C942" s="21" t="str">
        <f aca="false">IF(B942="","",CHOOSE(WEEKDAY(B942,2),"LUNES","MARTES","MIÉRCOLES","JUEVES","VIERNES","SÁBADO","DOMINGO"))</f>
        <v/>
      </c>
      <c r="M942" s="23"/>
      <c r="Q942" s="21" t="str">
        <f aca="false">IF(OR(K942="",N942=""),"",K942-N942)</f>
        <v/>
      </c>
      <c r="R942" s="21" t="str">
        <f aca="false">IF(OR(J942="",K942=""),"",J942*K942)</f>
        <v/>
      </c>
      <c r="S942" s="21" t="str">
        <f aca="false">IF(AND(ISNUMBER(J942),ISNUMBER(K942),F942&lt;&gt;"Calentamiento",F942&lt;&gt;"Bilbo"),IF(AND(K942&gt;0,K942&lt;=12),ROUND(J942*(1+(K942+IF(ISNUMBER(L942),L942,0))/30),1),""),"")</f>
        <v/>
      </c>
      <c r="T942" s="21" t="str">
        <f aca="false">IF(AND(F942="Bilbo",ISNUMBER(J942),ISNUMBER(K942)),ROUND(J942*(1+K942/30),1),"")</f>
        <v/>
      </c>
      <c r="W942" s="22"/>
      <c r="X942" s="21" t="str">
        <f aca="false">IF(AND(F942="Bilbo",E942&lt;&gt;"",G942&lt;&gt;"",H942&lt;&gt;""),E942&amp;"|"&amp;G942&amp;"|"&amp;H942,"")</f>
        <v/>
      </c>
      <c r="Y942" s="21" t="str">
        <f aca="false">IF(B942="","",IF(B942&lt;&gt;B941,1,0))</f>
        <v/>
      </c>
    </row>
    <row r="943" customFormat="false" ht="15" hidden="false" customHeight="true" outlineLevel="0" collapsed="false">
      <c r="A943" s="21" t="str">
        <f aca="false">IF(B943="","",ROW()-4)</f>
        <v/>
      </c>
      <c r="B943" s="22"/>
      <c r="C943" s="21" t="str">
        <f aca="false">IF(B943="","",CHOOSE(WEEKDAY(B943,2),"LUNES","MARTES","MIÉRCOLES","JUEVES","VIERNES","SÁBADO","DOMINGO"))</f>
        <v/>
      </c>
      <c r="M943" s="23"/>
      <c r="Q943" s="21" t="str">
        <f aca="false">IF(OR(K943="",N943=""),"",K943-N943)</f>
        <v/>
      </c>
      <c r="R943" s="21" t="str">
        <f aca="false">IF(OR(J943="",K943=""),"",J943*K943)</f>
        <v/>
      </c>
      <c r="S943" s="21" t="str">
        <f aca="false">IF(AND(ISNUMBER(J943),ISNUMBER(K943),F943&lt;&gt;"Calentamiento",F943&lt;&gt;"Bilbo"),IF(AND(K943&gt;0,K943&lt;=12),ROUND(J943*(1+(K943+IF(ISNUMBER(L943),L943,0))/30),1),""),"")</f>
        <v/>
      </c>
      <c r="T943" s="21" t="str">
        <f aca="false">IF(AND(F943="Bilbo",ISNUMBER(J943),ISNUMBER(K943)),ROUND(J943*(1+K943/30),1),"")</f>
        <v/>
      </c>
      <c r="W943" s="22"/>
      <c r="X943" s="21" t="str">
        <f aca="false">IF(AND(F943="Bilbo",E943&lt;&gt;"",G943&lt;&gt;"",H943&lt;&gt;""),E943&amp;"|"&amp;G943&amp;"|"&amp;H943,"")</f>
        <v/>
      </c>
      <c r="Y943" s="21" t="str">
        <f aca="false">IF(B943="","",IF(B943&lt;&gt;B942,1,0))</f>
        <v/>
      </c>
    </row>
    <row r="944" customFormat="false" ht="15" hidden="false" customHeight="true" outlineLevel="0" collapsed="false">
      <c r="A944" s="21" t="str">
        <f aca="false">IF(B944="","",ROW()-4)</f>
        <v/>
      </c>
      <c r="B944" s="22"/>
      <c r="C944" s="21" t="str">
        <f aca="false">IF(B944="","",CHOOSE(WEEKDAY(B944,2),"LUNES","MARTES","MIÉRCOLES","JUEVES","VIERNES","SÁBADO","DOMINGO"))</f>
        <v/>
      </c>
      <c r="M944" s="23"/>
      <c r="Q944" s="21" t="str">
        <f aca="false">IF(OR(K944="",N944=""),"",K944-N944)</f>
        <v/>
      </c>
      <c r="R944" s="21" t="str">
        <f aca="false">IF(OR(J944="",K944=""),"",J944*K944)</f>
        <v/>
      </c>
      <c r="S944" s="21" t="str">
        <f aca="false">IF(AND(ISNUMBER(J944),ISNUMBER(K944),F944&lt;&gt;"Calentamiento",F944&lt;&gt;"Bilbo"),IF(AND(K944&gt;0,K944&lt;=12),ROUND(J944*(1+(K944+IF(ISNUMBER(L944),L944,0))/30),1),""),"")</f>
        <v/>
      </c>
      <c r="T944" s="21" t="str">
        <f aca="false">IF(AND(F944="Bilbo",ISNUMBER(J944),ISNUMBER(K944)),ROUND(J944*(1+K944/30),1),"")</f>
        <v/>
      </c>
      <c r="W944" s="22"/>
      <c r="X944" s="21" t="str">
        <f aca="false">IF(AND(F944="Bilbo",E944&lt;&gt;"",G944&lt;&gt;"",H944&lt;&gt;""),E944&amp;"|"&amp;G944&amp;"|"&amp;H944,"")</f>
        <v/>
      </c>
      <c r="Y944" s="21" t="str">
        <f aca="false">IF(B944="","",IF(B944&lt;&gt;B943,1,0))</f>
        <v/>
      </c>
    </row>
    <row r="945" customFormat="false" ht="15" hidden="false" customHeight="true" outlineLevel="0" collapsed="false">
      <c r="A945" s="21" t="str">
        <f aca="false">IF(B945="","",ROW()-4)</f>
        <v/>
      </c>
      <c r="B945" s="22"/>
      <c r="C945" s="21" t="str">
        <f aca="false">IF(B945="","",CHOOSE(WEEKDAY(B945,2),"LUNES","MARTES","MIÉRCOLES","JUEVES","VIERNES","SÁBADO","DOMINGO"))</f>
        <v/>
      </c>
      <c r="M945" s="23"/>
      <c r="Q945" s="21" t="str">
        <f aca="false">IF(OR(K945="",N945=""),"",K945-N945)</f>
        <v/>
      </c>
      <c r="R945" s="21" t="str">
        <f aca="false">IF(OR(J945="",K945=""),"",J945*K945)</f>
        <v/>
      </c>
      <c r="S945" s="21" t="str">
        <f aca="false">IF(AND(ISNUMBER(J945),ISNUMBER(K945),F945&lt;&gt;"Calentamiento",F945&lt;&gt;"Bilbo"),IF(AND(K945&gt;0,K945&lt;=12),ROUND(J945*(1+(K945+IF(ISNUMBER(L945),L945,0))/30),1),""),"")</f>
        <v/>
      </c>
      <c r="T945" s="21" t="str">
        <f aca="false">IF(AND(F945="Bilbo",ISNUMBER(J945),ISNUMBER(K945)),ROUND(J945*(1+K945/30),1),"")</f>
        <v/>
      </c>
      <c r="W945" s="22"/>
      <c r="X945" s="21" t="str">
        <f aca="false">IF(AND(F945="Bilbo",E945&lt;&gt;"",G945&lt;&gt;"",H945&lt;&gt;""),E945&amp;"|"&amp;G945&amp;"|"&amp;H945,"")</f>
        <v/>
      </c>
      <c r="Y945" s="21" t="str">
        <f aca="false">IF(B945="","",IF(B945&lt;&gt;B944,1,0))</f>
        <v/>
      </c>
    </row>
    <row r="946" customFormat="false" ht="15" hidden="false" customHeight="true" outlineLevel="0" collapsed="false">
      <c r="A946" s="21" t="str">
        <f aca="false">IF(B946="","",ROW()-4)</f>
        <v/>
      </c>
      <c r="B946" s="22"/>
      <c r="C946" s="21" t="str">
        <f aca="false">IF(B946="","",CHOOSE(WEEKDAY(B946,2),"LUNES","MARTES","MIÉRCOLES","JUEVES","VIERNES","SÁBADO","DOMINGO"))</f>
        <v/>
      </c>
      <c r="M946" s="23"/>
      <c r="Q946" s="21" t="str">
        <f aca="false">IF(OR(K946="",N946=""),"",K946-N946)</f>
        <v/>
      </c>
      <c r="R946" s="21" t="str">
        <f aca="false">IF(OR(J946="",K946=""),"",J946*K946)</f>
        <v/>
      </c>
      <c r="S946" s="21" t="str">
        <f aca="false">IF(AND(ISNUMBER(J946),ISNUMBER(K946),F946&lt;&gt;"Calentamiento",F946&lt;&gt;"Bilbo"),IF(AND(K946&gt;0,K946&lt;=12),ROUND(J946*(1+(K946+IF(ISNUMBER(L946),L946,0))/30),1),""),"")</f>
        <v/>
      </c>
      <c r="T946" s="21" t="str">
        <f aca="false">IF(AND(F946="Bilbo",ISNUMBER(J946),ISNUMBER(K946)),ROUND(J946*(1+K946/30),1),"")</f>
        <v/>
      </c>
      <c r="W946" s="22"/>
      <c r="X946" s="21" t="str">
        <f aca="false">IF(AND(F946="Bilbo",E946&lt;&gt;"",G946&lt;&gt;"",H946&lt;&gt;""),E946&amp;"|"&amp;G946&amp;"|"&amp;H946,"")</f>
        <v/>
      </c>
      <c r="Y946" s="21" t="str">
        <f aca="false">IF(B946="","",IF(B946&lt;&gt;B945,1,0))</f>
        <v/>
      </c>
    </row>
    <row r="947" customFormat="false" ht="15" hidden="false" customHeight="true" outlineLevel="0" collapsed="false">
      <c r="A947" s="21" t="str">
        <f aca="false">IF(B947="","",ROW()-4)</f>
        <v/>
      </c>
      <c r="B947" s="22"/>
      <c r="C947" s="21" t="str">
        <f aca="false">IF(B947="","",CHOOSE(WEEKDAY(B947,2),"LUNES","MARTES","MIÉRCOLES","JUEVES","VIERNES","SÁBADO","DOMINGO"))</f>
        <v/>
      </c>
      <c r="M947" s="23"/>
      <c r="Q947" s="21" t="str">
        <f aca="false">IF(OR(K947="",N947=""),"",K947-N947)</f>
        <v/>
      </c>
      <c r="R947" s="21" t="str">
        <f aca="false">IF(OR(J947="",K947=""),"",J947*K947)</f>
        <v/>
      </c>
      <c r="S947" s="21" t="str">
        <f aca="false">IF(AND(ISNUMBER(J947),ISNUMBER(K947),F947&lt;&gt;"Calentamiento",F947&lt;&gt;"Bilbo"),IF(AND(K947&gt;0,K947&lt;=12),ROUND(J947*(1+(K947+IF(ISNUMBER(L947),L947,0))/30),1),""),"")</f>
        <v/>
      </c>
      <c r="T947" s="21" t="str">
        <f aca="false">IF(AND(F947="Bilbo",ISNUMBER(J947),ISNUMBER(K947)),ROUND(J947*(1+K947/30),1),"")</f>
        <v/>
      </c>
      <c r="W947" s="22"/>
      <c r="X947" s="21" t="str">
        <f aca="false">IF(AND(F947="Bilbo",E947&lt;&gt;"",G947&lt;&gt;"",H947&lt;&gt;""),E947&amp;"|"&amp;G947&amp;"|"&amp;H947,"")</f>
        <v/>
      </c>
      <c r="Y947" s="21" t="str">
        <f aca="false">IF(B947="","",IF(B947&lt;&gt;B946,1,0))</f>
        <v/>
      </c>
    </row>
    <row r="948" customFormat="false" ht="15" hidden="false" customHeight="true" outlineLevel="0" collapsed="false">
      <c r="A948" s="21" t="str">
        <f aca="false">IF(B948="","",ROW()-4)</f>
        <v/>
      </c>
      <c r="B948" s="22"/>
      <c r="C948" s="21" t="str">
        <f aca="false">IF(B948="","",CHOOSE(WEEKDAY(B948,2),"LUNES","MARTES","MIÉRCOLES","JUEVES","VIERNES","SÁBADO","DOMINGO"))</f>
        <v/>
      </c>
      <c r="M948" s="23"/>
      <c r="Q948" s="21" t="str">
        <f aca="false">IF(OR(K948="",N948=""),"",K948-N948)</f>
        <v/>
      </c>
      <c r="R948" s="21" t="str">
        <f aca="false">IF(OR(J948="",K948=""),"",J948*K948)</f>
        <v/>
      </c>
      <c r="S948" s="21" t="str">
        <f aca="false">IF(AND(ISNUMBER(J948),ISNUMBER(K948),F948&lt;&gt;"Calentamiento",F948&lt;&gt;"Bilbo"),IF(AND(K948&gt;0,K948&lt;=12),ROUND(J948*(1+(K948+IF(ISNUMBER(L948),L948,0))/30),1),""),"")</f>
        <v/>
      </c>
      <c r="T948" s="21" t="str">
        <f aca="false">IF(AND(F948="Bilbo",ISNUMBER(J948),ISNUMBER(K948)),ROUND(J948*(1+K948/30),1),"")</f>
        <v/>
      </c>
      <c r="W948" s="22"/>
      <c r="X948" s="21" t="str">
        <f aca="false">IF(AND(F948="Bilbo",E948&lt;&gt;"",G948&lt;&gt;"",H948&lt;&gt;""),E948&amp;"|"&amp;G948&amp;"|"&amp;H948,"")</f>
        <v/>
      </c>
      <c r="Y948" s="21" t="str">
        <f aca="false">IF(B948="","",IF(B948&lt;&gt;B947,1,0))</f>
        <v/>
      </c>
    </row>
    <row r="949" customFormat="false" ht="15" hidden="false" customHeight="true" outlineLevel="0" collapsed="false">
      <c r="A949" s="21" t="str">
        <f aca="false">IF(B949="","",ROW()-4)</f>
        <v/>
      </c>
      <c r="B949" s="22"/>
      <c r="C949" s="21" t="str">
        <f aca="false">IF(B949="","",CHOOSE(WEEKDAY(B949,2),"LUNES","MARTES","MIÉRCOLES","JUEVES","VIERNES","SÁBADO","DOMINGO"))</f>
        <v/>
      </c>
      <c r="M949" s="23"/>
      <c r="Q949" s="21" t="str">
        <f aca="false">IF(OR(K949="",N949=""),"",K949-N949)</f>
        <v/>
      </c>
      <c r="R949" s="21" t="str">
        <f aca="false">IF(OR(J949="",K949=""),"",J949*K949)</f>
        <v/>
      </c>
      <c r="S949" s="21" t="str">
        <f aca="false">IF(AND(ISNUMBER(J949),ISNUMBER(K949),F949&lt;&gt;"Calentamiento",F949&lt;&gt;"Bilbo"),IF(AND(K949&gt;0,K949&lt;=12),ROUND(J949*(1+(K949+IF(ISNUMBER(L949),L949,0))/30),1),""),"")</f>
        <v/>
      </c>
      <c r="T949" s="21" t="str">
        <f aca="false">IF(AND(F949="Bilbo",ISNUMBER(J949),ISNUMBER(K949)),ROUND(J949*(1+K949/30),1),"")</f>
        <v/>
      </c>
      <c r="W949" s="22"/>
      <c r="X949" s="21" t="str">
        <f aca="false">IF(AND(F949="Bilbo",E949&lt;&gt;"",G949&lt;&gt;"",H949&lt;&gt;""),E949&amp;"|"&amp;G949&amp;"|"&amp;H949,"")</f>
        <v/>
      </c>
      <c r="Y949" s="21" t="str">
        <f aca="false">IF(B949="","",IF(B949&lt;&gt;B948,1,0))</f>
        <v/>
      </c>
    </row>
    <row r="950" customFormat="false" ht="15" hidden="false" customHeight="true" outlineLevel="0" collapsed="false">
      <c r="A950" s="21" t="str">
        <f aca="false">IF(B950="","",ROW()-4)</f>
        <v/>
      </c>
      <c r="B950" s="22"/>
      <c r="C950" s="21" t="str">
        <f aca="false">IF(B950="","",CHOOSE(WEEKDAY(B950,2),"LUNES","MARTES","MIÉRCOLES","JUEVES","VIERNES","SÁBADO","DOMINGO"))</f>
        <v/>
      </c>
      <c r="M950" s="23"/>
      <c r="Q950" s="21" t="str">
        <f aca="false">IF(OR(K950="",N950=""),"",K950-N950)</f>
        <v/>
      </c>
      <c r="R950" s="21" t="str">
        <f aca="false">IF(OR(J950="",K950=""),"",J950*K950)</f>
        <v/>
      </c>
      <c r="S950" s="21" t="str">
        <f aca="false">IF(AND(ISNUMBER(J950),ISNUMBER(K950),F950&lt;&gt;"Calentamiento",F950&lt;&gt;"Bilbo"),IF(AND(K950&gt;0,K950&lt;=12),ROUND(J950*(1+(K950+IF(ISNUMBER(L950),L950,0))/30),1),""),"")</f>
        <v/>
      </c>
      <c r="T950" s="21" t="str">
        <f aca="false">IF(AND(F950="Bilbo",ISNUMBER(J950),ISNUMBER(K950)),ROUND(J950*(1+K950/30),1),"")</f>
        <v/>
      </c>
      <c r="W950" s="22"/>
      <c r="X950" s="21" t="str">
        <f aca="false">IF(AND(F950="Bilbo",E950&lt;&gt;"",G950&lt;&gt;"",H950&lt;&gt;""),E950&amp;"|"&amp;G950&amp;"|"&amp;H950,"")</f>
        <v/>
      </c>
      <c r="Y950" s="21" t="str">
        <f aca="false">IF(B950="","",IF(B950&lt;&gt;B949,1,0))</f>
        <v/>
      </c>
    </row>
    <row r="951" customFormat="false" ht="15" hidden="false" customHeight="true" outlineLevel="0" collapsed="false">
      <c r="A951" s="21" t="str">
        <f aca="false">IF(B951="","",ROW()-4)</f>
        <v/>
      </c>
      <c r="B951" s="22"/>
      <c r="C951" s="21" t="str">
        <f aca="false">IF(B951="","",CHOOSE(WEEKDAY(B951,2),"LUNES","MARTES","MIÉRCOLES","JUEVES","VIERNES","SÁBADO","DOMINGO"))</f>
        <v/>
      </c>
      <c r="M951" s="23"/>
      <c r="Q951" s="21" t="str">
        <f aca="false">IF(OR(K951="",N951=""),"",K951-N951)</f>
        <v/>
      </c>
      <c r="R951" s="21" t="str">
        <f aca="false">IF(OR(J951="",K951=""),"",J951*K951)</f>
        <v/>
      </c>
      <c r="S951" s="21" t="str">
        <f aca="false">IF(AND(ISNUMBER(J951),ISNUMBER(K951),F951&lt;&gt;"Calentamiento",F951&lt;&gt;"Bilbo"),IF(AND(K951&gt;0,K951&lt;=12),ROUND(J951*(1+(K951+IF(ISNUMBER(L951),L951,0))/30),1),""),"")</f>
        <v/>
      </c>
      <c r="T951" s="21" t="str">
        <f aca="false">IF(AND(F951="Bilbo",ISNUMBER(J951),ISNUMBER(K951)),ROUND(J951*(1+K951/30),1),"")</f>
        <v/>
      </c>
      <c r="W951" s="22"/>
      <c r="X951" s="21" t="str">
        <f aca="false">IF(AND(F951="Bilbo",E951&lt;&gt;"",G951&lt;&gt;"",H951&lt;&gt;""),E951&amp;"|"&amp;G951&amp;"|"&amp;H951,"")</f>
        <v/>
      </c>
      <c r="Y951" s="21" t="str">
        <f aca="false">IF(B951="","",IF(B951&lt;&gt;B950,1,0))</f>
        <v/>
      </c>
    </row>
    <row r="952" customFormat="false" ht="15" hidden="false" customHeight="true" outlineLevel="0" collapsed="false">
      <c r="A952" s="21" t="str">
        <f aca="false">IF(B952="","",ROW()-4)</f>
        <v/>
      </c>
      <c r="B952" s="22"/>
      <c r="C952" s="21" t="str">
        <f aca="false">IF(B952="","",CHOOSE(WEEKDAY(B952,2),"LUNES","MARTES","MIÉRCOLES","JUEVES","VIERNES","SÁBADO","DOMINGO"))</f>
        <v/>
      </c>
      <c r="M952" s="23"/>
      <c r="Q952" s="21" t="str">
        <f aca="false">IF(OR(K952="",N952=""),"",K952-N952)</f>
        <v/>
      </c>
      <c r="R952" s="21" t="str">
        <f aca="false">IF(OR(J952="",K952=""),"",J952*K952)</f>
        <v/>
      </c>
      <c r="S952" s="21" t="str">
        <f aca="false">IF(AND(ISNUMBER(J952),ISNUMBER(K952),F952&lt;&gt;"Calentamiento",F952&lt;&gt;"Bilbo"),IF(AND(K952&gt;0,K952&lt;=12),ROUND(J952*(1+(K952+IF(ISNUMBER(L952),L952,0))/30),1),""),"")</f>
        <v/>
      </c>
      <c r="T952" s="21" t="str">
        <f aca="false">IF(AND(F952="Bilbo",ISNUMBER(J952),ISNUMBER(K952)),ROUND(J952*(1+K952/30),1),"")</f>
        <v/>
      </c>
      <c r="W952" s="22"/>
      <c r="X952" s="21" t="str">
        <f aca="false">IF(AND(F952="Bilbo",E952&lt;&gt;"",G952&lt;&gt;"",H952&lt;&gt;""),E952&amp;"|"&amp;G952&amp;"|"&amp;H952,"")</f>
        <v/>
      </c>
      <c r="Y952" s="21" t="str">
        <f aca="false">IF(B952="","",IF(B952&lt;&gt;B951,1,0))</f>
        <v/>
      </c>
    </row>
    <row r="953" customFormat="false" ht="15" hidden="false" customHeight="true" outlineLevel="0" collapsed="false">
      <c r="A953" s="21" t="str">
        <f aca="false">IF(B953="","",ROW()-4)</f>
        <v/>
      </c>
      <c r="B953" s="22"/>
      <c r="C953" s="21" t="str">
        <f aca="false">IF(B953="","",CHOOSE(WEEKDAY(B953,2),"LUNES","MARTES","MIÉRCOLES","JUEVES","VIERNES","SÁBADO","DOMINGO"))</f>
        <v/>
      </c>
      <c r="M953" s="23"/>
      <c r="Q953" s="21" t="str">
        <f aca="false">IF(OR(K953="",N953=""),"",K953-N953)</f>
        <v/>
      </c>
      <c r="R953" s="21" t="str">
        <f aca="false">IF(OR(J953="",K953=""),"",J953*K953)</f>
        <v/>
      </c>
      <c r="S953" s="21" t="str">
        <f aca="false">IF(AND(ISNUMBER(J953),ISNUMBER(K953),F953&lt;&gt;"Calentamiento",F953&lt;&gt;"Bilbo"),IF(AND(K953&gt;0,K953&lt;=12),ROUND(J953*(1+(K953+IF(ISNUMBER(L953),L953,0))/30),1),""),"")</f>
        <v/>
      </c>
      <c r="T953" s="21" t="str">
        <f aca="false">IF(AND(F953="Bilbo",ISNUMBER(J953),ISNUMBER(K953)),ROUND(J953*(1+K953/30),1),"")</f>
        <v/>
      </c>
      <c r="W953" s="22"/>
      <c r="X953" s="21" t="str">
        <f aca="false">IF(AND(F953="Bilbo",E953&lt;&gt;"",G953&lt;&gt;"",H953&lt;&gt;""),E953&amp;"|"&amp;G953&amp;"|"&amp;H953,"")</f>
        <v/>
      </c>
      <c r="Y953" s="21" t="str">
        <f aca="false">IF(B953="","",IF(B953&lt;&gt;B952,1,0))</f>
        <v/>
      </c>
    </row>
    <row r="954" customFormat="false" ht="15" hidden="false" customHeight="true" outlineLevel="0" collapsed="false">
      <c r="A954" s="21" t="str">
        <f aca="false">IF(B954="","",ROW()-4)</f>
        <v/>
      </c>
      <c r="B954" s="22"/>
      <c r="C954" s="21" t="str">
        <f aca="false">IF(B954="","",CHOOSE(WEEKDAY(B954,2),"LUNES","MARTES","MIÉRCOLES","JUEVES","VIERNES","SÁBADO","DOMINGO"))</f>
        <v/>
      </c>
      <c r="M954" s="23"/>
      <c r="Q954" s="21" t="str">
        <f aca="false">IF(OR(K954="",N954=""),"",K954-N954)</f>
        <v/>
      </c>
      <c r="R954" s="21" t="str">
        <f aca="false">IF(OR(J954="",K954=""),"",J954*K954)</f>
        <v/>
      </c>
      <c r="S954" s="21" t="str">
        <f aca="false">IF(AND(ISNUMBER(J954),ISNUMBER(K954),F954&lt;&gt;"Calentamiento",F954&lt;&gt;"Bilbo"),IF(AND(K954&gt;0,K954&lt;=12),ROUND(J954*(1+(K954+IF(ISNUMBER(L954),L954,0))/30),1),""),"")</f>
        <v/>
      </c>
      <c r="T954" s="21" t="str">
        <f aca="false">IF(AND(F954="Bilbo",ISNUMBER(J954),ISNUMBER(K954)),ROUND(J954*(1+K954/30),1),"")</f>
        <v/>
      </c>
      <c r="W954" s="22"/>
      <c r="X954" s="21" t="str">
        <f aca="false">IF(AND(F954="Bilbo",E954&lt;&gt;"",G954&lt;&gt;"",H954&lt;&gt;""),E954&amp;"|"&amp;G954&amp;"|"&amp;H954,"")</f>
        <v/>
      </c>
      <c r="Y954" s="21" t="str">
        <f aca="false">IF(B954="","",IF(B954&lt;&gt;B953,1,0))</f>
        <v/>
      </c>
    </row>
    <row r="955" customFormat="false" ht="15" hidden="false" customHeight="true" outlineLevel="0" collapsed="false">
      <c r="A955" s="21" t="str">
        <f aca="false">IF(B955="","",ROW()-4)</f>
        <v/>
      </c>
      <c r="B955" s="22"/>
      <c r="C955" s="21" t="str">
        <f aca="false">IF(B955="","",CHOOSE(WEEKDAY(B955,2),"LUNES","MARTES","MIÉRCOLES","JUEVES","VIERNES","SÁBADO","DOMINGO"))</f>
        <v/>
      </c>
      <c r="M955" s="23"/>
      <c r="Q955" s="21" t="str">
        <f aca="false">IF(OR(K955="",N955=""),"",K955-N955)</f>
        <v/>
      </c>
      <c r="R955" s="21" t="str">
        <f aca="false">IF(OR(J955="",K955=""),"",J955*K955)</f>
        <v/>
      </c>
      <c r="S955" s="21" t="str">
        <f aca="false">IF(AND(ISNUMBER(J955),ISNUMBER(K955),F955&lt;&gt;"Calentamiento",F955&lt;&gt;"Bilbo"),IF(AND(K955&gt;0,K955&lt;=12),ROUND(J955*(1+(K955+IF(ISNUMBER(L955),L955,0))/30),1),""),"")</f>
        <v/>
      </c>
      <c r="T955" s="21" t="str">
        <f aca="false">IF(AND(F955="Bilbo",ISNUMBER(J955),ISNUMBER(K955)),ROUND(J955*(1+K955/30),1),"")</f>
        <v/>
      </c>
      <c r="W955" s="22"/>
      <c r="X955" s="21" t="str">
        <f aca="false">IF(AND(F955="Bilbo",E955&lt;&gt;"",G955&lt;&gt;"",H955&lt;&gt;""),E955&amp;"|"&amp;G955&amp;"|"&amp;H955,"")</f>
        <v/>
      </c>
      <c r="Y955" s="21" t="str">
        <f aca="false">IF(B955="","",IF(B955&lt;&gt;B954,1,0))</f>
        <v/>
      </c>
    </row>
    <row r="956" customFormat="false" ht="15" hidden="false" customHeight="true" outlineLevel="0" collapsed="false">
      <c r="A956" s="21" t="str">
        <f aca="false">IF(B956="","",ROW()-4)</f>
        <v/>
      </c>
      <c r="B956" s="22"/>
      <c r="C956" s="21" t="str">
        <f aca="false">IF(B956="","",CHOOSE(WEEKDAY(B956,2),"LUNES","MARTES","MIÉRCOLES","JUEVES","VIERNES","SÁBADO","DOMINGO"))</f>
        <v/>
      </c>
      <c r="M956" s="23"/>
      <c r="Q956" s="21" t="str">
        <f aca="false">IF(OR(K956="",N956=""),"",K956-N956)</f>
        <v/>
      </c>
      <c r="R956" s="21" t="str">
        <f aca="false">IF(OR(J956="",K956=""),"",J956*K956)</f>
        <v/>
      </c>
      <c r="S956" s="21" t="str">
        <f aca="false">IF(AND(ISNUMBER(J956),ISNUMBER(K956),F956&lt;&gt;"Calentamiento",F956&lt;&gt;"Bilbo"),IF(AND(K956&gt;0,K956&lt;=12),ROUND(J956*(1+(K956+IF(ISNUMBER(L956),L956,0))/30),1),""),"")</f>
        <v/>
      </c>
      <c r="T956" s="21" t="str">
        <f aca="false">IF(AND(F956="Bilbo",ISNUMBER(J956),ISNUMBER(K956)),ROUND(J956*(1+K956/30),1),"")</f>
        <v/>
      </c>
      <c r="W956" s="22"/>
      <c r="X956" s="21" t="str">
        <f aca="false">IF(AND(F956="Bilbo",E956&lt;&gt;"",G956&lt;&gt;"",H956&lt;&gt;""),E956&amp;"|"&amp;G956&amp;"|"&amp;H956,"")</f>
        <v/>
      </c>
      <c r="Y956" s="21" t="str">
        <f aca="false">IF(B956="","",IF(B956&lt;&gt;B955,1,0))</f>
        <v/>
      </c>
    </row>
    <row r="957" customFormat="false" ht="15" hidden="false" customHeight="true" outlineLevel="0" collapsed="false">
      <c r="A957" s="21" t="str">
        <f aca="false">IF(B957="","",ROW()-4)</f>
        <v/>
      </c>
      <c r="B957" s="22"/>
      <c r="C957" s="21" t="str">
        <f aca="false">IF(B957="","",CHOOSE(WEEKDAY(B957,2),"LUNES","MARTES","MIÉRCOLES","JUEVES","VIERNES","SÁBADO","DOMINGO"))</f>
        <v/>
      </c>
      <c r="M957" s="23"/>
      <c r="Q957" s="21" t="str">
        <f aca="false">IF(OR(K957="",N957=""),"",K957-N957)</f>
        <v/>
      </c>
      <c r="R957" s="21" t="str">
        <f aca="false">IF(OR(J957="",K957=""),"",J957*K957)</f>
        <v/>
      </c>
      <c r="S957" s="21" t="str">
        <f aca="false">IF(AND(ISNUMBER(J957),ISNUMBER(K957),F957&lt;&gt;"Calentamiento",F957&lt;&gt;"Bilbo"),IF(AND(K957&gt;0,K957&lt;=12),ROUND(J957*(1+(K957+IF(ISNUMBER(L957),L957,0))/30),1),""),"")</f>
        <v/>
      </c>
      <c r="T957" s="21" t="str">
        <f aca="false">IF(AND(F957="Bilbo",ISNUMBER(J957),ISNUMBER(K957)),ROUND(J957*(1+K957/30),1),"")</f>
        <v/>
      </c>
      <c r="W957" s="22"/>
      <c r="X957" s="21" t="str">
        <f aca="false">IF(AND(F957="Bilbo",E957&lt;&gt;"",G957&lt;&gt;"",H957&lt;&gt;""),E957&amp;"|"&amp;G957&amp;"|"&amp;H957,"")</f>
        <v/>
      </c>
      <c r="Y957" s="21" t="str">
        <f aca="false">IF(B957="","",IF(B957&lt;&gt;B956,1,0))</f>
        <v/>
      </c>
    </row>
    <row r="958" customFormat="false" ht="15" hidden="false" customHeight="true" outlineLevel="0" collapsed="false">
      <c r="A958" s="21" t="str">
        <f aca="false">IF(B958="","",ROW()-4)</f>
        <v/>
      </c>
      <c r="B958" s="22"/>
      <c r="C958" s="21" t="str">
        <f aca="false">IF(B958="","",CHOOSE(WEEKDAY(B958,2),"LUNES","MARTES","MIÉRCOLES","JUEVES","VIERNES","SÁBADO","DOMINGO"))</f>
        <v/>
      </c>
      <c r="M958" s="23"/>
      <c r="Q958" s="21" t="str">
        <f aca="false">IF(OR(K958="",N958=""),"",K958-N958)</f>
        <v/>
      </c>
      <c r="R958" s="21" t="str">
        <f aca="false">IF(OR(J958="",K958=""),"",J958*K958)</f>
        <v/>
      </c>
      <c r="S958" s="21" t="str">
        <f aca="false">IF(AND(ISNUMBER(J958),ISNUMBER(K958),F958&lt;&gt;"Calentamiento",F958&lt;&gt;"Bilbo"),IF(AND(K958&gt;0,K958&lt;=12),ROUND(J958*(1+(K958+IF(ISNUMBER(L958),L958,0))/30),1),""),"")</f>
        <v/>
      </c>
      <c r="T958" s="21" t="str">
        <f aca="false">IF(AND(F958="Bilbo",ISNUMBER(J958),ISNUMBER(K958)),ROUND(J958*(1+K958/30),1),"")</f>
        <v/>
      </c>
      <c r="W958" s="22"/>
      <c r="X958" s="21" t="str">
        <f aca="false">IF(AND(F958="Bilbo",E958&lt;&gt;"",G958&lt;&gt;"",H958&lt;&gt;""),E958&amp;"|"&amp;G958&amp;"|"&amp;H958,"")</f>
        <v/>
      </c>
      <c r="Y958" s="21" t="str">
        <f aca="false">IF(B958="","",IF(B958&lt;&gt;B957,1,0))</f>
        <v/>
      </c>
    </row>
    <row r="959" customFormat="false" ht="15" hidden="false" customHeight="true" outlineLevel="0" collapsed="false">
      <c r="A959" s="21" t="str">
        <f aca="false">IF(B959="","",ROW()-4)</f>
        <v/>
      </c>
      <c r="B959" s="22"/>
      <c r="C959" s="21" t="str">
        <f aca="false">IF(B959="","",CHOOSE(WEEKDAY(B959,2),"LUNES","MARTES","MIÉRCOLES","JUEVES","VIERNES","SÁBADO","DOMINGO"))</f>
        <v/>
      </c>
      <c r="M959" s="23"/>
      <c r="Q959" s="21" t="str">
        <f aca="false">IF(OR(K959="",N959=""),"",K959-N959)</f>
        <v/>
      </c>
      <c r="R959" s="21" t="str">
        <f aca="false">IF(OR(J959="",K959=""),"",J959*K959)</f>
        <v/>
      </c>
      <c r="S959" s="21" t="str">
        <f aca="false">IF(AND(ISNUMBER(J959),ISNUMBER(K959),F959&lt;&gt;"Calentamiento",F959&lt;&gt;"Bilbo"),IF(AND(K959&gt;0,K959&lt;=12),ROUND(J959*(1+(K959+IF(ISNUMBER(L959),L959,0))/30),1),""),"")</f>
        <v/>
      </c>
      <c r="T959" s="21" t="str">
        <f aca="false">IF(AND(F959="Bilbo",ISNUMBER(J959),ISNUMBER(K959)),ROUND(J959*(1+K959/30),1),"")</f>
        <v/>
      </c>
      <c r="W959" s="22"/>
      <c r="X959" s="21" t="str">
        <f aca="false">IF(AND(F959="Bilbo",E959&lt;&gt;"",G959&lt;&gt;"",H959&lt;&gt;""),E959&amp;"|"&amp;G959&amp;"|"&amp;H959,"")</f>
        <v/>
      </c>
      <c r="Y959" s="21" t="str">
        <f aca="false">IF(B959="","",IF(B959&lt;&gt;B958,1,0))</f>
        <v/>
      </c>
    </row>
    <row r="960" customFormat="false" ht="15" hidden="false" customHeight="true" outlineLevel="0" collapsed="false">
      <c r="A960" s="21" t="str">
        <f aca="false">IF(B960="","",ROW()-4)</f>
        <v/>
      </c>
      <c r="B960" s="22"/>
      <c r="C960" s="21" t="str">
        <f aca="false">IF(B960="","",CHOOSE(WEEKDAY(B960,2),"LUNES","MARTES","MIÉRCOLES","JUEVES","VIERNES","SÁBADO","DOMINGO"))</f>
        <v/>
      </c>
      <c r="M960" s="23"/>
      <c r="Q960" s="21" t="str">
        <f aca="false">IF(OR(K960="",N960=""),"",K960-N960)</f>
        <v/>
      </c>
      <c r="R960" s="21" t="str">
        <f aca="false">IF(OR(J960="",K960=""),"",J960*K960)</f>
        <v/>
      </c>
      <c r="S960" s="21" t="str">
        <f aca="false">IF(AND(ISNUMBER(J960),ISNUMBER(K960),F960&lt;&gt;"Calentamiento",F960&lt;&gt;"Bilbo"),IF(AND(K960&gt;0,K960&lt;=12),ROUND(J960*(1+(K960+IF(ISNUMBER(L960),L960,0))/30),1),""),"")</f>
        <v/>
      </c>
      <c r="T960" s="21" t="str">
        <f aca="false">IF(AND(F960="Bilbo",ISNUMBER(J960),ISNUMBER(K960)),ROUND(J960*(1+K960/30),1),"")</f>
        <v/>
      </c>
      <c r="W960" s="22"/>
      <c r="X960" s="21" t="str">
        <f aca="false">IF(AND(F960="Bilbo",E960&lt;&gt;"",G960&lt;&gt;"",H960&lt;&gt;""),E960&amp;"|"&amp;G960&amp;"|"&amp;H960,"")</f>
        <v/>
      </c>
      <c r="Y960" s="21" t="str">
        <f aca="false">IF(B960="","",IF(B960&lt;&gt;B959,1,0))</f>
        <v/>
      </c>
    </row>
    <row r="961" customFormat="false" ht="15" hidden="false" customHeight="true" outlineLevel="0" collapsed="false">
      <c r="A961" s="21" t="str">
        <f aca="false">IF(B961="","",ROW()-4)</f>
        <v/>
      </c>
      <c r="B961" s="22"/>
      <c r="C961" s="21" t="str">
        <f aca="false">IF(B961="","",CHOOSE(WEEKDAY(B961,2),"LUNES","MARTES","MIÉRCOLES","JUEVES","VIERNES","SÁBADO","DOMINGO"))</f>
        <v/>
      </c>
      <c r="M961" s="23"/>
      <c r="Q961" s="21" t="str">
        <f aca="false">IF(OR(K961="",N961=""),"",K961-N961)</f>
        <v/>
      </c>
      <c r="R961" s="21" t="str">
        <f aca="false">IF(OR(J961="",K961=""),"",J961*K961)</f>
        <v/>
      </c>
      <c r="S961" s="21" t="str">
        <f aca="false">IF(AND(ISNUMBER(J961),ISNUMBER(K961),F961&lt;&gt;"Calentamiento",F961&lt;&gt;"Bilbo"),IF(AND(K961&gt;0,K961&lt;=12),ROUND(J961*(1+(K961+IF(ISNUMBER(L961),L961,0))/30),1),""),"")</f>
        <v/>
      </c>
      <c r="T961" s="21" t="str">
        <f aca="false">IF(AND(F961="Bilbo",ISNUMBER(J961),ISNUMBER(K961)),ROUND(J961*(1+K961/30),1),"")</f>
        <v/>
      </c>
      <c r="W961" s="22"/>
      <c r="X961" s="21" t="str">
        <f aca="false">IF(AND(F961="Bilbo",E961&lt;&gt;"",G961&lt;&gt;"",H961&lt;&gt;""),E961&amp;"|"&amp;G961&amp;"|"&amp;H961,"")</f>
        <v/>
      </c>
      <c r="Y961" s="21" t="str">
        <f aca="false">IF(B961="","",IF(B961&lt;&gt;B960,1,0))</f>
        <v/>
      </c>
    </row>
    <row r="962" customFormat="false" ht="15" hidden="false" customHeight="true" outlineLevel="0" collapsed="false">
      <c r="A962" s="21" t="str">
        <f aca="false">IF(B962="","",ROW()-4)</f>
        <v/>
      </c>
      <c r="B962" s="22"/>
      <c r="C962" s="21" t="str">
        <f aca="false">IF(B962="","",CHOOSE(WEEKDAY(B962,2),"LUNES","MARTES","MIÉRCOLES","JUEVES","VIERNES","SÁBADO","DOMINGO"))</f>
        <v/>
      </c>
      <c r="M962" s="23"/>
      <c r="Q962" s="21" t="str">
        <f aca="false">IF(OR(K962="",N962=""),"",K962-N962)</f>
        <v/>
      </c>
      <c r="R962" s="21" t="str">
        <f aca="false">IF(OR(J962="",K962=""),"",J962*K962)</f>
        <v/>
      </c>
      <c r="S962" s="21" t="str">
        <f aca="false">IF(AND(ISNUMBER(J962),ISNUMBER(K962),F962&lt;&gt;"Calentamiento",F962&lt;&gt;"Bilbo"),IF(AND(K962&gt;0,K962&lt;=12),ROUND(J962*(1+(K962+IF(ISNUMBER(L962),L962,0))/30),1),""),"")</f>
        <v/>
      </c>
      <c r="T962" s="21" t="str">
        <f aca="false">IF(AND(F962="Bilbo",ISNUMBER(J962),ISNUMBER(K962)),ROUND(J962*(1+K962/30),1),"")</f>
        <v/>
      </c>
      <c r="W962" s="22"/>
      <c r="X962" s="21" t="str">
        <f aca="false">IF(AND(F962="Bilbo",E962&lt;&gt;"",G962&lt;&gt;"",H962&lt;&gt;""),E962&amp;"|"&amp;G962&amp;"|"&amp;H962,"")</f>
        <v/>
      </c>
      <c r="Y962" s="21" t="str">
        <f aca="false">IF(B962="","",IF(B962&lt;&gt;B961,1,0))</f>
        <v/>
      </c>
    </row>
    <row r="963" customFormat="false" ht="15" hidden="false" customHeight="true" outlineLevel="0" collapsed="false">
      <c r="A963" s="21" t="str">
        <f aca="false">IF(B963="","",ROW()-4)</f>
        <v/>
      </c>
      <c r="B963" s="22"/>
      <c r="C963" s="21" t="str">
        <f aca="false">IF(B963="","",CHOOSE(WEEKDAY(B963,2),"LUNES","MARTES","MIÉRCOLES","JUEVES","VIERNES","SÁBADO","DOMINGO"))</f>
        <v/>
      </c>
      <c r="M963" s="23"/>
      <c r="Q963" s="21" t="str">
        <f aca="false">IF(OR(K963="",N963=""),"",K963-N963)</f>
        <v/>
      </c>
      <c r="R963" s="21" t="str">
        <f aca="false">IF(OR(J963="",K963=""),"",J963*K963)</f>
        <v/>
      </c>
      <c r="S963" s="21" t="str">
        <f aca="false">IF(AND(ISNUMBER(J963),ISNUMBER(K963),F963&lt;&gt;"Calentamiento",F963&lt;&gt;"Bilbo"),IF(AND(K963&gt;0,K963&lt;=12),ROUND(J963*(1+(K963+IF(ISNUMBER(L963),L963,0))/30),1),""),"")</f>
        <v/>
      </c>
      <c r="T963" s="21" t="str">
        <f aca="false">IF(AND(F963="Bilbo",ISNUMBER(J963),ISNUMBER(K963)),ROUND(J963*(1+K963/30),1),"")</f>
        <v/>
      </c>
      <c r="W963" s="22"/>
      <c r="X963" s="21" t="str">
        <f aca="false">IF(AND(F963="Bilbo",E963&lt;&gt;"",G963&lt;&gt;"",H963&lt;&gt;""),E963&amp;"|"&amp;G963&amp;"|"&amp;H963,"")</f>
        <v/>
      </c>
      <c r="Y963" s="21" t="str">
        <f aca="false">IF(B963="","",IF(B963&lt;&gt;B962,1,0))</f>
        <v/>
      </c>
    </row>
    <row r="964" customFormat="false" ht="15" hidden="false" customHeight="true" outlineLevel="0" collapsed="false">
      <c r="A964" s="21" t="str">
        <f aca="false">IF(B964="","",ROW()-4)</f>
        <v/>
      </c>
      <c r="B964" s="22"/>
      <c r="C964" s="21" t="str">
        <f aca="false">IF(B964="","",CHOOSE(WEEKDAY(B964,2),"LUNES","MARTES","MIÉRCOLES","JUEVES","VIERNES","SÁBADO","DOMINGO"))</f>
        <v/>
      </c>
      <c r="M964" s="23"/>
      <c r="Q964" s="21" t="str">
        <f aca="false">IF(OR(K964="",N964=""),"",K964-N964)</f>
        <v/>
      </c>
      <c r="R964" s="21" t="str">
        <f aca="false">IF(OR(J964="",K964=""),"",J964*K964)</f>
        <v/>
      </c>
      <c r="S964" s="21" t="str">
        <f aca="false">IF(AND(ISNUMBER(J964),ISNUMBER(K964),F964&lt;&gt;"Calentamiento",F964&lt;&gt;"Bilbo"),IF(AND(K964&gt;0,K964&lt;=12),ROUND(J964*(1+(K964+IF(ISNUMBER(L964),L964,0))/30),1),""),"")</f>
        <v/>
      </c>
      <c r="T964" s="21" t="str">
        <f aca="false">IF(AND(F964="Bilbo",ISNUMBER(J964),ISNUMBER(K964)),ROUND(J964*(1+K964/30),1),"")</f>
        <v/>
      </c>
      <c r="W964" s="22"/>
      <c r="X964" s="21" t="str">
        <f aca="false">IF(AND(F964="Bilbo",E964&lt;&gt;"",G964&lt;&gt;"",H964&lt;&gt;""),E964&amp;"|"&amp;G964&amp;"|"&amp;H964,"")</f>
        <v/>
      </c>
      <c r="Y964" s="21" t="str">
        <f aca="false">IF(B964="","",IF(B964&lt;&gt;B963,1,0))</f>
        <v/>
      </c>
    </row>
    <row r="965" customFormat="false" ht="15" hidden="false" customHeight="true" outlineLevel="0" collapsed="false">
      <c r="A965" s="21" t="str">
        <f aca="false">IF(B965="","",ROW()-4)</f>
        <v/>
      </c>
      <c r="B965" s="22"/>
      <c r="C965" s="21" t="str">
        <f aca="false">IF(B965="","",CHOOSE(WEEKDAY(B965,2),"LUNES","MARTES","MIÉRCOLES","JUEVES","VIERNES","SÁBADO","DOMINGO"))</f>
        <v/>
      </c>
      <c r="M965" s="23"/>
      <c r="Q965" s="21" t="str">
        <f aca="false">IF(OR(K965="",N965=""),"",K965-N965)</f>
        <v/>
      </c>
      <c r="R965" s="21" t="str">
        <f aca="false">IF(OR(J965="",K965=""),"",J965*K965)</f>
        <v/>
      </c>
      <c r="S965" s="21" t="str">
        <f aca="false">IF(AND(ISNUMBER(J965),ISNUMBER(K965),F965&lt;&gt;"Calentamiento",F965&lt;&gt;"Bilbo"),IF(AND(K965&gt;0,K965&lt;=12),ROUND(J965*(1+(K965+IF(ISNUMBER(L965),L965,0))/30),1),""),"")</f>
        <v/>
      </c>
      <c r="T965" s="21" t="str">
        <f aca="false">IF(AND(F965="Bilbo",ISNUMBER(J965),ISNUMBER(K965)),ROUND(J965*(1+K965/30),1),"")</f>
        <v/>
      </c>
      <c r="W965" s="22"/>
      <c r="X965" s="21" t="str">
        <f aca="false">IF(AND(F965="Bilbo",E965&lt;&gt;"",G965&lt;&gt;"",H965&lt;&gt;""),E965&amp;"|"&amp;G965&amp;"|"&amp;H965,"")</f>
        <v/>
      </c>
      <c r="Y965" s="21" t="str">
        <f aca="false">IF(B965="","",IF(B965&lt;&gt;B964,1,0))</f>
        <v/>
      </c>
    </row>
    <row r="966" customFormat="false" ht="15" hidden="false" customHeight="true" outlineLevel="0" collapsed="false">
      <c r="A966" s="21" t="str">
        <f aca="false">IF(B966="","",ROW()-4)</f>
        <v/>
      </c>
      <c r="B966" s="22"/>
      <c r="C966" s="21" t="str">
        <f aca="false">IF(B966="","",CHOOSE(WEEKDAY(B966,2),"LUNES","MARTES","MIÉRCOLES","JUEVES","VIERNES","SÁBADO","DOMINGO"))</f>
        <v/>
      </c>
      <c r="M966" s="23"/>
      <c r="Q966" s="21" t="str">
        <f aca="false">IF(OR(K966="",N966=""),"",K966-N966)</f>
        <v/>
      </c>
      <c r="R966" s="21" t="str">
        <f aca="false">IF(OR(J966="",K966=""),"",J966*K966)</f>
        <v/>
      </c>
      <c r="S966" s="21" t="str">
        <f aca="false">IF(AND(ISNUMBER(J966),ISNUMBER(K966),F966&lt;&gt;"Calentamiento",F966&lt;&gt;"Bilbo"),IF(AND(K966&gt;0,K966&lt;=12),ROUND(J966*(1+(K966+IF(ISNUMBER(L966),L966,0))/30),1),""),"")</f>
        <v/>
      </c>
      <c r="T966" s="21" t="str">
        <f aca="false">IF(AND(F966="Bilbo",ISNUMBER(J966),ISNUMBER(K966)),ROUND(J966*(1+K966/30),1),"")</f>
        <v/>
      </c>
      <c r="W966" s="22"/>
      <c r="X966" s="21" t="str">
        <f aca="false">IF(AND(F966="Bilbo",E966&lt;&gt;"",G966&lt;&gt;"",H966&lt;&gt;""),E966&amp;"|"&amp;G966&amp;"|"&amp;H966,"")</f>
        <v/>
      </c>
      <c r="Y966" s="21" t="str">
        <f aca="false">IF(B966="","",IF(B966&lt;&gt;B965,1,0))</f>
        <v/>
      </c>
    </row>
    <row r="967" customFormat="false" ht="15" hidden="false" customHeight="true" outlineLevel="0" collapsed="false">
      <c r="A967" s="21" t="str">
        <f aca="false">IF(B967="","",ROW()-4)</f>
        <v/>
      </c>
      <c r="B967" s="22"/>
      <c r="C967" s="21" t="str">
        <f aca="false">IF(B967="","",CHOOSE(WEEKDAY(B967,2),"LUNES","MARTES","MIÉRCOLES","JUEVES","VIERNES","SÁBADO","DOMINGO"))</f>
        <v/>
      </c>
      <c r="M967" s="23"/>
      <c r="Q967" s="21" t="str">
        <f aca="false">IF(OR(K967="",N967=""),"",K967-N967)</f>
        <v/>
      </c>
      <c r="R967" s="21" t="str">
        <f aca="false">IF(OR(J967="",K967=""),"",J967*K967)</f>
        <v/>
      </c>
      <c r="S967" s="21" t="str">
        <f aca="false">IF(AND(ISNUMBER(J967),ISNUMBER(K967),F967&lt;&gt;"Calentamiento",F967&lt;&gt;"Bilbo"),IF(AND(K967&gt;0,K967&lt;=12),ROUND(J967*(1+(K967+IF(ISNUMBER(L967),L967,0))/30),1),""),"")</f>
        <v/>
      </c>
      <c r="T967" s="21" t="str">
        <f aca="false">IF(AND(F967="Bilbo",ISNUMBER(J967),ISNUMBER(K967)),ROUND(J967*(1+K967/30),1),"")</f>
        <v/>
      </c>
      <c r="W967" s="22"/>
      <c r="X967" s="21" t="str">
        <f aca="false">IF(AND(F967="Bilbo",E967&lt;&gt;"",G967&lt;&gt;"",H967&lt;&gt;""),E967&amp;"|"&amp;G967&amp;"|"&amp;H967,"")</f>
        <v/>
      </c>
      <c r="Y967" s="21" t="str">
        <f aca="false">IF(B967="","",IF(B967&lt;&gt;B966,1,0))</f>
        <v/>
      </c>
    </row>
    <row r="968" customFormat="false" ht="15" hidden="false" customHeight="true" outlineLevel="0" collapsed="false">
      <c r="A968" s="21" t="str">
        <f aca="false">IF(B968="","",ROW()-4)</f>
        <v/>
      </c>
      <c r="B968" s="22"/>
      <c r="C968" s="21" t="str">
        <f aca="false">IF(B968="","",CHOOSE(WEEKDAY(B968,2),"LUNES","MARTES","MIÉRCOLES","JUEVES","VIERNES","SÁBADO","DOMINGO"))</f>
        <v/>
      </c>
      <c r="M968" s="23"/>
      <c r="Q968" s="21" t="str">
        <f aca="false">IF(OR(K968="",N968=""),"",K968-N968)</f>
        <v/>
      </c>
      <c r="R968" s="21" t="str">
        <f aca="false">IF(OR(J968="",K968=""),"",J968*K968)</f>
        <v/>
      </c>
      <c r="S968" s="21" t="str">
        <f aca="false">IF(AND(ISNUMBER(J968),ISNUMBER(K968),F968&lt;&gt;"Calentamiento",F968&lt;&gt;"Bilbo"),IF(AND(K968&gt;0,K968&lt;=12),ROUND(J968*(1+(K968+IF(ISNUMBER(L968),L968,0))/30),1),""),"")</f>
        <v/>
      </c>
      <c r="T968" s="21" t="str">
        <f aca="false">IF(AND(F968="Bilbo",ISNUMBER(J968),ISNUMBER(K968)),ROUND(J968*(1+K968/30),1),"")</f>
        <v/>
      </c>
      <c r="W968" s="22"/>
      <c r="X968" s="21" t="str">
        <f aca="false">IF(AND(F968="Bilbo",E968&lt;&gt;"",G968&lt;&gt;"",H968&lt;&gt;""),E968&amp;"|"&amp;G968&amp;"|"&amp;H968,"")</f>
        <v/>
      </c>
      <c r="Y968" s="21" t="str">
        <f aca="false">IF(B968="","",IF(B968&lt;&gt;B967,1,0))</f>
        <v/>
      </c>
    </row>
    <row r="969" customFormat="false" ht="15" hidden="false" customHeight="true" outlineLevel="0" collapsed="false">
      <c r="A969" s="21" t="str">
        <f aca="false">IF(B969="","",ROW()-4)</f>
        <v/>
      </c>
      <c r="B969" s="22"/>
      <c r="C969" s="21" t="str">
        <f aca="false">IF(B969="","",CHOOSE(WEEKDAY(B969,2),"LUNES","MARTES","MIÉRCOLES","JUEVES","VIERNES","SÁBADO","DOMINGO"))</f>
        <v/>
      </c>
      <c r="M969" s="23"/>
      <c r="Q969" s="21" t="str">
        <f aca="false">IF(OR(K969="",N969=""),"",K969-N969)</f>
        <v/>
      </c>
      <c r="R969" s="21" t="str">
        <f aca="false">IF(OR(J969="",K969=""),"",J969*K969)</f>
        <v/>
      </c>
      <c r="S969" s="21" t="str">
        <f aca="false">IF(AND(ISNUMBER(J969),ISNUMBER(K969),F969&lt;&gt;"Calentamiento",F969&lt;&gt;"Bilbo"),IF(AND(K969&gt;0,K969&lt;=12),ROUND(J969*(1+(K969+IF(ISNUMBER(L969),L969,0))/30),1),""),"")</f>
        <v/>
      </c>
      <c r="T969" s="21" t="str">
        <f aca="false">IF(AND(F969="Bilbo",ISNUMBER(J969),ISNUMBER(K969)),ROUND(J969*(1+K969/30),1),"")</f>
        <v/>
      </c>
      <c r="W969" s="22"/>
      <c r="X969" s="21" t="str">
        <f aca="false">IF(AND(F969="Bilbo",E969&lt;&gt;"",G969&lt;&gt;"",H969&lt;&gt;""),E969&amp;"|"&amp;G969&amp;"|"&amp;H969,"")</f>
        <v/>
      </c>
      <c r="Y969" s="21" t="str">
        <f aca="false">IF(B969="","",IF(B969&lt;&gt;B968,1,0))</f>
        <v/>
      </c>
    </row>
    <row r="970" customFormat="false" ht="15" hidden="false" customHeight="true" outlineLevel="0" collapsed="false">
      <c r="A970" s="21" t="str">
        <f aca="false">IF(B970="","",ROW()-4)</f>
        <v/>
      </c>
      <c r="B970" s="22"/>
      <c r="C970" s="21" t="str">
        <f aca="false">IF(B970="","",CHOOSE(WEEKDAY(B970,2),"LUNES","MARTES","MIÉRCOLES","JUEVES","VIERNES","SÁBADO","DOMINGO"))</f>
        <v/>
      </c>
      <c r="M970" s="23"/>
      <c r="Q970" s="21" t="str">
        <f aca="false">IF(OR(K970="",N970=""),"",K970-N970)</f>
        <v/>
      </c>
      <c r="R970" s="21" t="str">
        <f aca="false">IF(OR(J970="",K970=""),"",J970*K970)</f>
        <v/>
      </c>
      <c r="S970" s="21" t="str">
        <f aca="false">IF(AND(ISNUMBER(J970),ISNUMBER(K970),F970&lt;&gt;"Calentamiento",F970&lt;&gt;"Bilbo"),IF(AND(K970&gt;0,K970&lt;=12),ROUND(J970*(1+(K970+IF(ISNUMBER(L970),L970,0))/30),1),""),"")</f>
        <v/>
      </c>
      <c r="T970" s="21" t="str">
        <f aca="false">IF(AND(F970="Bilbo",ISNUMBER(J970),ISNUMBER(K970)),ROUND(J970*(1+K970/30),1),"")</f>
        <v/>
      </c>
      <c r="W970" s="22"/>
      <c r="X970" s="21" t="str">
        <f aca="false">IF(AND(F970="Bilbo",E970&lt;&gt;"",G970&lt;&gt;"",H970&lt;&gt;""),E970&amp;"|"&amp;G970&amp;"|"&amp;H970,"")</f>
        <v/>
      </c>
      <c r="Y970" s="21" t="str">
        <f aca="false">IF(B970="","",IF(B970&lt;&gt;B969,1,0))</f>
        <v/>
      </c>
    </row>
    <row r="971" customFormat="false" ht="15" hidden="false" customHeight="true" outlineLevel="0" collapsed="false">
      <c r="A971" s="21" t="str">
        <f aca="false">IF(B971="","",ROW()-4)</f>
        <v/>
      </c>
      <c r="B971" s="22"/>
      <c r="C971" s="21" t="str">
        <f aca="false">IF(B971="","",CHOOSE(WEEKDAY(B971,2),"LUNES","MARTES","MIÉRCOLES","JUEVES","VIERNES","SÁBADO","DOMINGO"))</f>
        <v/>
      </c>
      <c r="M971" s="23"/>
      <c r="Q971" s="21" t="str">
        <f aca="false">IF(OR(K971="",N971=""),"",K971-N971)</f>
        <v/>
      </c>
      <c r="R971" s="21" t="str">
        <f aca="false">IF(OR(J971="",K971=""),"",J971*K971)</f>
        <v/>
      </c>
      <c r="S971" s="21" t="str">
        <f aca="false">IF(AND(ISNUMBER(J971),ISNUMBER(K971),F971&lt;&gt;"Calentamiento",F971&lt;&gt;"Bilbo"),IF(AND(K971&gt;0,K971&lt;=12),ROUND(J971*(1+(K971+IF(ISNUMBER(L971),L971,0))/30),1),""),"")</f>
        <v/>
      </c>
      <c r="T971" s="21" t="str">
        <f aca="false">IF(AND(F971="Bilbo",ISNUMBER(J971),ISNUMBER(K971)),ROUND(J971*(1+K971/30),1),"")</f>
        <v/>
      </c>
      <c r="W971" s="22"/>
      <c r="X971" s="21" t="str">
        <f aca="false">IF(AND(F971="Bilbo",E971&lt;&gt;"",G971&lt;&gt;"",H971&lt;&gt;""),E971&amp;"|"&amp;G971&amp;"|"&amp;H971,"")</f>
        <v/>
      </c>
      <c r="Y971" s="21" t="str">
        <f aca="false">IF(B971="","",IF(B971&lt;&gt;B970,1,0))</f>
        <v/>
      </c>
    </row>
    <row r="972" customFormat="false" ht="15" hidden="false" customHeight="true" outlineLevel="0" collapsed="false">
      <c r="A972" s="21" t="str">
        <f aca="false">IF(B972="","",ROW()-4)</f>
        <v/>
      </c>
      <c r="B972" s="22"/>
      <c r="C972" s="21" t="str">
        <f aca="false">IF(B972="","",CHOOSE(WEEKDAY(B972,2),"LUNES","MARTES","MIÉRCOLES","JUEVES","VIERNES","SÁBADO","DOMINGO"))</f>
        <v/>
      </c>
      <c r="M972" s="23"/>
      <c r="Q972" s="21" t="str">
        <f aca="false">IF(OR(K972="",N972=""),"",K972-N972)</f>
        <v/>
      </c>
      <c r="R972" s="21" t="str">
        <f aca="false">IF(OR(J972="",K972=""),"",J972*K972)</f>
        <v/>
      </c>
      <c r="S972" s="21" t="str">
        <f aca="false">IF(AND(ISNUMBER(J972),ISNUMBER(K972),F972&lt;&gt;"Calentamiento",F972&lt;&gt;"Bilbo"),IF(AND(K972&gt;0,K972&lt;=12),ROUND(J972*(1+(K972+IF(ISNUMBER(L972),L972,0))/30),1),""),"")</f>
        <v/>
      </c>
      <c r="T972" s="21" t="str">
        <f aca="false">IF(AND(F972="Bilbo",ISNUMBER(J972),ISNUMBER(K972)),ROUND(J972*(1+K972/30),1),"")</f>
        <v/>
      </c>
      <c r="W972" s="22"/>
      <c r="X972" s="21" t="str">
        <f aca="false">IF(AND(F972="Bilbo",E972&lt;&gt;"",G972&lt;&gt;"",H972&lt;&gt;""),E972&amp;"|"&amp;G972&amp;"|"&amp;H972,"")</f>
        <v/>
      </c>
      <c r="Y972" s="21" t="str">
        <f aca="false">IF(B972="","",IF(B972&lt;&gt;B971,1,0))</f>
        <v/>
      </c>
    </row>
    <row r="973" customFormat="false" ht="15" hidden="false" customHeight="true" outlineLevel="0" collapsed="false">
      <c r="A973" s="21" t="str">
        <f aca="false">IF(B973="","",ROW()-4)</f>
        <v/>
      </c>
      <c r="B973" s="22"/>
      <c r="C973" s="21" t="str">
        <f aca="false">IF(B973="","",CHOOSE(WEEKDAY(B973,2),"LUNES","MARTES","MIÉRCOLES","JUEVES","VIERNES","SÁBADO","DOMINGO"))</f>
        <v/>
      </c>
      <c r="M973" s="23"/>
      <c r="Q973" s="21" t="str">
        <f aca="false">IF(OR(K973="",N973=""),"",K973-N973)</f>
        <v/>
      </c>
      <c r="R973" s="21" t="str">
        <f aca="false">IF(OR(J973="",K973=""),"",J973*K973)</f>
        <v/>
      </c>
      <c r="S973" s="21" t="str">
        <f aca="false">IF(AND(ISNUMBER(J973),ISNUMBER(K973),F973&lt;&gt;"Calentamiento",F973&lt;&gt;"Bilbo"),IF(AND(K973&gt;0,K973&lt;=12),ROUND(J973*(1+(K973+IF(ISNUMBER(L973),L973,0))/30),1),""),"")</f>
        <v/>
      </c>
      <c r="T973" s="21" t="str">
        <f aca="false">IF(AND(F973="Bilbo",ISNUMBER(J973),ISNUMBER(K973)),ROUND(J973*(1+K973/30),1),"")</f>
        <v/>
      </c>
      <c r="W973" s="22"/>
      <c r="X973" s="21" t="str">
        <f aca="false">IF(AND(F973="Bilbo",E973&lt;&gt;"",G973&lt;&gt;"",H973&lt;&gt;""),E973&amp;"|"&amp;G973&amp;"|"&amp;H973,"")</f>
        <v/>
      </c>
      <c r="Y973" s="21" t="str">
        <f aca="false">IF(B973="","",IF(B973&lt;&gt;B972,1,0))</f>
        <v/>
      </c>
    </row>
    <row r="974" customFormat="false" ht="15" hidden="false" customHeight="true" outlineLevel="0" collapsed="false">
      <c r="A974" s="21" t="str">
        <f aca="false">IF(B974="","",ROW()-4)</f>
        <v/>
      </c>
      <c r="B974" s="22"/>
      <c r="C974" s="21" t="str">
        <f aca="false">IF(B974="","",CHOOSE(WEEKDAY(B974,2),"LUNES","MARTES","MIÉRCOLES","JUEVES","VIERNES","SÁBADO","DOMINGO"))</f>
        <v/>
      </c>
      <c r="M974" s="23"/>
      <c r="Q974" s="21" t="str">
        <f aca="false">IF(OR(K974="",N974=""),"",K974-N974)</f>
        <v/>
      </c>
      <c r="R974" s="21" t="str">
        <f aca="false">IF(OR(J974="",K974=""),"",J974*K974)</f>
        <v/>
      </c>
      <c r="S974" s="21" t="str">
        <f aca="false">IF(AND(ISNUMBER(J974),ISNUMBER(K974),F974&lt;&gt;"Calentamiento",F974&lt;&gt;"Bilbo"),IF(AND(K974&gt;0,K974&lt;=12),ROUND(J974*(1+(K974+IF(ISNUMBER(L974),L974,0))/30),1),""),"")</f>
        <v/>
      </c>
      <c r="T974" s="21" t="str">
        <f aca="false">IF(AND(F974="Bilbo",ISNUMBER(J974),ISNUMBER(K974)),ROUND(J974*(1+K974/30),1),"")</f>
        <v/>
      </c>
      <c r="W974" s="22"/>
      <c r="X974" s="21" t="str">
        <f aca="false">IF(AND(F974="Bilbo",E974&lt;&gt;"",G974&lt;&gt;"",H974&lt;&gt;""),E974&amp;"|"&amp;G974&amp;"|"&amp;H974,"")</f>
        <v/>
      </c>
      <c r="Y974" s="21" t="str">
        <f aca="false">IF(B974="","",IF(B974&lt;&gt;B973,1,0))</f>
        <v/>
      </c>
    </row>
    <row r="975" customFormat="false" ht="15" hidden="false" customHeight="true" outlineLevel="0" collapsed="false">
      <c r="A975" s="21" t="str">
        <f aca="false">IF(B975="","",ROW()-4)</f>
        <v/>
      </c>
      <c r="B975" s="22"/>
      <c r="C975" s="21" t="str">
        <f aca="false">IF(B975="","",CHOOSE(WEEKDAY(B975,2),"LUNES","MARTES","MIÉRCOLES","JUEVES","VIERNES","SÁBADO","DOMINGO"))</f>
        <v/>
      </c>
      <c r="M975" s="23"/>
      <c r="Q975" s="21" t="str">
        <f aca="false">IF(OR(K975="",N975=""),"",K975-N975)</f>
        <v/>
      </c>
      <c r="R975" s="21" t="str">
        <f aca="false">IF(OR(J975="",K975=""),"",J975*K975)</f>
        <v/>
      </c>
      <c r="S975" s="21" t="str">
        <f aca="false">IF(AND(ISNUMBER(J975),ISNUMBER(K975),F975&lt;&gt;"Calentamiento",F975&lt;&gt;"Bilbo"),IF(AND(K975&gt;0,K975&lt;=12),ROUND(J975*(1+(K975+IF(ISNUMBER(L975),L975,0))/30),1),""),"")</f>
        <v/>
      </c>
      <c r="T975" s="21" t="str">
        <f aca="false">IF(AND(F975="Bilbo",ISNUMBER(J975),ISNUMBER(K975)),ROUND(J975*(1+K975/30),1),"")</f>
        <v/>
      </c>
      <c r="W975" s="22"/>
      <c r="X975" s="21" t="str">
        <f aca="false">IF(AND(F975="Bilbo",E975&lt;&gt;"",G975&lt;&gt;"",H975&lt;&gt;""),E975&amp;"|"&amp;G975&amp;"|"&amp;H975,"")</f>
        <v/>
      </c>
      <c r="Y975" s="21" t="str">
        <f aca="false">IF(B975="","",IF(B975&lt;&gt;B974,1,0))</f>
        <v/>
      </c>
    </row>
    <row r="976" customFormat="false" ht="15" hidden="false" customHeight="true" outlineLevel="0" collapsed="false">
      <c r="A976" s="21" t="str">
        <f aca="false">IF(B976="","",ROW()-4)</f>
        <v/>
      </c>
      <c r="B976" s="22"/>
      <c r="C976" s="21" t="str">
        <f aca="false">IF(B976="","",CHOOSE(WEEKDAY(B976,2),"LUNES","MARTES","MIÉRCOLES","JUEVES","VIERNES","SÁBADO","DOMINGO"))</f>
        <v/>
      </c>
      <c r="M976" s="23"/>
      <c r="Q976" s="21" t="str">
        <f aca="false">IF(OR(K976="",N976=""),"",K976-N976)</f>
        <v/>
      </c>
      <c r="R976" s="21" t="str">
        <f aca="false">IF(OR(J976="",K976=""),"",J976*K976)</f>
        <v/>
      </c>
      <c r="S976" s="21" t="str">
        <f aca="false">IF(AND(ISNUMBER(J976),ISNUMBER(K976),F976&lt;&gt;"Calentamiento",F976&lt;&gt;"Bilbo"),IF(AND(K976&gt;0,K976&lt;=12),ROUND(J976*(1+(K976+IF(ISNUMBER(L976),L976,0))/30),1),""),"")</f>
        <v/>
      </c>
      <c r="T976" s="21" t="str">
        <f aca="false">IF(AND(F976="Bilbo",ISNUMBER(J976),ISNUMBER(K976)),ROUND(J976*(1+K976/30),1),"")</f>
        <v/>
      </c>
      <c r="W976" s="22"/>
      <c r="X976" s="21" t="str">
        <f aca="false">IF(AND(F976="Bilbo",E976&lt;&gt;"",G976&lt;&gt;"",H976&lt;&gt;""),E976&amp;"|"&amp;G976&amp;"|"&amp;H976,"")</f>
        <v/>
      </c>
      <c r="Y976" s="21" t="str">
        <f aca="false">IF(B976="","",IF(B976&lt;&gt;B975,1,0))</f>
        <v/>
      </c>
    </row>
    <row r="977" customFormat="false" ht="15" hidden="false" customHeight="true" outlineLevel="0" collapsed="false">
      <c r="A977" s="21" t="str">
        <f aca="false">IF(B977="","",ROW()-4)</f>
        <v/>
      </c>
      <c r="B977" s="22"/>
      <c r="C977" s="21" t="str">
        <f aca="false">IF(B977="","",CHOOSE(WEEKDAY(B977,2),"LUNES","MARTES","MIÉRCOLES","JUEVES","VIERNES","SÁBADO","DOMINGO"))</f>
        <v/>
      </c>
      <c r="M977" s="23"/>
      <c r="Q977" s="21" t="str">
        <f aca="false">IF(OR(K977="",N977=""),"",K977-N977)</f>
        <v/>
      </c>
      <c r="R977" s="21" t="str">
        <f aca="false">IF(OR(J977="",K977=""),"",J977*K977)</f>
        <v/>
      </c>
      <c r="S977" s="21" t="str">
        <f aca="false">IF(AND(ISNUMBER(J977),ISNUMBER(K977),F977&lt;&gt;"Calentamiento",F977&lt;&gt;"Bilbo"),IF(AND(K977&gt;0,K977&lt;=12),ROUND(J977*(1+(K977+IF(ISNUMBER(L977),L977,0))/30),1),""),"")</f>
        <v/>
      </c>
      <c r="T977" s="21" t="str">
        <f aca="false">IF(AND(F977="Bilbo",ISNUMBER(J977),ISNUMBER(K977)),ROUND(J977*(1+K977/30),1),"")</f>
        <v/>
      </c>
      <c r="W977" s="22"/>
      <c r="X977" s="21" t="str">
        <f aca="false">IF(AND(F977="Bilbo",E977&lt;&gt;"",G977&lt;&gt;"",H977&lt;&gt;""),E977&amp;"|"&amp;G977&amp;"|"&amp;H977,"")</f>
        <v/>
      </c>
      <c r="Y977" s="21" t="str">
        <f aca="false">IF(B977="","",IF(B977&lt;&gt;B976,1,0))</f>
        <v/>
      </c>
    </row>
    <row r="978" customFormat="false" ht="15" hidden="false" customHeight="true" outlineLevel="0" collapsed="false">
      <c r="A978" s="21" t="str">
        <f aca="false">IF(B978="","",ROW()-4)</f>
        <v/>
      </c>
      <c r="B978" s="22"/>
      <c r="C978" s="21" t="str">
        <f aca="false">IF(B978="","",CHOOSE(WEEKDAY(B978,2),"LUNES","MARTES","MIÉRCOLES","JUEVES","VIERNES","SÁBADO","DOMINGO"))</f>
        <v/>
      </c>
      <c r="M978" s="23"/>
      <c r="Q978" s="21" t="str">
        <f aca="false">IF(OR(K978="",N978=""),"",K978-N978)</f>
        <v/>
      </c>
      <c r="R978" s="21" t="str">
        <f aca="false">IF(OR(J978="",K978=""),"",J978*K978)</f>
        <v/>
      </c>
      <c r="S978" s="21" t="str">
        <f aca="false">IF(AND(ISNUMBER(J978),ISNUMBER(K978),F978&lt;&gt;"Calentamiento",F978&lt;&gt;"Bilbo"),IF(AND(K978&gt;0,K978&lt;=12),ROUND(J978*(1+(K978+IF(ISNUMBER(L978),L978,0))/30),1),""),"")</f>
        <v/>
      </c>
      <c r="T978" s="21" t="str">
        <f aca="false">IF(AND(F978="Bilbo",ISNUMBER(J978),ISNUMBER(K978)),ROUND(J978*(1+K978/30),1),"")</f>
        <v/>
      </c>
      <c r="W978" s="22"/>
      <c r="X978" s="21" t="str">
        <f aca="false">IF(AND(F978="Bilbo",E978&lt;&gt;"",G978&lt;&gt;"",H978&lt;&gt;""),E978&amp;"|"&amp;G978&amp;"|"&amp;H978,"")</f>
        <v/>
      </c>
      <c r="Y978" s="21" t="str">
        <f aca="false">IF(B978="","",IF(B978&lt;&gt;B977,1,0))</f>
        <v/>
      </c>
    </row>
    <row r="979" customFormat="false" ht="15" hidden="false" customHeight="true" outlineLevel="0" collapsed="false">
      <c r="A979" s="21" t="str">
        <f aca="false">IF(B979="","",ROW()-4)</f>
        <v/>
      </c>
      <c r="B979" s="22"/>
      <c r="C979" s="21" t="str">
        <f aca="false">IF(B979="","",CHOOSE(WEEKDAY(B979,2),"LUNES","MARTES","MIÉRCOLES","JUEVES","VIERNES","SÁBADO","DOMINGO"))</f>
        <v/>
      </c>
      <c r="M979" s="23"/>
      <c r="Q979" s="21" t="str">
        <f aca="false">IF(OR(K979="",N979=""),"",K979-N979)</f>
        <v/>
      </c>
      <c r="R979" s="21" t="str">
        <f aca="false">IF(OR(J979="",K979=""),"",J979*K979)</f>
        <v/>
      </c>
      <c r="S979" s="21" t="str">
        <f aca="false">IF(AND(ISNUMBER(J979),ISNUMBER(K979),F979&lt;&gt;"Calentamiento",F979&lt;&gt;"Bilbo"),IF(AND(K979&gt;0,K979&lt;=12),ROUND(J979*(1+(K979+IF(ISNUMBER(L979),L979,0))/30),1),""),"")</f>
        <v/>
      </c>
      <c r="T979" s="21" t="str">
        <f aca="false">IF(AND(F979="Bilbo",ISNUMBER(J979),ISNUMBER(K979)),ROUND(J979*(1+K979/30),1),"")</f>
        <v/>
      </c>
      <c r="W979" s="22"/>
      <c r="X979" s="21" t="str">
        <f aca="false">IF(AND(F979="Bilbo",E979&lt;&gt;"",G979&lt;&gt;"",H979&lt;&gt;""),E979&amp;"|"&amp;G979&amp;"|"&amp;H979,"")</f>
        <v/>
      </c>
      <c r="Y979" s="21" t="str">
        <f aca="false">IF(B979="","",IF(B979&lt;&gt;B978,1,0))</f>
        <v/>
      </c>
    </row>
    <row r="980" customFormat="false" ht="15" hidden="false" customHeight="true" outlineLevel="0" collapsed="false">
      <c r="A980" s="21" t="str">
        <f aca="false">IF(B980="","",ROW()-4)</f>
        <v/>
      </c>
      <c r="B980" s="22"/>
      <c r="C980" s="21" t="str">
        <f aca="false">IF(B980="","",CHOOSE(WEEKDAY(B980,2),"LUNES","MARTES","MIÉRCOLES","JUEVES","VIERNES","SÁBADO","DOMINGO"))</f>
        <v/>
      </c>
      <c r="M980" s="23"/>
      <c r="Q980" s="21" t="str">
        <f aca="false">IF(OR(K980="",N980=""),"",K980-N980)</f>
        <v/>
      </c>
      <c r="R980" s="21" t="str">
        <f aca="false">IF(OR(J980="",K980=""),"",J980*K980)</f>
        <v/>
      </c>
      <c r="S980" s="21" t="str">
        <f aca="false">IF(AND(ISNUMBER(J980),ISNUMBER(K980),F980&lt;&gt;"Calentamiento",F980&lt;&gt;"Bilbo"),IF(AND(K980&gt;0,K980&lt;=12),ROUND(J980*(1+(K980+IF(ISNUMBER(L980),L980,0))/30),1),""),"")</f>
        <v/>
      </c>
      <c r="T980" s="21" t="str">
        <f aca="false">IF(AND(F980="Bilbo",ISNUMBER(J980),ISNUMBER(K980)),ROUND(J980*(1+K980/30),1),"")</f>
        <v/>
      </c>
      <c r="W980" s="22"/>
      <c r="X980" s="21" t="str">
        <f aca="false">IF(AND(F980="Bilbo",E980&lt;&gt;"",G980&lt;&gt;"",H980&lt;&gt;""),E980&amp;"|"&amp;G980&amp;"|"&amp;H980,"")</f>
        <v/>
      </c>
      <c r="Y980" s="21" t="str">
        <f aca="false">IF(B980="","",IF(B980&lt;&gt;B979,1,0))</f>
        <v/>
      </c>
    </row>
    <row r="981" customFormat="false" ht="15" hidden="false" customHeight="true" outlineLevel="0" collapsed="false">
      <c r="A981" s="21" t="str">
        <f aca="false">IF(B981="","",ROW()-4)</f>
        <v/>
      </c>
      <c r="B981" s="22"/>
      <c r="C981" s="21" t="str">
        <f aca="false">IF(B981="","",CHOOSE(WEEKDAY(B981,2),"LUNES","MARTES","MIÉRCOLES","JUEVES","VIERNES","SÁBADO","DOMINGO"))</f>
        <v/>
      </c>
      <c r="M981" s="23"/>
      <c r="Q981" s="21" t="str">
        <f aca="false">IF(OR(K981="",N981=""),"",K981-N981)</f>
        <v/>
      </c>
      <c r="R981" s="21" t="str">
        <f aca="false">IF(OR(J981="",K981=""),"",J981*K981)</f>
        <v/>
      </c>
      <c r="S981" s="21" t="str">
        <f aca="false">IF(AND(ISNUMBER(J981),ISNUMBER(K981),F981&lt;&gt;"Calentamiento",F981&lt;&gt;"Bilbo"),IF(AND(K981&gt;0,K981&lt;=12),ROUND(J981*(1+(K981+IF(ISNUMBER(L981),L981,0))/30),1),""),"")</f>
        <v/>
      </c>
      <c r="T981" s="21" t="str">
        <f aca="false">IF(AND(F981="Bilbo",ISNUMBER(J981),ISNUMBER(K981)),ROUND(J981*(1+K981/30),1),"")</f>
        <v/>
      </c>
      <c r="W981" s="22"/>
      <c r="X981" s="21" t="str">
        <f aca="false">IF(AND(F981="Bilbo",E981&lt;&gt;"",G981&lt;&gt;"",H981&lt;&gt;""),E981&amp;"|"&amp;G981&amp;"|"&amp;H981,"")</f>
        <v/>
      </c>
      <c r="Y981" s="21" t="str">
        <f aca="false">IF(B981="","",IF(B981&lt;&gt;B980,1,0))</f>
        <v/>
      </c>
    </row>
    <row r="982" customFormat="false" ht="15" hidden="false" customHeight="true" outlineLevel="0" collapsed="false">
      <c r="A982" s="21" t="str">
        <f aca="false">IF(B982="","",ROW()-4)</f>
        <v/>
      </c>
      <c r="B982" s="22"/>
      <c r="C982" s="21" t="str">
        <f aca="false">IF(B982="","",CHOOSE(WEEKDAY(B982,2),"LUNES","MARTES","MIÉRCOLES","JUEVES","VIERNES","SÁBADO","DOMINGO"))</f>
        <v/>
      </c>
      <c r="M982" s="23"/>
      <c r="Q982" s="21" t="str">
        <f aca="false">IF(OR(K982="",N982=""),"",K982-N982)</f>
        <v/>
      </c>
      <c r="R982" s="21" t="str">
        <f aca="false">IF(OR(J982="",K982=""),"",J982*K982)</f>
        <v/>
      </c>
      <c r="S982" s="21" t="str">
        <f aca="false">IF(AND(ISNUMBER(J982),ISNUMBER(K982),F982&lt;&gt;"Calentamiento",F982&lt;&gt;"Bilbo"),IF(AND(K982&gt;0,K982&lt;=12),ROUND(J982*(1+(K982+IF(ISNUMBER(L982),L982,0))/30),1),""),"")</f>
        <v/>
      </c>
      <c r="T982" s="21" t="str">
        <f aca="false">IF(AND(F982="Bilbo",ISNUMBER(J982),ISNUMBER(K982)),ROUND(J982*(1+K982/30),1),"")</f>
        <v/>
      </c>
      <c r="W982" s="22"/>
      <c r="X982" s="21" t="str">
        <f aca="false">IF(AND(F982="Bilbo",E982&lt;&gt;"",G982&lt;&gt;"",H982&lt;&gt;""),E982&amp;"|"&amp;G982&amp;"|"&amp;H982,"")</f>
        <v/>
      </c>
      <c r="Y982" s="21" t="str">
        <f aca="false">IF(B982="","",IF(B982&lt;&gt;B981,1,0))</f>
        <v/>
      </c>
    </row>
    <row r="983" customFormat="false" ht="15" hidden="false" customHeight="true" outlineLevel="0" collapsed="false">
      <c r="A983" s="21" t="str">
        <f aca="false">IF(B983="","",ROW()-4)</f>
        <v/>
      </c>
      <c r="B983" s="22"/>
      <c r="C983" s="21" t="str">
        <f aca="false">IF(B983="","",CHOOSE(WEEKDAY(B983,2),"LUNES","MARTES","MIÉRCOLES","JUEVES","VIERNES","SÁBADO","DOMINGO"))</f>
        <v/>
      </c>
      <c r="M983" s="23"/>
      <c r="Q983" s="21" t="str">
        <f aca="false">IF(OR(K983="",N983=""),"",K983-N983)</f>
        <v/>
      </c>
      <c r="R983" s="21" t="str">
        <f aca="false">IF(OR(J983="",K983=""),"",J983*K983)</f>
        <v/>
      </c>
      <c r="S983" s="21" t="str">
        <f aca="false">IF(AND(ISNUMBER(J983),ISNUMBER(K983),F983&lt;&gt;"Calentamiento",F983&lt;&gt;"Bilbo"),IF(AND(K983&gt;0,K983&lt;=12),ROUND(J983*(1+(K983+IF(ISNUMBER(L983),L983,0))/30),1),""),"")</f>
        <v/>
      </c>
      <c r="T983" s="21" t="str">
        <f aca="false">IF(AND(F983="Bilbo",ISNUMBER(J983),ISNUMBER(K983)),ROUND(J983*(1+K983/30),1),"")</f>
        <v/>
      </c>
      <c r="W983" s="22"/>
      <c r="X983" s="21" t="str">
        <f aca="false">IF(AND(F983="Bilbo",E983&lt;&gt;"",G983&lt;&gt;"",H983&lt;&gt;""),E983&amp;"|"&amp;G983&amp;"|"&amp;H983,"")</f>
        <v/>
      </c>
      <c r="Y983" s="21" t="str">
        <f aca="false">IF(B983="","",IF(B983&lt;&gt;B982,1,0))</f>
        <v/>
      </c>
    </row>
    <row r="984" customFormat="false" ht="15" hidden="false" customHeight="true" outlineLevel="0" collapsed="false">
      <c r="A984" s="21" t="str">
        <f aca="false">IF(B984="","",ROW()-4)</f>
        <v/>
      </c>
      <c r="B984" s="22"/>
      <c r="C984" s="21" t="str">
        <f aca="false">IF(B984="","",CHOOSE(WEEKDAY(B984,2),"LUNES","MARTES","MIÉRCOLES","JUEVES","VIERNES","SÁBADO","DOMINGO"))</f>
        <v/>
      </c>
      <c r="M984" s="23"/>
      <c r="Q984" s="21" t="str">
        <f aca="false">IF(OR(K984="",N984=""),"",K984-N984)</f>
        <v/>
      </c>
      <c r="R984" s="21" t="str">
        <f aca="false">IF(OR(J984="",K984=""),"",J984*K984)</f>
        <v/>
      </c>
      <c r="S984" s="21" t="str">
        <f aca="false">IF(AND(ISNUMBER(J984),ISNUMBER(K984),F984&lt;&gt;"Calentamiento",F984&lt;&gt;"Bilbo"),IF(AND(K984&gt;0,K984&lt;=12),ROUND(J984*(1+(K984+IF(ISNUMBER(L984),L984,0))/30),1),""),"")</f>
        <v/>
      </c>
      <c r="T984" s="21" t="str">
        <f aca="false">IF(AND(F984="Bilbo",ISNUMBER(J984),ISNUMBER(K984)),ROUND(J984*(1+K984/30),1),"")</f>
        <v/>
      </c>
      <c r="W984" s="22"/>
      <c r="X984" s="21" t="str">
        <f aca="false">IF(AND(F984="Bilbo",E984&lt;&gt;"",G984&lt;&gt;"",H984&lt;&gt;""),E984&amp;"|"&amp;G984&amp;"|"&amp;H984,"")</f>
        <v/>
      </c>
      <c r="Y984" s="21" t="str">
        <f aca="false">IF(B984="","",IF(B984&lt;&gt;B983,1,0))</f>
        <v/>
      </c>
    </row>
    <row r="985" customFormat="false" ht="15" hidden="false" customHeight="true" outlineLevel="0" collapsed="false">
      <c r="A985" s="21" t="str">
        <f aca="false">IF(B985="","",ROW()-4)</f>
        <v/>
      </c>
      <c r="B985" s="22"/>
      <c r="C985" s="21" t="str">
        <f aca="false">IF(B985="","",CHOOSE(WEEKDAY(B985,2),"LUNES","MARTES","MIÉRCOLES","JUEVES","VIERNES","SÁBADO","DOMINGO"))</f>
        <v/>
      </c>
      <c r="M985" s="23"/>
      <c r="Q985" s="21" t="str">
        <f aca="false">IF(OR(K985="",N985=""),"",K985-N985)</f>
        <v/>
      </c>
      <c r="R985" s="21" t="str">
        <f aca="false">IF(OR(J985="",K985=""),"",J985*K985)</f>
        <v/>
      </c>
      <c r="S985" s="21" t="str">
        <f aca="false">IF(AND(ISNUMBER(J985),ISNUMBER(K985),F985&lt;&gt;"Calentamiento",F985&lt;&gt;"Bilbo"),IF(AND(K985&gt;0,K985&lt;=12),ROUND(J985*(1+(K985+IF(ISNUMBER(L985),L985,0))/30),1),""),"")</f>
        <v/>
      </c>
      <c r="T985" s="21" t="str">
        <f aca="false">IF(AND(F985="Bilbo",ISNUMBER(J985),ISNUMBER(K985)),ROUND(J985*(1+K985/30),1),"")</f>
        <v/>
      </c>
      <c r="W985" s="22"/>
      <c r="X985" s="21" t="str">
        <f aca="false">IF(AND(F985="Bilbo",E985&lt;&gt;"",G985&lt;&gt;"",H985&lt;&gt;""),E985&amp;"|"&amp;G985&amp;"|"&amp;H985,"")</f>
        <v/>
      </c>
      <c r="Y985" s="21" t="str">
        <f aca="false">IF(B985="","",IF(B985&lt;&gt;B984,1,0))</f>
        <v/>
      </c>
    </row>
    <row r="986" customFormat="false" ht="15" hidden="false" customHeight="true" outlineLevel="0" collapsed="false">
      <c r="A986" s="21" t="str">
        <f aca="false">IF(B986="","",ROW()-4)</f>
        <v/>
      </c>
      <c r="B986" s="22"/>
      <c r="C986" s="21" t="str">
        <f aca="false">IF(B986="","",CHOOSE(WEEKDAY(B986,2),"LUNES","MARTES","MIÉRCOLES","JUEVES","VIERNES","SÁBADO","DOMINGO"))</f>
        <v/>
      </c>
      <c r="M986" s="23"/>
      <c r="Q986" s="21" t="str">
        <f aca="false">IF(OR(K986="",N986=""),"",K986-N986)</f>
        <v/>
      </c>
      <c r="R986" s="21" t="str">
        <f aca="false">IF(OR(J986="",K986=""),"",J986*K986)</f>
        <v/>
      </c>
      <c r="S986" s="21" t="str">
        <f aca="false">IF(AND(ISNUMBER(J986),ISNUMBER(K986),F986&lt;&gt;"Calentamiento",F986&lt;&gt;"Bilbo"),IF(AND(K986&gt;0,K986&lt;=12),ROUND(J986*(1+(K986+IF(ISNUMBER(L986),L986,0))/30),1),""),"")</f>
        <v/>
      </c>
      <c r="T986" s="21" t="str">
        <f aca="false">IF(AND(F986="Bilbo",ISNUMBER(J986),ISNUMBER(K986)),ROUND(J986*(1+K986/30),1),"")</f>
        <v/>
      </c>
      <c r="W986" s="22"/>
      <c r="X986" s="21" t="str">
        <f aca="false">IF(AND(F986="Bilbo",E986&lt;&gt;"",G986&lt;&gt;"",H986&lt;&gt;""),E986&amp;"|"&amp;G986&amp;"|"&amp;H986,"")</f>
        <v/>
      </c>
      <c r="Y986" s="21" t="str">
        <f aca="false">IF(B986="","",IF(B986&lt;&gt;B985,1,0))</f>
        <v/>
      </c>
    </row>
    <row r="987" customFormat="false" ht="15" hidden="false" customHeight="true" outlineLevel="0" collapsed="false">
      <c r="A987" s="21" t="str">
        <f aca="false">IF(B987="","",ROW()-4)</f>
        <v/>
      </c>
      <c r="B987" s="22"/>
      <c r="C987" s="21" t="str">
        <f aca="false">IF(B987="","",CHOOSE(WEEKDAY(B987,2),"LUNES","MARTES","MIÉRCOLES","JUEVES","VIERNES","SÁBADO","DOMINGO"))</f>
        <v/>
      </c>
      <c r="M987" s="23"/>
      <c r="Q987" s="21" t="str">
        <f aca="false">IF(OR(K987="",N987=""),"",K987-N987)</f>
        <v/>
      </c>
      <c r="R987" s="21" t="str">
        <f aca="false">IF(OR(J987="",K987=""),"",J987*K987)</f>
        <v/>
      </c>
      <c r="S987" s="21" t="str">
        <f aca="false">IF(AND(ISNUMBER(J987),ISNUMBER(K987),F987&lt;&gt;"Calentamiento",F987&lt;&gt;"Bilbo"),IF(AND(K987&gt;0,K987&lt;=12),ROUND(J987*(1+(K987+IF(ISNUMBER(L987),L987,0))/30),1),""),"")</f>
        <v/>
      </c>
      <c r="T987" s="21" t="str">
        <f aca="false">IF(AND(F987="Bilbo",ISNUMBER(J987),ISNUMBER(K987)),ROUND(J987*(1+K987/30),1),"")</f>
        <v/>
      </c>
      <c r="W987" s="22"/>
      <c r="X987" s="21" t="str">
        <f aca="false">IF(AND(F987="Bilbo",E987&lt;&gt;"",G987&lt;&gt;"",H987&lt;&gt;""),E987&amp;"|"&amp;G987&amp;"|"&amp;H987,"")</f>
        <v/>
      </c>
      <c r="Y987" s="21" t="str">
        <f aca="false">IF(B987="","",IF(B987&lt;&gt;B986,1,0))</f>
        <v/>
      </c>
    </row>
    <row r="988" customFormat="false" ht="15" hidden="false" customHeight="true" outlineLevel="0" collapsed="false">
      <c r="A988" s="21" t="str">
        <f aca="false">IF(B988="","",ROW()-4)</f>
        <v/>
      </c>
      <c r="B988" s="22"/>
      <c r="C988" s="21" t="str">
        <f aca="false">IF(B988="","",CHOOSE(WEEKDAY(B988,2),"LUNES","MARTES","MIÉRCOLES","JUEVES","VIERNES","SÁBADO","DOMINGO"))</f>
        <v/>
      </c>
      <c r="M988" s="23"/>
      <c r="Q988" s="21" t="str">
        <f aca="false">IF(OR(K988="",N988=""),"",K988-N988)</f>
        <v/>
      </c>
      <c r="R988" s="21" t="str">
        <f aca="false">IF(OR(J988="",K988=""),"",J988*K988)</f>
        <v/>
      </c>
      <c r="S988" s="21" t="str">
        <f aca="false">IF(AND(ISNUMBER(J988),ISNUMBER(K988),F988&lt;&gt;"Calentamiento",F988&lt;&gt;"Bilbo"),IF(AND(K988&gt;0,K988&lt;=12),ROUND(J988*(1+(K988+IF(ISNUMBER(L988),L988,0))/30),1),""),"")</f>
        <v/>
      </c>
      <c r="T988" s="21" t="str">
        <f aca="false">IF(AND(F988="Bilbo",ISNUMBER(J988),ISNUMBER(K988)),ROUND(J988*(1+K988/30),1),"")</f>
        <v/>
      </c>
      <c r="W988" s="22"/>
      <c r="X988" s="21" t="str">
        <f aca="false">IF(AND(F988="Bilbo",E988&lt;&gt;"",G988&lt;&gt;"",H988&lt;&gt;""),E988&amp;"|"&amp;G988&amp;"|"&amp;H988,"")</f>
        <v/>
      </c>
      <c r="Y988" s="21" t="str">
        <f aca="false">IF(B988="","",IF(B988&lt;&gt;B987,1,0))</f>
        <v/>
      </c>
    </row>
    <row r="989" customFormat="false" ht="15" hidden="false" customHeight="true" outlineLevel="0" collapsed="false">
      <c r="A989" s="21" t="str">
        <f aca="false">IF(B989="","",ROW()-4)</f>
        <v/>
      </c>
      <c r="B989" s="22"/>
      <c r="C989" s="21" t="str">
        <f aca="false">IF(B989="","",CHOOSE(WEEKDAY(B989,2),"LUNES","MARTES","MIÉRCOLES","JUEVES","VIERNES","SÁBADO","DOMINGO"))</f>
        <v/>
      </c>
      <c r="M989" s="23"/>
      <c r="Q989" s="21" t="str">
        <f aca="false">IF(OR(K989="",N989=""),"",K989-N989)</f>
        <v/>
      </c>
      <c r="R989" s="21" t="str">
        <f aca="false">IF(OR(J989="",K989=""),"",J989*K989)</f>
        <v/>
      </c>
      <c r="S989" s="21" t="str">
        <f aca="false">IF(AND(ISNUMBER(J989),ISNUMBER(K989),F989&lt;&gt;"Calentamiento",F989&lt;&gt;"Bilbo"),IF(AND(K989&gt;0,K989&lt;=12),ROUND(J989*(1+(K989+IF(ISNUMBER(L989),L989,0))/30),1),""),"")</f>
        <v/>
      </c>
      <c r="T989" s="21" t="str">
        <f aca="false">IF(AND(F989="Bilbo",ISNUMBER(J989),ISNUMBER(K989)),ROUND(J989*(1+K989/30),1),"")</f>
        <v/>
      </c>
      <c r="W989" s="22"/>
      <c r="X989" s="21" t="str">
        <f aca="false">IF(AND(F989="Bilbo",E989&lt;&gt;"",G989&lt;&gt;"",H989&lt;&gt;""),E989&amp;"|"&amp;G989&amp;"|"&amp;H989,"")</f>
        <v/>
      </c>
      <c r="Y989" s="21" t="str">
        <f aca="false">IF(B989="","",IF(B989&lt;&gt;B988,1,0))</f>
        <v/>
      </c>
    </row>
    <row r="990" customFormat="false" ht="15" hidden="false" customHeight="true" outlineLevel="0" collapsed="false">
      <c r="A990" s="21" t="str">
        <f aca="false">IF(B990="","",ROW()-4)</f>
        <v/>
      </c>
      <c r="B990" s="22"/>
      <c r="C990" s="21" t="str">
        <f aca="false">IF(B990="","",CHOOSE(WEEKDAY(B990,2),"LUNES","MARTES","MIÉRCOLES","JUEVES","VIERNES","SÁBADO","DOMINGO"))</f>
        <v/>
      </c>
      <c r="M990" s="23"/>
      <c r="Q990" s="21" t="str">
        <f aca="false">IF(OR(K990="",N990=""),"",K990-N990)</f>
        <v/>
      </c>
      <c r="R990" s="21" t="str">
        <f aca="false">IF(OR(J990="",K990=""),"",J990*K990)</f>
        <v/>
      </c>
      <c r="S990" s="21" t="str">
        <f aca="false">IF(AND(ISNUMBER(J990),ISNUMBER(K990),F990&lt;&gt;"Calentamiento",F990&lt;&gt;"Bilbo"),IF(AND(K990&gt;0,K990&lt;=12),ROUND(J990*(1+(K990+IF(ISNUMBER(L990),L990,0))/30),1),""),"")</f>
        <v/>
      </c>
      <c r="T990" s="21" t="str">
        <f aca="false">IF(AND(F990="Bilbo",ISNUMBER(J990),ISNUMBER(K990)),ROUND(J990*(1+K990/30),1),"")</f>
        <v/>
      </c>
      <c r="W990" s="22"/>
      <c r="X990" s="21" t="str">
        <f aca="false">IF(AND(F990="Bilbo",E990&lt;&gt;"",G990&lt;&gt;"",H990&lt;&gt;""),E990&amp;"|"&amp;G990&amp;"|"&amp;H990,"")</f>
        <v/>
      </c>
      <c r="Y990" s="21" t="str">
        <f aca="false">IF(B990="","",IF(B990&lt;&gt;B989,1,0))</f>
        <v/>
      </c>
    </row>
    <row r="991" customFormat="false" ht="15" hidden="false" customHeight="true" outlineLevel="0" collapsed="false">
      <c r="A991" s="21" t="str">
        <f aca="false">IF(B991="","",ROW()-4)</f>
        <v/>
      </c>
      <c r="B991" s="22"/>
      <c r="C991" s="21" t="str">
        <f aca="false">IF(B991="","",CHOOSE(WEEKDAY(B991,2),"LUNES","MARTES","MIÉRCOLES","JUEVES","VIERNES","SÁBADO","DOMINGO"))</f>
        <v/>
      </c>
      <c r="M991" s="23"/>
      <c r="Q991" s="21" t="str">
        <f aca="false">IF(OR(K991="",N991=""),"",K991-N991)</f>
        <v/>
      </c>
      <c r="R991" s="21" t="str">
        <f aca="false">IF(OR(J991="",K991=""),"",J991*K991)</f>
        <v/>
      </c>
      <c r="S991" s="21" t="str">
        <f aca="false">IF(AND(ISNUMBER(J991),ISNUMBER(K991),F991&lt;&gt;"Calentamiento",F991&lt;&gt;"Bilbo"),IF(AND(K991&gt;0,K991&lt;=12),ROUND(J991*(1+(K991+IF(ISNUMBER(L991),L991,0))/30),1),""),"")</f>
        <v/>
      </c>
      <c r="T991" s="21" t="str">
        <f aca="false">IF(AND(F991="Bilbo",ISNUMBER(J991),ISNUMBER(K991)),ROUND(J991*(1+K991/30),1),"")</f>
        <v/>
      </c>
      <c r="W991" s="22"/>
      <c r="X991" s="21" t="str">
        <f aca="false">IF(AND(F991="Bilbo",E991&lt;&gt;"",G991&lt;&gt;"",H991&lt;&gt;""),E991&amp;"|"&amp;G991&amp;"|"&amp;H991,"")</f>
        <v/>
      </c>
      <c r="Y991" s="21" t="str">
        <f aca="false">IF(B991="","",IF(B991&lt;&gt;B990,1,0))</f>
        <v/>
      </c>
    </row>
    <row r="992" customFormat="false" ht="15" hidden="false" customHeight="true" outlineLevel="0" collapsed="false">
      <c r="A992" s="21" t="str">
        <f aca="false">IF(B992="","",ROW()-4)</f>
        <v/>
      </c>
      <c r="B992" s="22"/>
      <c r="C992" s="21" t="str">
        <f aca="false">IF(B992="","",CHOOSE(WEEKDAY(B992,2),"LUNES","MARTES","MIÉRCOLES","JUEVES","VIERNES","SÁBADO","DOMINGO"))</f>
        <v/>
      </c>
      <c r="M992" s="23"/>
      <c r="Q992" s="21" t="str">
        <f aca="false">IF(OR(K992="",N992=""),"",K992-N992)</f>
        <v/>
      </c>
      <c r="R992" s="21" t="str">
        <f aca="false">IF(OR(J992="",K992=""),"",J992*K992)</f>
        <v/>
      </c>
      <c r="S992" s="21" t="str">
        <f aca="false">IF(AND(ISNUMBER(J992),ISNUMBER(K992),F992&lt;&gt;"Calentamiento",F992&lt;&gt;"Bilbo"),IF(AND(K992&gt;0,K992&lt;=12),ROUND(J992*(1+(K992+IF(ISNUMBER(L992),L992,0))/30),1),""),"")</f>
        <v/>
      </c>
      <c r="T992" s="21" t="str">
        <f aca="false">IF(AND(F992="Bilbo",ISNUMBER(J992),ISNUMBER(K992)),ROUND(J992*(1+K992/30),1),"")</f>
        <v/>
      </c>
      <c r="W992" s="22"/>
      <c r="X992" s="21" t="str">
        <f aca="false">IF(AND(F992="Bilbo",E992&lt;&gt;"",G992&lt;&gt;"",H992&lt;&gt;""),E992&amp;"|"&amp;G992&amp;"|"&amp;H992,"")</f>
        <v/>
      </c>
      <c r="Y992" s="21" t="str">
        <f aca="false">IF(B992="","",IF(B992&lt;&gt;B991,1,0))</f>
        <v/>
      </c>
    </row>
    <row r="993" customFormat="false" ht="15" hidden="false" customHeight="true" outlineLevel="0" collapsed="false">
      <c r="A993" s="21" t="str">
        <f aca="false">IF(B993="","",ROW()-4)</f>
        <v/>
      </c>
      <c r="B993" s="22"/>
      <c r="C993" s="21" t="str">
        <f aca="false">IF(B993="","",CHOOSE(WEEKDAY(B993,2),"LUNES","MARTES","MIÉRCOLES","JUEVES","VIERNES","SÁBADO","DOMINGO"))</f>
        <v/>
      </c>
      <c r="M993" s="23"/>
      <c r="Q993" s="21" t="str">
        <f aca="false">IF(OR(K993="",N993=""),"",K993-N993)</f>
        <v/>
      </c>
      <c r="R993" s="21" t="str">
        <f aca="false">IF(OR(J993="",K993=""),"",J993*K993)</f>
        <v/>
      </c>
      <c r="S993" s="21" t="str">
        <f aca="false">IF(AND(ISNUMBER(J993),ISNUMBER(K993),F993&lt;&gt;"Calentamiento",F993&lt;&gt;"Bilbo"),IF(AND(K993&gt;0,K993&lt;=12),ROUND(J993*(1+(K993+IF(ISNUMBER(L993),L993,0))/30),1),""),"")</f>
        <v/>
      </c>
      <c r="T993" s="21" t="str">
        <f aca="false">IF(AND(F993="Bilbo",ISNUMBER(J993),ISNUMBER(K993)),ROUND(J993*(1+K993/30),1),"")</f>
        <v/>
      </c>
      <c r="W993" s="22"/>
      <c r="X993" s="21" t="str">
        <f aca="false">IF(AND(F993="Bilbo",E993&lt;&gt;"",G993&lt;&gt;"",H993&lt;&gt;""),E993&amp;"|"&amp;G993&amp;"|"&amp;H993,"")</f>
        <v/>
      </c>
      <c r="Y993" s="21" t="str">
        <f aca="false">IF(B993="","",IF(B993&lt;&gt;B992,1,0))</f>
        <v/>
      </c>
    </row>
    <row r="994" customFormat="false" ht="15" hidden="false" customHeight="true" outlineLevel="0" collapsed="false">
      <c r="A994" s="21" t="str">
        <f aca="false">IF(B994="","",ROW()-4)</f>
        <v/>
      </c>
      <c r="B994" s="22"/>
      <c r="C994" s="21" t="str">
        <f aca="false">IF(B994="","",CHOOSE(WEEKDAY(B994,2),"LUNES","MARTES","MIÉRCOLES","JUEVES","VIERNES","SÁBADO","DOMINGO"))</f>
        <v/>
      </c>
      <c r="M994" s="23"/>
      <c r="Q994" s="21" t="str">
        <f aca="false">IF(OR(K994="",N994=""),"",K994-N994)</f>
        <v/>
      </c>
      <c r="R994" s="21" t="str">
        <f aca="false">IF(OR(J994="",K994=""),"",J994*K994)</f>
        <v/>
      </c>
      <c r="S994" s="21" t="str">
        <f aca="false">IF(AND(ISNUMBER(J994),ISNUMBER(K994),F994&lt;&gt;"Calentamiento",F994&lt;&gt;"Bilbo"),IF(AND(K994&gt;0,K994&lt;=12),ROUND(J994*(1+(K994+IF(ISNUMBER(L994),L994,0))/30),1),""),"")</f>
        <v/>
      </c>
      <c r="T994" s="21" t="str">
        <f aca="false">IF(AND(F994="Bilbo",ISNUMBER(J994),ISNUMBER(K994)),ROUND(J994*(1+K994/30),1),"")</f>
        <v/>
      </c>
      <c r="W994" s="22"/>
      <c r="X994" s="21" t="str">
        <f aca="false">IF(AND(F994="Bilbo",E994&lt;&gt;"",G994&lt;&gt;"",H994&lt;&gt;""),E994&amp;"|"&amp;G994&amp;"|"&amp;H994,"")</f>
        <v/>
      </c>
      <c r="Y994" s="21" t="str">
        <f aca="false">IF(B994="","",IF(B994&lt;&gt;B993,1,0))</f>
        <v/>
      </c>
    </row>
    <row r="995" customFormat="false" ht="15" hidden="false" customHeight="true" outlineLevel="0" collapsed="false">
      <c r="A995" s="21" t="str">
        <f aca="false">IF(B995="","",ROW()-4)</f>
        <v/>
      </c>
      <c r="B995" s="22"/>
      <c r="C995" s="21" t="str">
        <f aca="false">IF(B995="","",CHOOSE(WEEKDAY(B995,2),"LUNES","MARTES","MIÉRCOLES","JUEVES","VIERNES","SÁBADO","DOMINGO"))</f>
        <v/>
      </c>
      <c r="M995" s="23"/>
      <c r="Q995" s="21" t="str">
        <f aca="false">IF(OR(K995="",N995=""),"",K995-N995)</f>
        <v/>
      </c>
      <c r="R995" s="21" t="str">
        <f aca="false">IF(OR(J995="",K995=""),"",J995*K995)</f>
        <v/>
      </c>
      <c r="S995" s="21" t="str">
        <f aca="false">IF(AND(ISNUMBER(J995),ISNUMBER(K995),F995&lt;&gt;"Calentamiento",F995&lt;&gt;"Bilbo"),IF(AND(K995&gt;0,K995&lt;=12),ROUND(J995*(1+(K995+IF(ISNUMBER(L995),L995,0))/30),1),""),"")</f>
        <v/>
      </c>
      <c r="T995" s="21" t="str">
        <f aca="false">IF(AND(F995="Bilbo",ISNUMBER(J995),ISNUMBER(K995)),ROUND(J995*(1+K995/30),1),"")</f>
        <v/>
      </c>
      <c r="W995" s="22"/>
      <c r="X995" s="21" t="str">
        <f aca="false">IF(AND(F995="Bilbo",E995&lt;&gt;"",G995&lt;&gt;"",H995&lt;&gt;""),E995&amp;"|"&amp;G995&amp;"|"&amp;H995,"")</f>
        <v/>
      </c>
      <c r="Y995" s="21" t="str">
        <f aca="false">IF(B995="","",IF(B995&lt;&gt;B994,1,0))</f>
        <v/>
      </c>
    </row>
    <row r="996" customFormat="false" ht="15" hidden="false" customHeight="true" outlineLevel="0" collapsed="false">
      <c r="A996" s="21" t="str">
        <f aca="false">IF(B996="","",ROW()-4)</f>
        <v/>
      </c>
      <c r="B996" s="22"/>
      <c r="C996" s="21" t="str">
        <f aca="false">IF(B996="","",CHOOSE(WEEKDAY(B996,2),"LUNES","MARTES","MIÉRCOLES","JUEVES","VIERNES","SÁBADO","DOMINGO"))</f>
        <v/>
      </c>
      <c r="M996" s="23"/>
      <c r="Q996" s="21" t="str">
        <f aca="false">IF(OR(K996="",N996=""),"",K996-N996)</f>
        <v/>
      </c>
      <c r="R996" s="21" t="str">
        <f aca="false">IF(OR(J996="",K996=""),"",J996*K996)</f>
        <v/>
      </c>
      <c r="S996" s="21" t="str">
        <f aca="false">IF(AND(ISNUMBER(J996),ISNUMBER(K996),F996&lt;&gt;"Calentamiento",F996&lt;&gt;"Bilbo"),IF(AND(K996&gt;0,K996&lt;=12),ROUND(J996*(1+(K996+IF(ISNUMBER(L996),L996,0))/30),1),""),"")</f>
        <v/>
      </c>
      <c r="T996" s="21" t="str">
        <f aca="false">IF(AND(F996="Bilbo",ISNUMBER(J996),ISNUMBER(K996)),ROUND(J996*(1+K996/30),1),"")</f>
        <v/>
      </c>
      <c r="W996" s="22"/>
      <c r="X996" s="21" t="str">
        <f aca="false">IF(AND(F996="Bilbo",E996&lt;&gt;"",G996&lt;&gt;"",H996&lt;&gt;""),E996&amp;"|"&amp;G996&amp;"|"&amp;H996,"")</f>
        <v/>
      </c>
      <c r="Y996" s="21" t="str">
        <f aca="false">IF(B996="","",IF(B996&lt;&gt;B995,1,0))</f>
        <v/>
      </c>
    </row>
    <row r="997" customFormat="false" ht="15" hidden="false" customHeight="true" outlineLevel="0" collapsed="false">
      <c r="A997" s="21" t="str">
        <f aca="false">IF(B997="","",ROW()-4)</f>
        <v/>
      </c>
      <c r="B997" s="22"/>
      <c r="C997" s="21" t="str">
        <f aca="false">IF(B997="","",CHOOSE(WEEKDAY(B997,2),"LUNES","MARTES","MIÉRCOLES","JUEVES","VIERNES","SÁBADO","DOMINGO"))</f>
        <v/>
      </c>
      <c r="M997" s="23"/>
      <c r="Q997" s="21" t="str">
        <f aca="false">IF(OR(K997="",N997=""),"",K997-N997)</f>
        <v/>
      </c>
      <c r="R997" s="21" t="str">
        <f aca="false">IF(OR(J997="",K997=""),"",J997*K997)</f>
        <v/>
      </c>
      <c r="S997" s="21" t="str">
        <f aca="false">IF(AND(ISNUMBER(J997),ISNUMBER(K997),F997&lt;&gt;"Calentamiento",F997&lt;&gt;"Bilbo"),IF(AND(K997&gt;0,K997&lt;=12),ROUND(J997*(1+(K997+IF(ISNUMBER(L997),L997,0))/30),1),""),"")</f>
        <v/>
      </c>
      <c r="T997" s="21" t="str">
        <f aca="false">IF(AND(F997="Bilbo",ISNUMBER(J997),ISNUMBER(K997)),ROUND(J997*(1+K997/30),1),"")</f>
        <v/>
      </c>
      <c r="W997" s="22"/>
      <c r="X997" s="21" t="str">
        <f aca="false">IF(AND(F997="Bilbo",E997&lt;&gt;"",G997&lt;&gt;"",H997&lt;&gt;""),E997&amp;"|"&amp;G997&amp;"|"&amp;H997,"")</f>
        <v/>
      </c>
      <c r="Y997" s="21" t="str">
        <f aca="false">IF(B997="","",IF(B997&lt;&gt;B996,1,0))</f>
        <v/>
      </c>
    </row>
    <row r="998" customFormat="false" ht="15" hidden="false" customHeight="true" outlineLevel="0" collapsed="false">
      <c r="A998" s="21" t="str">
        <f aca="false">IF(B998="","",ROW()-4)</f>
        <v/>
      </c>
      <c r="B998" s="22"/>
      <c r="C998" s="21" t="str">
        <f aca="false">IF(B998="","",CHOOSE(WEEKDAY(B998,2),"LUNES","MARTES","MIÉRCOLES","JUEVES","VIERNES","SÁBADO","DOMINGO"))</f>
        <v/>
      </c>
      <c r="M998" s="23"/>
      <c r="Q998" s="21" t="str">
        <f aca="false">IF(OR(K998="",N998=""),"",K998-N998)</f>
        <v/>
      </c>
      <c r="R998" s="21" t="str">
        <f aca="false">IF(OR(J998="",K998=""),"",J998*K998)</f>
        <v/>
      </c>
      <c r="S998" s="21" t="str">
        <f aca="false">IF(AND(ISNUMBER(J998),ISNUMBER(K998),F998&lt;&gt;"Calentamiento",F998&lt;&gt;"Bilbo"),IF(AND(K998&gt;0,K998&lt;=12),ROUND(J998*(1+(K998+IF(ISNUMBER(L998),L998,0))/30),1),""),"")</f>
        <v/>
      </c>
      <c r="T998" s="21" t="str">
        <f aca="false">IF(AND(F998="Bilbo",ISNUMBER(J998),ISNUMBER(K998)),ROUND(J998*(1+K998/30),1),"")</f>
        <v/>
      </c>
      <c r="W998" s="22"/>
      <c r="X998" s="21" t="str">
        <f aca="false">IF(AND(F998="Bilbo",E998&lt;&gt;"",G998&lt;&gt;"",H998&lt;&gt;""),E998&amp;"|"&amp;G998&amp;"|"&amp;H998,"")</f>
        <v/>
      </c>
      <c r="Y998" s="21" t="str">
        <f aca="false">IF(B998="","",IF(B998&lt;&gt;B997,1,0))</f>
        <v/>
      </c>
    </row>
    <row r="999" customFormat="false" ht="15" hidden="false" customHeight="true" outlineLevel="0" collapsed="false">
      <c r="A999" s="21" t="str">
        <f aca="false">IF(B999="","",ROW()-4)</f>
        <v/>
      </c>
      <c r="B999" s="22"/>
      <c r="C999" s="21" t="str">
        <f aca="false">IF(B999="","",CHOOSE(WEEKDAY(B999,2),"LUNES","MARTES","MIÉRCOLES","JUEVES","VIERNES","SÁBADO","DOMINGO"))</f>
        <v/>
      </c>
      <c r="M999" s="23"/>
      <c r="Q999" s="21" t="str">
        <f aca="false">IF(OR(K999="",N999=""),"",K999-N999)</f>
        <v/>
      </c>
      <c r="R999" s="21" t="str">
        <f aca="false">IF(OR(J999="",K999=""),"",J999*K999)</f>
        <v/>
      </c>
      <c r="S999" s="21" t="str">
        <f aca="false">IF(AND(ISNUMBER(J999),ISNUMBER(K999),F999&lt;&gt;"Calentamiento",F999&lt;&gt;"Bilbo"),IF(AND(K999&gt;0,K999&lt;=12),ROUND(J999*(1+(K999+IF(ISNUMBER(L999),L999,0))/30),1),""),"")</f>
        <v/>
      </c>
      <c r="T999" s="21" t="str">
        <f aca="false">IF(AND(F999="Bilbo",ISNUMBER(J999),ISNUMBER(K999)),ROUND(J999*(1+K999/30),1),"")</f>
        <v/>
      </c>
      <c r="W999" s="22"/>
      <c r="X999" s="21" t="str">
        <f aca="false">IF(AND(F999="Bilbo",E999&lt;&gt;"",G999&lt;&gt;"",H999&lt;&gt;""),E999&amp;"|"&amp;G999&amp;"|"&amp;H999,"")</f>
        <v/>
      </c>
      <c r="Y999" s="21" t="str">
        <f aca="false">IF(B999="","",IF(B999&lt;&gt;B998,1,0))</f>
        <v/>
      </c>
    </row>
    <row r="1000" customFormat="false" ht="15" hidden="false" customHeight="true" outlineLevel="0" collapsed="false">
      <c r="A1000" s="21" t="str">
        <f aca="false">IF(B1000="","",ROW()-4)</f>
        <v/>
      </c>
      <c r="B1000" s="22"/>
      <c r="C1000" s="21" t="str">
        <f aca="false">IF(B1000="","",CHOOSE(WEEKDAY(B1000,2),"LUNES","MARTES","MIÉRCOLES","JUEVES","VIERNES","SÁBADO","DOMINGO"))</f>
        <v/>
      </c>
      <c r="M1000" s="23"/>
      <c r="Q1000" s="21" t="str">
        <f aca="false">IF(OR(K1000="",N1000=""),"",K1000-N1000)</f>
        <v/>
      </c>
      <c r="R1000" s="21" t="str">
        <f aca="false">IF(OR(J1000="",K1000=""),"",J1000*K1000)</f>
        <v/>
      </c>
      <c r="S1000" s="21" t="str">
        <f aca="false">IF(AND(ISNUMBER(J1000),ISNUMBER(K1000),F1000&lt;&gt;"Calentamiento",F1000&lt;&gt;"Bilbo"),IF(AND(K1000&gt;0,K1000&lt;=12),ROUND(J1000*(1+(K1000+IF(ISNUMBER(L1000),L1000,0))/30),1),""),"")</f>
        <v/>
      </c>
      <c r="T1000" s="21" t="str">
        <f aca="false">IF(AND(F1000="Bilbo",ISNUMBER(J1000),ISNUMBER(K1000)),ROUND(J1000*(1+K1000/30),1),"")</f>
        <v/>
      </c>
      <c r="W1000" s="22"/>
      <c r="X1000" s="21" t="str">
        <f aca="false">IF(AND(F1000="Bilbo",E1000&lt;&gt;"",G1000&lt;&gt;"",H1000&lt;&gt;""),E1000&amp;"|"&amp;G1000&amp;"|"&amp;H1000,"")</f>
        <v/>
      </c>
      <c r="Y1000" s="21" t="str">
        <f aca="false">IF(B1000="","",IF(B1000&lt;&gt;B999,1,0))</f>
        <v/>
      </c>
    </row>
    <row r="1001" customFormat="false" ht="15" hidden="false" customHeight="true" outlineLevel="0" collapsed="false">
      <c r="A1001" s="21" t="str">
        <f aca="false">IF(B1001="","",ROW()-4)</f>
        <v/>
      </c>
      <c r="B1001" s="22"/>
      <c r="C1001" s="21" t="str">
        <f aca="false">IF(B1001="","",CHOOSE(WEEKDAY(B1001,2),"LUNES","MARTES","MIÉRCOLES","JUEVES","VIERNES","SÁBADO","DOMINGO"))</f>
        <v/>
      </c>
      <c r="M1001" s="23"/>
      <c r="Q1001" s="21" t="str">
        <f aca="false">IF(OR(K1001="",N1001=""),"",K1001-N1001)</f>
        <v/>
      </c>
      <c r="R1001" s="21" t="str">
        <f aca="false">IF(OR(J1001="",K1001=""),"",J1001*K1001)</f>
        <v/>
      </c>
      <c r="S1001" s="21" t="str">
        <f aca="false">IF(AND(ISNUMBER(J1001),ISNUMBER(K1001),F1001&lt;&gt;"Calentamiento",F1001&lt;&gt;"Bilbo"),IF(AND(K1001&gt;0,K1001&lt;=12),ROUND(J1001*(1+(K1001+IF(ISNUMBER(L1001),L1001,0))/30),1),""),"")</f>
        <v/>
      </c>
      <c r="T1001" s="21" t="str">
        <f aca="false">IF(AND(F1001="Bilbo",ISNUMBER(J1001),ISNUMBER(K1001)),ROUND(J1001*(1+K1001/30),1),"")</f>
        <v/>
      </c>
      <c r="W1001" s="22"/>
      <c r="X1001" s="21" t="str">
        <f aca="false">IF(AND(F1001="Bilbo",E1001&lt;&gt;"",G1001&lt;&gt;"",H1001&lt;&gt;""),E1001&amp;"|"&amp;G1001&amp;"|"&amp;H1001,"")</f>
        <v/>
      </c>
      <c r="Y1001" s="21" t="str">
        <f aca="false">IF(B1001="","",IF(B1001&lt;&gt;B1000,1,0))</f>
        <v/>
      </c>
    </row>
    <row r="1002" customFormat="false" ht="15" hidden="false" customHeight="true" outlineLevel="0" collapsed="false">
      <c r="A1002" s="21" t="str">
        <f aca="false">IF(B1002="","",ROW()-4)</f>
        <v/>
      </c>
      <c r="B1002" s="22"/>
      <c r="C1002" s="21" t="str">
        <f aca="false">IF(B1002="","",CHOOSE(WEEKDAY(B1002,2),"LUNES","MARTES","MIÉRCOLES","JUEVES","VIERNES","SÁBADO","DOMINGO"))</f>
        <v/>
      </c>
      <c r="M1002" s="23"/>
      <c r="Q1002" s="21" t="str">
        <f aca="false">IF(OR(K1002="",N1002=""),"",K1002-N1002)</f>
        <v/>
      </c>
      <c r="R1002" s="21" t="str">
        <f aca="false">IF(OR(J1002="",K1002=""),"",J1002*K1002)</f>
        <v/>
      </c>
      <c r="S1002" s="21" t="str">
        <f aca="false">IF(AND(ISNUMBER(J1002),ISNUMBER(K1002),F1002&lt;&gt;"Calentamiento",F1002&lt;&gt;"Bilbo"),IF(AND(K1002&gt;0,K1002&lt;=12),ROUND(J1002*(1+(K1002+IF(ISNUMBER(L1002),L1002,0))/30),1),""),"")</f>
        <v/>
      </c>
      <c r="T1002" s="21" t="str">
        <f aca="false">IF(AND(F1002="Bilbo",ISNUMBER(J1002),ISNUMBER(K1002)),ROUND(J1002*(1+K1002/30),1),"")</f>
        <v/>
      </c>
      <c r="W1002" s="22"/>
      <c r="X1002" s="21" t="str">
        <f aca="false">IF(AND(F1002="Bilbo",E1002&lt;&gt;"",G1002&lt;&gt;"",H1002&lt;&gt;""),E1002&amp;"|"&amp;G1002&amp;"|"&amp;H1002,"")</f>
        <v/>
      </c>
      <c r="Y1002" s="21" t="str">
        <f aca="false">IF(B1002="","",IF(B1002&lt;&gt;B1001,1,0))</f>
        <v/>
      </c>
    </row>
    <row r="1003" customFormat="false" ht="15" hidden="false" customHeight="true" outlineLevel="0" collapsed="false">
      <c r="A1003" s="21" t="str">
        <f aca="false">IF(B1003="","",ROW()-4)</f>
        <v/>
      </c>
      <c r="B1003" s="22"/>
      <c r="C1003" s="21" t="str">
        <f aca="false">IF(B1003="","",CHOOSE(WEEKDAY(B1003,2),"LUNES","MARTES","MIÉRCOLES","JUEVES","VIERNES","SÁBADO","DOMINGO"))</f>
        <v/>
      </c>
      <c r="M1003" s="23"/>
      <c r="Q1003" s="21" t="str">
        <f aca="false">IF(OR(K1003="",N1003=""),"",K1003-N1003)</f>
        <v/>
      </c>
      <c r="R1003" s="21" t="str">
        <f aca="false">IF(OR(J1003="",K1003=""),"",J1003*K1003)</f>
        <v/>
      </c>
      <c r="S1003" s="21" t="str">
        <f aca="false">IF(AND(ISNUMBER(J1003),ISNUMBER(K1003),F1003&lt;&gt;"Calentamiento",F1003&lt;&gt;"Bilbo"),IF(AND(K1003&gt;0,K1003&lt;=12),ROUND(J1003*(1+(K1003+IF(ISNUMBER(L1003),L1003,0))/30),1),""),"")</f>
        <v/>
      </c>
      <c r="T1003" s="21" t="str">
        <f aca="false">IF(AND(F1003="Bilbo",ISNUMBER(J1003),ISNUMBER(K1003)),ROUND(J1003*(1+K1003/30),1),"")</f>
        <v/>
      </c>
      <c r="W1003" s="22"/>
      <c r="X1003" s="21" t="str">
        <f aca="false">IF(AND(F1003="Bilbo",E1003&lt;&gt;"",G1003&lt;&gt;"",H1003&lt;&gt;""),E1003&amp;"|"&amp;G1003&amp;"|"&amp;H1003,"")</f>
        <v/>
      </c>
      <c r="Y1003" s="21" t="str">
        <f aca="false">IF(B1003="","",IF(B1003&lt;&gt;B1002,1,0))</f>
        <v/>
      </c>
    </row>
    <row r="1004" customFormat="false" ht="15" hidden="false" customHeight="true" outlineLevel="0" collapsed="false">
      <c r="A1004" s="21" t="str">
        <f aca="false">IF(B1004="","",ROW()-4)</f>
        <v/>
      </c>
      <c r="B1004" s="22"/>
      <c r="C1004" s="21" t="str">
        <f aca="false">IF(B1004="","",CHOOSE(WEEKDAY(B1004,2),"LUNES","MARTES","MIÉRCOLES","JUEVES","VIERNES","SÁBADO","DOMINGO"))</f>
        <v/>
      </c>
      <c r="M1004" s="23"/>
      <c r="Q1004" s="21" t="str">
        <f aca="false">IF(OR(K1004="",N1004=""),"",K1004-N1004)</f>
        <v/>
      </c>
      <c r="R1004" s="21" t="str">
        <f aca="false">IF(OR(J1004="",K1004=""),"",J1004*K1004)</f>
        <v/>
      </c>
      <c r="S1004" s="21" t="str">
        <f aca="false">IF(AND(ISNUMBER(J1004),ISNUMBER(K1004),F1004&lt;&gt;"Calentamiento",F1004&lt;&gt;"Bilbo"),IF(AND(K1004&gt;0,K1004&lt;=12),ROUND(J1004*(1+(K1004+IF(ISNUMBER(L1004),L1004,0))/30),1),""),"")</f>
        <v/>
      </c>
      <c r="T1004" s="21" t="str">
        <f aca="false">IF(AND(F1004="Bilbo",ISNUMBER(J1004),ISNUMBER(K1004)),ROUND(J1004*(1+K1004/30),1),"")</f>
        <v/>
      </c>
      <c r="W1004" s="22"/>
      <c r="X1004" s="21" t="str">
        <f aca="false">IF(AND(F1004="Bilbo",E1004&lt;&gt;"",G1004&lt;&gt;"",H1004&lt;&gt;""),E1004&amp;"|"&amp;G1004&amp;"|"&amp;H1004,"")</f>
        <v/>
      </c>
      <c r="Y1004" s="21" t="str">
        <f aca="false">IF(B1004="","",IF(B1004&lt;&gt;B1003,1,0))</f>
        <v/>
      </c>
    </row>
    <row r="1005" customFormat="false" ht="15" hidden="false" customHeight="true" outlineLevel="0" collapsed="false">
      <c r="A1005" s="21" t="str">
        <f aca="false">IF(B1005="","",ROW()-4)</f>
        <v/>
      </c>
      <c r="B1005" s="22"/>
      <c r="C1005" s="21" t="str">
        <f aca="false">IF(B1005="","",CHOOSE(WEEKDAY(B1005,2),"LUNES","MARTES","MIÉRCOLES","JUEVES","VIERNES","SÁBADO","DOMINGO"))</f>
        <v/>
      </c>
      <c r="M1005" s="23"/>
      <c r="Q1005" s="21" t="str">
        <f aca="false">IF(OR(K1005="",N1005=""),"",K1005-N1005)</f>
        <v/>
      </c>
      <c r="R1005" s="21" t="str">
        <f aca="false">IF(OR(J1005="",K1005=""),"",J1005*K1005)</f>
        <v/>
      </c>
      <c r="S1005" s="21" t="str">
        <f aca="false">IF(AND(ISNUMBER(J1005),ISNUMBER(K1005),F1005&lt;&gt;"Calentamiento",F1005&lt;&gt;"Bilbo"),IF(AND(K1005&gt;0,K1005&lt;=12),ROUND(J1005*(1+(K1005+IF(ISNUMBER(L1005),L1005,0))/30),1),""),"")</f>
        <v/>
      </c>
      <c r="T1005" s="21" t="str">
        <f aca="false">IF(AND(F1005="Bilbo",ISNUMBER(J1005),ISNUMBER(K1005)),ROUND(J1005*(1+K1005/30),1),"")</f>
        <v/>
      </c>
      <c r="W1005" s="22"/>
      <c r="X1005" s="21" t="str">
        <f aca="false">IF(AND(F1005="Bilbo",E1005&lt;&gt;"",G1005&lt;&gt;"",H1005&lt;&gt;""),E1005&amp;"|"&amp;G1005&amp;"|"&amp;H1005,"")</f>
        <v/>
      </c>
      <c r="Y1005" s="21" t="str">
        <f aca="false">IF(B1005="","",IF(B1005&lt;&gt;B1004,1,0))</f>
        <v/>
      </c>
    </row>
    <row r="1006" customFormat="false" ht="15" hidden="false" customHeight="true" outlineLevel="0" collapsed="false">
      <c r="A1006" s="21" t="str">
        <f aca="false">IF(B1006="","",ROW()-4)</f>
        <v/>
      </c>
      <c r="B1006" s="22"/>
      <c r="C1006" s="21" t="str">
        <f aca="false">IF(B1006="","",CHOOSE(WEEKDAY(B1006,2),"LUNES","MARTES","MIÉRCOLES","JUEVES","VIERNES","SÁBADO","DOMINGO"))</f>
        <v/>
      </c>
      <c r="M1006" s="23"/>
      <c r="Q1006" s="21" t="str">
        <f aca="false">IF(OR(K1006="",N1006=""),"",K1006-N1006)</f>
        <v/>
      </c>
      <c r="R1006" s="21" t="str">
        <f aca="false">IF(OR(J1006="",K1006=""),"",J1006*K1006)</f>
        <v/>
      </c>
      <c r="S1006" s="21" t="str">
        <f aca="false">IF(AND(ISNUMBER(J1006),ISNUMBER(K1006),F1006&lt;&gt;"Calentamiento",F1006&lt;&gt;"Bilbo"),IF(AND(K1006&gt;0,K1006&lt;=12),ROUND(J1006*(1+(K1006+IF(ISNUMBER(L1006),L1006,0))/30),1),""),"")</f>
        <v/>
      </c>
      <c r="T1006" s="21" t="str">
        <f aca="false">IF(AND(F1006="Bilbo",ISNUMBER(J1006),ISNUMBER(K1006)),ROUND(J1006*(1+K1006/30),1),"")</f>
        <v/>
      </c>
      <c r="W1006" s="22"/>
      <c r="X1006" s="21" t="str">
        <f aca="false">IF(AND(F1006="Bilbo",E1006&lt;&gt;"",G1006&lt;&gt;"",H1006&lt;&gt;""),E1006&amp;"|"&amp;G1006&amp;"|"&amp;H1006,"")</f>
        <v/>
      </c>
      <c r="Y1006" s="21" t="str">
        <f aca="false">IF(B1006="","",IF(B1006&lt;&gt;B1005,1,0))</f>
        <v/>
      </c>
    </row>
    <row r="1007" customFormat="false" ht="15" hidden="false" customHeight="true" outlineLevel="0" collapsed="false">
      <c r="A1007" s="21" t="str">
        <f aca="false">IF(B1007="","",ROW()-4)</f>
        <v/>
      </c>
      <c r="B1007" s="22"/>
      <c r="C1007" s="21" t="str">
        <f aca="false">IF(B1007="","",CHOOSE(WEEKDAY(B1007,2),"LUNES","MARTES","MIÉRCOLES","JUEVES","VIERNES","SÁBADO","DOMINGO"))</f>
        <v/>
      </c>
      <c r="M1007" s="23"/>
      <c r="Q1007" s="21" t="str">
        <f aca="false">IF(OR(K1007="",N1007=""),"",K1007-N1007)</f>
        <v/>
      </c>
      <c r="R1007" s="21" t="str">
        <f aca="false">IF(OR(J1007="",K1007=""),"",J1007*K1007)</f>
        <v/>
      </c>
      <c r="S1007" s="21" t="str">
        <f aca="false">IF(AND(ISNUMBER(J1007),ISNUMBER(K1007),F1007&lt;&gt;"Calentamiento",F1007&lt;&gt;"Bilbo"),IF(AND(K1007&gt;0,K1007&lt;=12),ROUND(J1007*(1+(K1007+IF(ISNUMBER(L1007),L1007,0))/30),1),""),"")</f>
        <v/>
      </c>
      <c r="T1007" s="21" t="str">
        <f aca="false">IF(AND(F1007="Bilbo",ISNUMBER(J1007),ISNUMBER(K1007)),ROUND(J1007*(1+K1007/30),1),"")</f>
        <v/>
      </c>
      <c r="W1007" s="22"/>
      <c r="X1007" s="21" t="str">
        <f aca="false">IF(AND(F1007="Bilbo",E1007&lt;&gt;"",G1007&lt;&gt;"",H1007&lt;&gt;""),E1007&amp;"|"&amp;G1007&amp;"|"&amp;H1007,"")</f>
        <v/>
      </c>
      <c r="Y1007" s="21" t="str">
        <f aca="false">IF(B1007="","",IF(B1007&lt;&gt;B1006,1,0))</f>
        <v/>
      </c>
    </row>
    <row r="1008" customFormat="false" ht="15" hidden="false" customHeight="true" outlineLevel="0" collapsed="false">
      <c r="A1008" s="21" t="str">
        <f aca="false">IF(B1008="","",ROW()-4)</f>
        <v/>
      </c>
      <c r="B1008" s="22"/>
      <c r="C1008" s="21" t="str">
        <f aca="false">IF(B1008="","",CHOOSE(WEEKDAY(B1008,2),"LUNES","MARTES","MIÉRCOLES","JUEVES","VIERNES","SÁBADO","DOMINGO"))</f>
        <v/>
      </c>
      <c r="M1008" s="23"/>
      <c r="Q1008" s="21" t="str">
        <f aca="false">IF(OR(K1008="",N1008=""),"",K1008-N1008)</f>
        <v/>
      </c>
      <c r="R1008" s="21" t="str">
        <f aca="false">IF(OR(J1008="",K1008=""),"",J1008*K1008)</f>
        <v/>
      </c>
      <c r="S1008" s="21" t="str">
        <f aca="false">IF(AND(ISNUMBER(J1008),ISNUMBER(K1008),F1008&lt;&gt;"Calentamiento",F1008&lt;&gt;"Bilbo"),IF(AND(K1008&gt;0,K1008&lt;=12),ROUND(J1008*(1+(K1008+IF(ISNUMBER(L1008),L1008,0))/30),1),""),"")</f>
        <v/>
      </c>
      <c r="T1008" s="21" t="str">
        <f aca="false">IF(AND(F1008="Bilbo",ISNUMBER(J1008),ISNUMBER(K1008)),ROUND(J1008*(1+K1008/30),1),"")</f>
        <v/>
      </c>
      <c r="W1008" s="22"/>
      <c r="X1008" s="21" t="str">
        <f aca="false">IF(AND(F1008="Bilbo",E1008&lt;&gt;"",G1008&lt;&gt;"",H1008&lt;&gt;""),E1008&amp;"|"&amp;G1008&amp;"|"&amp;H1008,"")</f>
        <v/>
      </c>
      <c r="Y1008" s="21" t="str">
        <f aca="false">IF(B1008="","",IF(B1008&lt;&gt;B1007,1,0))</f>
        <v/>
      </c>
    </row>
    <row r="1009" customFormat="false" ht="15" hidden="false" customHeight="true" outlineLevel="0" collapsed="false">
      <c r="A1009" s="21" t="str">
        <f aca="false">IF(B1009="","",ROW()-4)</f>
        <v/>
      </c>
      <c r="B1009" s="22"/>
      <c r="C1009" s="21" t="str">
        <f aca="false">IF(B1009="","",CHOOSE(WEEKDAY(B1009,2),"LUNES","MARTES","MIÉRCOLES","JUEVES","VIERNES","SÁBADO","DOMINGO"))</f>
        <v/>
      </c>
      <c r="M1009" s="23"/>
      <c r="Q1009" s="21" t="str">
        <f aca="false">IF(OR(K1009="",N1009=""),"",K1009-N1009)</f>
        <v/>
      </c>
      <c r="R1009" s="21" t="str">
        <f aca="false">IF(OR(J1009="",K1009=""),"",J1009*K1009)</f>
        <v/>
      </c>
      <c r="S1009" s="21" t="str">
        <f aca="false">IF(AND(ISNUMBER(J1009),ISNUMBER(K1009),F1009&lt;&gt;"Calentamiento",F1009&lt;&gt;"Bilbo"),IF(AND(K1009&gt;0,K1009&lt;=12),ROUND(J1009*(1+(K1009+IF(ISNUMBER(L1009),L1009,0))/30),1),""),"")</f>
        <v/>
      </c>
      <c r="T1009" s="21" t="str">
        <f aca="false">IF(AND(F1009="Bilbo",ISNUMBER(J1009),ISNUMBER(K1009)),ROUND(J1009*(1+K1009/30),1),"")</f>
        <v/>
      </c>
      <c r="W1009" s="22"/>
      <c r="X1009" s="21" t="str">
        <f aca="false">IF(AND(F1009="Bilbo",E1009&lt;&gt;"",G1009&lt;&gt;"",H1009&lt;&gt;""),E1009&amp;"|"&amp;G1009&amp;"|"&amp;H1009,"")</f>
        <v/>
      </c>
      <c r="Y1009" s="21" t="str">
        <f aca="false">IF(B1009="","",IF(B1009&lt;&gt;B1008,1,0))</f>
        <v/>
      </c>
    </row>
    <row r="1010" customFormat="false" ht="15" hidden="false" customHeight="true" outlineLevel="0" collapsed="false">
      <c r="A1010" s="21" t="str">
        <f aca="false">IF(B1010="","",ROW()-4)</f>
        <v/>
      </c>
      <c r="B1010" s="22"/>
      <c r="C1010" s="21" t="str">
        <f aca="false">IF(B1010="","",CHOOSE(WEEKDAY(B1010,2),"LUNES","MARTES","MIÉRCOLES","JUEVES","VIERNES","SÁBADO","DOMINGO"))</f>
        <v/>
      </c>
      <c r="M1010" s="23"/>
      <c r="Q1010" s="21" t="str">
        <f aca="false">IF(OR(K1010="",N1010=""),"",K1010-N1010)</f>
        <v/>
      </c>
      <c r="R1010" s="21" t="str">
        <f aca="false">IF(OR(J1010="",K1010=""),"",J1010*K1010)</f>
        <v/>
      </c>
      <c r="S1010" s="21" t="str">
        <f aca="false">IF(AND(ISNUMBER(J1010),ISNUMBER(K1010),F1010&lt;&gt;"Calentamiento",F1010&lt;&gt;"Bilbo"),IF(AND(K1010&gt;0,K1010&lt;=12),ROUND(J1010*(1+(K1010+IF(ISNUMBER(L1010),L1010,0))/30),1),""),"")</f>
        <v/>
      </c>
      <c r="T1010" s="21" t="str">
        <f aca="false">IF(AND(F1010="Bilbo",ISNUMBER(J1010),ISNUMBER(K1010)),ROUND(J1010*(1+K1010/30),1),"")</f>
        <v/>
      </c>
      <c r="W1010" s="22"/>
      <c r="X1010" s="21" t="str">
        <f aca="false">IF(AND(F1010="Bilbo",E1010&lt;&gt;"",G1010&lt;&gt;"",H1010&lt;&gt;""),E1010&amp;"|"&amp;G1010&amp;"|"&amp;H1010,"")</f>
        <v/>
      </c>
      <c r="Y1010" s="21" t="str">
        <f aca="false">IF(B1010="","",IF(B1010&lt;&gt;B1009,1,0))</f>
        <v/>
      </c>
    </row>
    <row r="1011" customFormat="false" ht="15" hidden="false" customHeight="true" outlineLevel="0" collapsed="false">
      <c r="A1011" s="21" t="str">
        <f aca="false">IF(B1011="","",ROW()-4)</f>
        <v/>
      </c>
      <c r="B1011" s="22"/>
      <c r="C1011" s="21" t="str">
        <f aca="false">IF(B1011="","",CHOOSE(WEEKDAY(B1011,2),"LUNES","MARTES","MIÉRCOLES","JUEVES","VIERNES","SÁBADO","DOMINGO"))</f>
        <v/>
      </c>
      <c r="M1011" s="23"/>
      <c r="Q1011" s="21" t="str">
        <f aca="false">IF(OR(K1011="",N1011=""),"",K1011-N1011)</f>
        <v/>
      </c>
      <c r="R1011" s="21" t="str">
        <f aca="false">IF(OR(J1011="",K1011=""),"",J1011*K1011)</f>
        <v/>
      </c>
      <c r="S1011" s="21" t="str">
        <f aca="false">IF(AND(ISNUMBER(J1011),ISNUMBER(K1011),F1011&lt;&gt;"Calentamiento",F1011&lt;&gt;"Bilbo"),IF(AND(K1011&gt;0,K1011&lt;=12),ROUND(J1011*(1+(K1011+IF(ISNUMBER(L1011),L1011,0))/30),1),""),"")</f>
        <v/>
      </c>
      <c r="T1011" s="21" t="str">
        <f aca="false">IF(AND(F1011="Bilbo",ISNUMBER(J1011),ISNUMBER(K1011)),ROUND(J1011*(1+K1011/30),1),"")</f>
        <v/>
      </c>
      <c r="W1011" s="22"/>
      <c r="X1011" s="21" t="str">
        <f aca="false">IF(AND(F1011="Bilbo",E1011&lt;&gt;"",G1011&lt;&gt;"",H1011&lt;&gt;""),E1011&amp;"|"&amp;G1011&amp;"|"&amp;H1011,"")</f>
        <v/>
      </c>
      <c r="Y1011" s="21" t="str">
        <f aca="false">IF(B1011="","",IF(B1011&lt;&gt;B1010,1,0))</f>
        <v/>
      </c>
    </row>
    <row r="1012" customFormat="false" ht="15" hidden="false" customHeight="true" outlineLevel="0" collapsed="false">
      <c r="A1012" s="21" t="str">
        <f aca="false">IF(B1012="","",ROW()-4)</f>
        <v/>
      </c>
      <c r="B1012" s="22"/>
      <c r="C1012" s="21" t="str">
        <f aca="false">IF(B1012="","",CHOOSE(WEEKDAY(B1012,2),"LUNES","MARTES","MIÉRCOLES","JUEVES","VIERNES","SÁBADO","DOMINGO"))</f>
        <v/>
      </c>
      <c r="M1012" s="23"/>
      <c r="Q1012" s="21" t="str">
        <f aca="false">IF(OR(K1012="",N1012=""),"",K1012-N1012)</f>
        <v/>
      </c>
      <c r="R1012" s="21" t="str">
        <f aca="false">IF(OR(J1012="",K1012=""),"",J1012*K1012)</f>
        <v/>
      </c>
      <c r="S1012" s="21" t="str">
        <f aca="false">IF(AND(ISNUMBER(J1012),ISNUMBER(K1012),F1012&lt;&gt;"Calentamiento",F1012&lt;&gt;"Bilbo"),IF(AND(K1012&gt;0,K1012&lt;=12),ROUND(J1012*(1+(K1012+IF(ISNUMBER(L1012),L1012,0))/30),1),""),"")</f>
        <v/>
      </c>
      <c r="T1012" s="21" t="str">
        <f aca="false">IF(AND(F1012="Bilbo",ISNUMBER(J1012),ISNUMBER(K1012)),ROUND(J1012*(1+K1012/30),1),"")</f>
        <v/>
      </c>
      <c r="W1012" s="22"/>
      <c r="X1012" s="21" t="str">
        <f aca="false">IF(AND(F1012="Bilbo",E1012&lt;&gt;"",G1012&lt;&gt;"",H1012&lt;&gt;""),E1012&amp;"|"&amp;G1012&amp;"|"&amp;H1012,"")</f>
        <v/>
      </c>
      <c r="Y1012" s="21" t="str">
        <f aca="false">IF(B1012="","",IF(B1012&lt;&gt;B1011,1,0))</f>
        <v/>
      </c>
    </row>
    <row r="1013" customFormat="false" ht="15" hidden="false" customHeight="true" outlineLevel="0" collapsed="false">
      <c r="A1013" s="21" t="str">
        <f aca="false">IF(B1013="","",ROW()-4)</f>
        <v/>
      </c>
      <c r="B1013" s="22"/>
      <c r="C1013" s="21" t="str">
        <f aca="false">IF(B1013="","",CHOOSE(WEEKDAY(B1013,2),"LUNES","MARTES","MIÉRCOLES","JUEVES","VIERNES","SÁBADO","DOMINGO"))</f>
        <v/>
      </c>
      <c r="M1013" s="23"/>
      <c r="Q1013" s="21" t="str">
        <f aca="false">IF(OR(K1013="",N1013=""),"",K1013-N1013)</f>
        <v/>
      </c>
      <c r="R1013" s="21" t="str">
        <f aca="false">IF(OR(J1013="",K1013=""),"",J1013*K1013)</f>
        <v/>
      </c>
      <c r="S1013" s="21" t="str">
        <f aca="false">IF(AND(ISNUMBER(J1013),ISNUMBER(K1013),F1013&lt;&gt;"Calentamiento",F1013&lt;&gt;"Bilbo"),IF(AND(K1013&gt;0,K1013&lt;=12),ROUND(J1013*(1+(K1013+IF(ISNUMBER(L1013),L1013,0))/30),1),""),"")</f>
        <v/>
      </c>
      <c r="T1013" s="21" t="str">
        <f aca="false">IF(AND(F1013="Bilbo",ISNUMBER(J1013),ISNUMBER(K1013)),ROUND(J1013*(1+K1013/30),1),"")</f>
        <v/>
      </c>
      <c r="W1013" s="22"/>
      <c r="X1013" s="21" t="str">
        <f aca="false">IF(AND(F1013="Bilbo",E1013&lt;&gt;"",G1013&lt;&gt;"",H1013&lt;&gt;""),E1013&amp;"|"&amp;G1013&amp;"|"&amp;H1013,"")</f>
        <v/>
      </c>
      <c r="Y1013" s="21" t="str">
        <f aca="false">IF(B1013="","",IF(B1013&lt;&gt;B1012,1,0))</f>
        <v/>
      </c>
    </row>
    <row r="1014" customFormat="false" ht="15" hidden="false" customHeight="true" outlineLevel="0" collapsed="false">
      <c r="A1014" s="21" t="str">
        <f aca="false">IF(B1014="","",ROW()-4)</f>
        <v/>
      </c>
      <c r="B1014" s="22"/>
      <c r="C1014" s="21" t="str">
        <f aca="false">IF(B1014="","",CHOOSE(WEEKDAY(B1014,2),"LUNES","MARTES","MIÉRCOLES","JUEVES","VIERNES","SÁBADO","DOMINGO"))</f>
        <v/>
      </c>
      <c r="M1014" s="23"/>
      <c r="Q1014" s="21" t="str">
        <f aca="false">IF(OR(K1014="",N1014=""),"",K1014-N1014)</f>
        <v/>
      </c>
      <c r="R1014" s="21" t="str">
        <f aca="false">IF(OR(J1014="",K1014=""),"",J1014*K1014)</f>
        <v/>
      </c>
      <c r="S1014" s="21" t="str">
        <f aca="false">IF(AND(ISNUMBER(J1014),ISNUMBER(K1014),F1014&lt;&gt;"Calentamiento",F1014&lt;&gt;"Bilbo"),IF(AND(K1014&gt;0,K1014&lt;=12),ROUND(J1014*(1+(K1014+IF(ISNUMBER(L1014),L1014,0))/30),1),""),"")</f>
        <v/>
      </c>
      <c r="T1014" s="21" t="str">
        <f aca="false">IF(AND(F1014="Bilbo",ISNUMBER(J1014),ISNUMBER(K1014)),ROUND(J1014*(1+K1014/30),1),"")</f>
        <v/>
      </c>
      <c r="W1014" s="22"/>
      <c r="X1014" s="21" t="str">
        <f aca="false">IF(AND(F1014="Bilbo",E1014&lt;&gt;"",G1014&lt;&gt;"",H1014&lt;&gt;""),E1014&amp;"|"&amp;G1014&amp;"|"&amp;H1014,"")</f>
        <v/>
      </c>
      <c r="Y1014" s="21" t="str">
        <f aca="false">IF(B1014="","",IF(B1014&lt;&gt;B1013,1,0))</f>
        <v/>
      </c>
    </row>
    <row r="1015" customFormat="false" ht="15" hidden="false" customHeight="true" outlineLevel="0" collapsed="false">
      <c r="A1015" s="21" t="str">
        <f aca="false">IF(B1015="","",ROW()-4)</f>
        <v/>
      </c>
      <c r="B1015" s="22"/>
      <c r="C1015" s="21" t="str">
        <f aca="false">IF(B1015="","",CHOOSE(WEEKDAY(B1015,2),"LUNES","MARTES","MIÉRCOLES","JUEVES","VIERNES","SÁBADO","DOMINGO"))</f>
        <v/>
      </c>
      <c r="M1015" s="23"/>
      <c r="Q1015" s="21" t="str">
        <f aca="false">IF(OR(K1015="",N1015=""),"",K1015-N1015)</f>
        <v/>
      </c>
      <c r="R1015" s="21" t="str">
        <f aca="false">IF(OR(J1015="",K1015=""),"",J1015*K1015)</f>
        <v/>
      </c>
      <c r="S1015" s="21" t="str">
        <f aca="false">IF(AND(ISNUMBER(J1015),ISNUMBER(K1015),F1015&lt;&gt;"Calentamiento",F1015&lt;&gt;"Bilbo"),IF(AND(K1015&gt;0,K1015&lt;=12),ROUND(J1015*(1+(K1015+IF(ISNUMBER(L1015),L1015,0))/30),1),""),"")</f>
        <v/>
      </c>
      <c r="T1015" s="21" t="str">
        <f aca="false">IF(AND(F1015="Bilbo",ISNUMBER(J1015),ISNUMBER(K1015)),ROUND(J1015*(1+K1015/30),1),"")</f>
        <v/>
      </c>
      <c r="W1015" s="22"/>
      <c r="X1015" s="21" t="str">
        <f aca="false">IF(AND(F1015="Bilbo",E1015&lt;&gt;"",G1015&lt;&gt;"",H1015&lt;&gt;""),E1015&amp;"|"&amp;G1015&amp;"|"&amp;H1015,"")</f>
        <v/>
      </c>
      <c r="Y1015" s="21" t="str">
        <f aca="false">IF(B1015="","",IF(B1015&lt;&gt;B1014,1,0))</f>
        <v/>
      </c>
    </row>
    <row r="1016" customFormat="false" ht="15" hidden="false" customHeight="true" outlineLevel="0" collapsed="false">
      <c r="A1016" s="21" t="str">
        <f aca="false">IF(B1016="","",ROW()-4)</f>
        <v/>
      </c>
      <c r="B1016" s="22"/>
      <c r="C1016" s="21" t="str">
        <f aca="false">IF(B1016="","",CHOOSE(WEEKDAY(B1016,2),"LUNES","MARTES","MIÉRCOLES","JUEVES","VIERNES","SÁBADO","DOMINGO"))</f>
        <v/>
      </c>
      <c r="M1016" s="23"/>
      <c r="Q1016" s="21" t="str">
        <f aca="false">IF(OR(K1016="",N1016=""),"",K1016-N1016)</f>
        <v/>
      </c>
      <c r="R1016" s="21" t="str">
        <f aca="false">IF(OR(J1016="",K1016=""),"",J1016*K1016)</f>
        <v/>
      </c>
      <c r="S1016" s="21" t="str">
        <f aca="false">IF(AND(ISNUMBER(J1016),ISNUMBER(K1016),F1016&lt;&gt;"Calentamiento",F1016&lt;&gt;"Bilbo"),IF(AND(K1016&gt;0,K1016&lt;=12),ROUND(J1016*(1+(K1016+IF(ISNUMBER(L1016),L1016,0))/30),1),""),"")</f>
        <v/>
      </c>
      <c r="T1016" s="21" t="str">
        <f aca="false">IF(AND(F1016="Bilbo",ISNUMBER(J1016),ISNUMBER(K1016)),ROUND(J1016*(1+K1016/30),1),"")</f>
        <v/>
      </c>
      <c r="W1016" s="22"/>
      <c r="X1016" s="21" t="str">
        <f aca="false">IF(AND(F1016="Bilbo",E1016&lt;&gt;"",G1016&lt;&gt;"",H1016&lt;&gt;""),E1016&amp;"|"&amp;G1016&amp;"|"&amp;H1016,"")</f>
        <v/>
      </c>
      <c r="Y1016" s="21" t="str">
        <f aca="false">IF(B1016="","",IF(B1016&lt;&gt;B1015,1,0))</f>
        <v/>
      </c>
    </row>
    <row r="1017" customFormat="false" ht="15" hidden="false" customHeight="true" outlineLevel="0" collapsed="false">
      <c r="A1017" s="21" t="str">
        <f aca="false">IF(B1017="","",ROW()-4)</f>
        <v/>
      </c>
      <c r="B1017" s="22"/>
      <c r="C1017" s="21" t="str">
        <f aca="false">IF(B1017="","",CHOOSE(WEEKDAY(B1017,2),"LUNES","MARTES","MIÉRCOLES","JUEVES","VIERNES","SÁBADO","DOMINGO"))</f>
        <v/>
      </c>
      <c r="M1017" s="23"/>
      <c r="Q1017" s="21" t="str">
        <f aca="false">IF(OR(K1017="",N1017=""),"",K1017-N1017)</f>
        <v/>
      </c>
      <c r="R1017" s="21" t="str">
        <f aca="false">IF(OR(J1017="",K1017=""),"",J1017*K1017)</f>
        <v/>
      </c>
      <c r="S1017" s="21" t="str">
        <f aca="false">IF(AND(ISNUMBER(J1017),ISNUMBER(K1017),F1017&lt;&gt;"Calentamiento",F1017&lt;&gt;"Bilbo"),IF(AND(K1017&gt;0,K1017&lt;=12),ROUND(J1017*(1+(K1017+IF(ISNUMBER(L1017),L1017,0))/30),1),""),"")</f>
        <v/>
      </c>
      <c r="T1017" s="21" t="str">
        <f aca="false">IF(AND(F1017="Bilbo",ISNUMBER(J1017),ISNUMBER(K1017)),ROUND(J1017*(1+K1017/30),1),"")</f>
        <v/>
      </c>
      <c r="W1017" s="22"/>
      <c r="X1017" s="21" t="str">
        <f aca="false">IF(AND(F1017="Bilbo",E1017&lt;&gt;"",G1017&lt;&gt;"",H1017&lt;&gt;""),E1017&amp;"|"&amp;G1017&amp;"|"&amp;H1017,"")</f>
        <v/>
      </c>
      <c r="Y1017" s="21" t="str">
        <f aca="false">IF(B1017="","",IF(B1017&lt;&gt;B1016,1,0))</f>
        <v/>
      </c>
    </row>
    <row r="1018" customFormat="false" ht="15" hidden="false" customHeight="true" outlineLevel="0" collapsed="false">
      <c r="A1018" s="21" t="str">
        <f aca="false">IF(B1018="","",ROW()-4)</f>
        <v/>
      </c>
      <c r="B1018" s="22"/>
      <c r="C1018" s="21" t="str">
        <f aca="false">IF(B1018="","",CHOOSE(WEEKDAY(B1018,2),"LUNES","MARTES","MIÉRCOLES","JUEVES","VIERNES","SÁBADO","DOMINGO"))</f>
        <v/>
      </c>
      <c r="M1018" s="23"/>
      <c r="Q1018" s="21" t="str">
        <f aca="false">IF(OR(K1018="",N1018=""),"",K1018-N1018)</f>
        <v/>
      </c>
      <c r="R1018" s="21" t="str">
        <f aca="false">IF(OR(J1018="",K1018=""),"",J1018*K1018)</f>
        <v/>
      </c>
      <c r="S1018" s="21" t="str">
        <f aca="false">IF(AND(ISNUMBER(J1018),ISNUMBER(K1018),F1018&lt;&gt;"Calentamiento",F1018&lt;&gt;"Bilbo"),IF(AND(K1018&gt;0,K1018&lt;=12),ROUND(J1018*(1+(K1018+IF(ISNUMBER(L1018),L1018,0))/30),1),""),"")</f>
        <v/>
      </c>
      <c r="T1018" s="21" t="str">
        <f aca="false">IF(AND(F1018="Bilbo",ISNUMBER(J1018),ISNUMBER(K1018)),ROUND(J1018*(1+K1018/30),1),"")</f>
        <v/>
      </c>
      <c r="W1018" s="22"/>
      <c r="X1018" s="21" t="str">
        <f aca="false">IF(AND(F1018="Bilbo",E1018&lt;&gt;"",G1018&lt;&gt;"",H1018&lt;&gt;""),E1018&amp;"|"&amp;G1018&amp;"|"&amp;H1018,"")</f>
        <v/>
      </c>
      <c r="Y1018" s="21" t="str">
        <f aca="false">IF(B1018="","",IF(B1018&lt;&gt;B1017,1,0))</f>
        <v/>
      </c>
    </row>
    <row r="1019" customFormat="false" ht="15" hidden="false" customHeight="true" outlineLevel="0" collapsed="false">
      <c r="A1019" s="21" t="str">
        <f aca="false">IF(B1019="","",ROW()-4)</f>
        <v/>
      </c>
      <c r="B1019" s="22"/>
      <c r="C1019" s="21" t="str">
        <f aca="false">IF(B1019="","",CHOOSE(WEEKDAY(B1019,2),"LUNES","MARTES","MIÉRCOLES","JUEVES","VIERNES","SÁBADO","DOMINGO"))</f>
        <v/>
      </c>
      <c r="M1019" s="23"/>
      <c r="Q1019" s="21" t="str">
        <f aca="false">IF(OR(K1019="",N1019=""),"",K1019-N1019)</f>
        <v/>
      </c>
      <c r="R1019" s="21" t="str">
        <f aca="false">IF(OR(J1019="",K1019=""),"",J1019*K1019)</f>
        <v/>
      </c>
      <c r="S1019" s="21" t="str">
        <f aca="false">IF(AND(ISNUMBER(J1019),ISNUMBER(K1019),F1019&lt;&gt;"Calentamiento",F1019&lt;&gt;"Bilbo"),IF(AND(K1019&gt;0,K1019&lt;=12),ROUND(J1019*(1+(K1019+IF(ISNUMBER(L1019),L1019,0))/30),1),""),"")</f>
        <v/>
      </c>
      <c r="T1019" s="21" t="str">
        <f aca="false">IF(AND(F1019="Bilbo",ISNUMBER(J1019),ISNUMBER(K1019)),ROUND(J1019*(1+K1019/30),1),"")</f>
        <v/>
      </c>
      <c r="W1019" s="22"/>
      <c r="X1019" s="21" t="str">
        <f aca="false">IF(AND(F1019="Bilbo",E1019&lt;&gt;"",G1019&lt;&gt;"",H1019&lt;&gt;""),E1019&amp;"|"&amp;G1019&amp;"|"&amp;H1019,"")</f>
        <v/>
      </c>
      <c r="Y1019" s="21" t="str">
        <f aca="false">IF(B1019="","",IF(B1019&lt;&gt;B1018,1,0))</f>
        <v/>
      </c>
    </row>
    <row r="1020" customFormat="false" ht="15" hidden="false" customHeight="true" outlineLevel="0" collapsed="false">
      <c r="A1020" s="21" t="str">
        <f aca="false">IF(B1020="","",ROW()-4)</f>
        <v/>
      </c>
      <c r="B1020" s="22"/>
      <c r="C1020" s="21" t="str">
        <f aca="false">IF(B1020="","",CHOOSE(WEEKDAY(B1020,2),"LUNES","MARTES","MIÉRCOLES","JUEVES","VIERNES","SÁBADO","DOMINGO"))</f>
        <v/>
      </c>
      <c r="M1020" s="23"/>
      <c r="Q1020" s="21" t="str">
        <f aca="false">IF(OR(K1020="",N1020=""),"",K1020-N1020)</f>
        <v/>
      </c>
      <c r="R1020" s="21" t="str">
        <f aca="false">IF(OR(J1020="",K1020=""),"",J1020*K1020)</f>
        <v/>
      </c>
      <c r="S1020" s="21" t="str">
        <f aca="false">IF(AND(ISNUMBER(J1020),ISNUMBER(K1020),F1020&lt;&gt;"Calentamiento",F1020&lt;&gt;"Bilbo"),IF(AND(K1020&gt;0,K1020&lt;=12),ROUND(J1020*(1+(K1020+IF(ISNUMBER(L1020),L1020,0))/30),1),""),"")</f>
        <v/>
      </c>
      <c r="T1020" s="21" t="str">
        <f aca="false">IF(AND(F1020="Bilbo",ISNUMBER(J1020),ISNUMBER(K1020)),ROUND(J1020*(1+K1020/30),1),"")</f>
        <v/>
      </c>
      <c r="W1020" s="22"/>
      <c r="X1020" s="21" t="str">
        <f aca="false">IF(AND(F1020="Bilbo",E1020&lt;&gt;"",G1020&lt;&gt;"",H1020&lt;&gt;""),E1020&amp;"|"&amp;G1020&amp;"|"&amp;H1020,"")</f>
        <v/>
      </c>
      <c r="Y1020" s="21" t="str">
        <f aca="false">IF(B1020="","",IF(B1020&lt;&gt;B1019,1,0))</f>
        <v/>
      </c>
    </row>
    <row r="1021" customFormat="false" ht="15" hidden="false" customHeight="true" outlineLevel="0" collapsed="false">
      <c r="A1021" s="21" t="str">
        <f aca="false">IF(B1021="","",ROW()-4)</f>
        <v/>
      </c>
      <c r="B1021" s="22"/>
      <c r="C1021" s="21" t="str">
        <f aca="false">IF(B1021="","",CHOOSE(WEEKDAY(B1021,2),"LUNES","MARTES","MIÉRCOLES","JUEVES","VIERNES","SÁBADO","DOMINGO"))</f>
        <v/>
      </c>
      <c r="M1021" s="23"/>
      <c r="Q1021" s="21" t="str">
        <f aca="false">IF(OR(K1021="",N1021=""),"",K1021-N1021)</f>
        <v/>
      </c>
      <c r="R1021" s="21" t="str">
        <f aca="false">IF(OR(J1021="",K1021=""),"",J1021*K1021)</f>
        <v/>
      </c>
      <c r="S1021" s="21" t="str">
        <f aca="false">IF(AND(ISNUMBER(J1021),ISNUMBER(K1021),F1021&lt;&gt;"Calentamiento",F1021&lt;&gt;"Bilbo"),IF(AND(K1021&gt;0,K1021&lt;=12),ROUND(J1021*(1+(K1021+IF(ISNUMBER(L1021),L1021,0))/30),1),""),"")</f>
        <v/>
      </c>
      <c r="T1021" s="21" t="str">
        <f aca="false">IF(AND(F1021="Bilbo",ISNUMBER(J1021),ISNUMBER(K1021)),ROUND(J1021*(1+K1021/30),1),"")</f>
        <v/>
      </c>
      <c r="W1021" s="22"/>
      <c r="X1021" s="21" t="str">
        <f aca="false">IF(AND(F1021="Bilbo",E1021&lt;&gt;"",G1021&lt;&gt;"",H1021&lt;&gt;""),E1021&amp;"|"&amp;G1021&amp;"|"&amp;H1021,"")</f>
        <v/>
      </c>
      <c r="Y1021" s="21" t="str">
        <f aca="false">IF(B1021="","",IF(B1021&lt;&gt;B1020,1,0))</f>
        <v/>
      </c>
    </row>
    <row r="1022" customFormat="false" ht="15" hidden="false" customHeight="true" outlineLevel="0" collapsed="false">
      <c r="A1022" s="21" t="str">
        <f aca="false">IF(B1022="","",ROW()-4)</f>
        <v/>
      </c>
      <c r="B1022" s="22"/>
      <c r="C1022" s="21" t="str">
        <f aca="false">IF(B1022="","",CHOOSE(WEEKDAY(B1022,2),"LUNES","MARTES","MIÉRCOLES","JUEVES","VIERNES","SÁBADO","DOMINGO"))</f>
        <v/>
      </c>
      <c r="M1022" s="23"/>
      <c r="Q1022" s="21" t="str">
        <f aca="false">IF(OR(K1022="",N1022=""),"",K1022-N1022)</f>
        <v/>
      </c>
      <c r="R1022" s="21" t="str">
        <f aca="false">IF(OR(J1022="",K1022=""),"",J1022*K1022)</f>
        <v/>
      </c>
      <c r="S1022" s="21" t="str">
        <f aca="false">IF(AND(ISNUMBER(J1022),ISNUMBER(K1022),F1022&lt;&gt;"Calentamiento",F1022&lt;&gt;"Bilbo"),IF(AND(K1022&gt;0,K1022&lt;=12),ROUND(J1022*(1+(K1022+IF(ISNUMBER(L1022),L1022,0))/30),1),""),"")</f>
        <v/>
      </c>
      <c r="T1022" s="21" t="str">
        <f aca="false">IF(AND(F1022="Bilbo",ISNUMBER(J1022),ISNUMBER(K1022)),ROUND(J1022*(1+K1022/30),1),"")</f>
        <v/>
      </c>
      <c r="W1022" s="22"/>
      <c r="X1022" s="21" t="str">
        <f aca="false">IF(AND(F1022="Bilbo",E1022&lt;&gt;"",G1022&lt;&gt;"",H1022&lt;&gt;""),E1022&amp;"|"&amp;G1022&amp;"|"&amp;H1022,"")</f>
        <v/>
      </c>
      <c r="Y1022" s="21" t="str">
        <f aca="false">IF(B1022="","",IF(B1022&lt;&gt;B1021,1,0))</f>
        <v/>
      </c>
    </row>
    <row r="1023" customFormat="false" ht="15" hidden="false" customHeight="true" outlineLevel="0" collapsed="false">
      <c r="A1023" s="21" t="str">
        <f aca="false">IF(B1023="","",ROW()-4)</f>
        <v/>
      </c>
      <c r="B1023" s="22"/>
      <c r="C1023" s="21" t="str">
        <f aca="false">IF(B1023="","",CHOOSE(WEEKDAY(B1023,2),"LUNES","MARTES","MIÉRCOLES","JUEVES","VIERNES","SÁBADO","DOMINGO"))</f>
        <v/>
      </c>
      <c r="M1023" s="23"/>
      <c r="Q1023" s="21" t="str">
        <f aca="false">IF(OR(K1023="",N1023=""),"",K1023-N1023)</f>
        <v/>
      </c>
      <c r="R1023" s="21" t="str">
        <f aca="false">IF(OR(J1023="",K1023=""),"",J1023*K1023)</f>
        <v/>
      </c>
      <c r="S1023" s="21" t="str">
        <f aca="false">IF(AND(ISNUMBER(J1023),ISNUMBER(K1023),F1023&lt;&gt;"Calentamiento",F1023&lt;&gt;"Bilbo"),IF(AND(K1023&gt;0,K1023&lt;=12),ROUND(J1023*(1+(K1023+IF(ISNUMBER(L1023),L1023,0))/30),1),""),"")</f>
        <v/>
      </c>
      <c r="T1023" s="21" t="str">
        <f aca="false">IF(AND(F1023="Bilbo",ISNUMBER(J1023),ISNUMBER(K1023)),ROUND(J1023*(1+K1023/30),1),"")</f>
        <v/>
      </c>
      <c r="W1023" s="22"/>
      <c r="X1023" s="21" t="str">
        <f aca="false">IF(AND(F1023="Bilbo",E1023&lt;&gt;"",G1023&lt;&gt;"",H1023&lt;&gt;""),E1023&amp;"|"&amp;G1023&amp;"|"&amp;H1023,"")</f>
        <v/>
      </c>
      <c r="Y1023" s="21" t="str">
        <f aca="false">IF(B1023="","",IF(B1023&lt;&gt;B1022,1,0))</f>
        <v/>
      </c>
    </row>
    <row r="1024" customFormat="false" ht="15" hidden="false" customHeight="true" outlineLevel="0" collapsed="false">
      <c r="A1024" s="21" t="str">
        <f aca="false">IF(B1024="","",ROW()-4)</f>
        <v/>
      </c>
      <c r="B1024" s="22"/>
      <c r="C1024" s="21" t="str">
        <f aca="false">IF(B1024="","",CHOOSE(WEEKDAY(B1024,2),"LUNES","MARTES","MIÉRCOLES","JUEVES","VIERNES","SÁBADO","DOMINGO"))</f>
        <v/>
      </c>
      <c r="M1024" s="23"/>
      <c r="Q1024" s="21" t="str">
        <f aca="false">IF(OR(K1024="",N1024=""),"",K1024-N1024)</f>
        <v/>
      </c>
      <c r="R1024" s="21" t="str">
        <f aca="false">IF(OR(J1024="",K1024=""),"",J1024*K1024)</f>
        <v/>
      </c>
      <c r="S1024" s="21" t="str">
        <f aca="false">IF(AND(ISNUMBER(J1024),ISNUMBER(K1024),F1024&lt;&gt;"Calentamiento",F1024&lt;&gt;"Bilbo"),IF(AND(K1024&gt;0,K1024&lt;=12),ROUND(J1024*(1+(K1024+IF(ISNUMBER(L1024),L1024,0))/30),1),""),"")</f>
        <v/>
      </c>
      <c r="T1024" s="21" t="str">
        <f aca="false">IF(AND(F1024="Bilbo",ISNUMBER(J1024),ISNUMBER(K1024)),ROUND(J1024*(1+K1024/30),1),"")</f>
        <v/>
      </c>
      <c r="W1024" s="22"/>
      <c r="X1024" s="21" t="str">
        <f aca="false">IF(AND(F1024="Bilbo",E1024&lt;&gt;"",G1024&lt;&gt;"",H1024&lt;&gt;""),E1024&amp;"|"&amp;G1024&amp;"|"&amp;H1024,"")</f>
        <v/>
      </c>
      <c r="Y1024" s="21" t="str">
        <f aca="false">IF(B1024="","",IF(B1024&lt;&gt;B1023,1,0))</f>
        <v/>
      </c>
    </row>
    <row r="1025" customFormat="false" ht="15" hidden="false" customHeight="true" outlineLevel="0" collapsed="false">
      <c r="A1025" s="21" t="str">
        <f aca="false">IF(B1025="","",ROW()-4)</f>
        <v/>
      </c>
      <c r="B1025" s="22"/>
      <c r="C1025" s="21" t="str">
        <f aca="false">IF(B1025="","",CHOOSE(WEEKDAY(B1025,2),"LUNES","MARTES","MIÉRCOLES","JUEVES","VIERNES","SÁBADO","DOMINGO"))</f>
        <v/>
      </c>
      <c r="M1025" s="23"/>
      <c r="Q1025" s="21" t="str">
        <f aca="false">IF(OR(K1025="",N1025=""),"",K1025-N1025)</f>
        <v/>
      </c>
      <c r="R1025" s="21" t="str">
        <f aca="false">IF(OR(J1025="",K1025=""),"",J1025*K1025)</f>
        <v/>
      </c>
      <c r="S1025" s="21" t="str">
        <f aca="false">IF(AND(ISNUMBER(J1025),ISNUMBER(K1025),F1025&lt;&gt;"Calentamiento",F1025&lt;&gt;"Bilbo"),IF(AND(K1025&gt;0,K1025&lt;=12),ROUND(J1025*(1+(K1025+IF(ISNUMBER(L1025),L1025,0))/30),1),""),"")</f>
        <v/>
      </c>
      <c r="T1025" s="21" t="str">
        <f aca="false">IF(AND(F1025="Bilbo",ISNUMBER(J1025),ISNUMBER(K1025)),ROUND(J1025*(1+K1025/30),1),"")</f>
        <v/>
      </c>
      <c r="W1025" s="22"/>
      <c r="X1025" s="21" t="str">
        <f aca="false">IF(AND(F1025="Bilbo",E1025&lt;&gt;"",G1025&lt;&gt;"",H1025&lt;&gt;""),E1025&amp;"|"&amp;G1025&amp;"|"&amp;H1025,"")</f>
        <v/>
      </c>
      <c r="Y1025" s="21" t="str">
        <f aca="false">IF(B1025="","",IF(B1025&lt;&gt;B1024,1,0))</f>
        <v/>
      </c>
    </row>
    <row r="1026" customFormat="false" ht="15" hidden="false" customHeight="true" outlineLevel="0" collapsed="false">
      <c r="A1026" s="21" t="str">
        <f aca="false">IF(B1026="","",ROW()-4)</f>
        <v/>
      </c>
      <c r="B1026" s="22"/>
      <c r="C1026" s="21" t="str">
        <f aca="false">IF(B1026="","",CHOOSE(WEEKDAY(B1026,2),"LUNES","MARTES","MIÉRCOLES","JUEVES","VIERNES","SÁBADO","DOMINGO"))</f>
        <v/>
      </c>
      <c r="M1026" s="23"/>
      <c r="Q1026" s="21" t="str">
        <f aca="false">IF(OR(K1026="",N1026=""),"",K1026-N1026)</f>
        <v/>
      </c>
      <c r="R1026" s="21" t="str">
        <f aca="false">IF(OR(J1026="",K1026=""),"",J1026*K1026)</f>
        <v/>
      </c>
      <c r="S1026" s="21" t="str">
        <f aca="false">IF(AND(ISNUMBER(J1026),ISNUMBER(K1026),F1026&lt;&gt;"Calentamiento",F1026&lt;&gt;"Bilbo"),IF(AND(K1026&gt;0,K1026&lt;=12),ROUND(J1026*(1+(K1026+IF(ISNUMBER(L1026),L1026,0))/30),1),""),"")</f>
        <v/>
      </c>
      <c r="T1026" s="21" t="str">
        <f aca="false">IF(AND(F1026="Bilbo",ISNUMBER(J1026),ISNUMBER(K1026)),ROUND(J1026*(1+K1026/30),1),"")</f>
        <v/>
      </c>
      <c r="W1026" s="22"/>
      <c r="X1026" s="21" t="str">
        <f aca="false">IF(AND(F1026="Bilbo",E1026&lt;&gt;"",G1026&lt;&gt;"",H1026&lt;&gt;""),E1026&amp;"|"&amp;G1026&amp;"|"&amp;H1026,"")</f>
        <v/>
      </c>
      <c r="Y1026" s="21" t="str">
        <f aca="false">IF(B1026="","",IF(B1026&lt;&gt;B1025,1,0))</f>
        <v/>
      </c>
    </row>
    <row r="1027" customFormat="false" ht="15" hidden="false" customHeight="true" outlineLevel="0" collapsed="false">
      <c r="A1027" s="21" t="str">
        <f aca="false">IF(B1027="","",ROW()-4)</f>
        <v/>
      </c>
      <c r="B1027" s="22"/>
      <c r="C1027" s="21" t="str">
        <f aca="false">IF(B1027="","",CHOOSE(WEEKDAY(B1027,2),"LUNES","MARTES","MIÉRCOLES","JUEVES","VIERNES","SÁBADO","DOMINGO"))</f>
        <v/>
      </c>
      <c r="M1027" s="23"/>
      <c r="Q1027" s="21" t="str">
        <f aca="false">IF(OR(K1027="",N1027=""),"",K1027-N1027)</f>
        <v/>
      </c>
      <c r="R1027" s="21" t="str">
        <f aca="false">IF(OR(J1027="",K1027=""),"",J1027*K1027)</f>
        <v/>
      </c>
      <c r="S1027" s="21" t="str">
        <f aca="false">IF(AND(ISNUMBER(J1027),ISNUMBER(K1027),F1027&lt;&gt;"Calentamiento",F1027&lt;&gt;"Bilbo"),IF(AND(K1027&gt;0,K1027&lt;=12),ROUND(J1027*(1+(K1027+IF(ISNUMBER(L1027),L1027,0))/30),1),""),"")</f>
        <v/>
      </c>
      <c r="T1027" s="21" t="str">
        <f aca="false">IF(AND(F1027="Bilbo",ISNUMBER(J1027),ISNUMBER(K1027)),ROUND(J1027*(1+K1027/30),1),"")</f>
        <v/>
      </c>
      <c r="W1027" s="22"/>
      <c r="X1027" s="21" t="str">
        <f aca="false">IF(AND(F1027="Bilbo",E1027&lt;&gt;"",G1027&lt;&gt;"",H1027&lt;&gt;""),E1027&amp;"|"&amp;G1027&amp;"|"&amp;H1027,"")</f>
        <v/>
      </c>
      <c r="Y1027" s="21" t="str">
        <f aca="false">IF(B1027="","",IF(B1027&lt;&gt;B1026,1,0))</f>
        <v/>
      </c>
    </row>
    <row r="1028" customFormat="false" ht="15" hidden="false" customHeight="true" outlineLevel="0" collapsed="false">
      <c r="A1028" s="21" t="str">
        <f aca="false">IF(B1028="","",ROW()-4)</f>
        <v/>
      </c>
      <c r="B1028" s="22"/>
      <c r="C1028" s="21" t="str">
        <f aca="false">IF(B1028="","",CHOOSE(WEEKDAY(B1028,2),"LUNES","MARTES","MIÉRCOLES","JUEVES","VIERNES","SÁBADO","DOMINGO"))</f>
        <v/>
      </c>
      <c r="M1028" s="23"/>
      <c r="Q1028" s="21" t="str">
        <f aca="false">IF(OR(K1028="",N1028=""),"",K1028-N1028)</f>
        <v/>
      </c>
      <c r="R1028" s="21" t="str">
        <f aca="false">IF(OR(J1028="",K1028=""),"",J1028*K1028)</f>
        <v/>
      </c>
      <c r="S1028" s="21" t="str">
        <f aca="false">IF(AND(ISNUMBER(J1028),ISNUMBER(K1028),F1028&lt;&gt;"Calentamiento",F1028&lt;&gt;"Bilbo"),IF(AND(K1028&gt;0,K1028&lt;=12),ROUND(J1028*(1+(K1028+IF(ISNUMBER(L1028),L1028,0))/30),1),""),"")</f>
        <v/>
      </c>
      <c r="T1028" s="21" t="str">
        <f aca="false">IF(AND(F1028="Bilbo",ISNUMBER(J1028),ISNUMBER(K1028)),ROUND(J1028*(1+K1028/30),1),"")</f>
        <v/>
      </c>
      <c r="W1028" s="22"/>
      <c r="X1028" s="21" t="str">
        <f aca="false">IF(AND(F1028="Bilbo",E1028&lt;&gt;"",G1028&lt;&gt;"",H1028&lt;&gt;""),E1028&amp;"|"&amp;G1028&amp;"|"&amp;H1028,"")</f>
        <v/>
      </c>
      <c r="Y1028" s="21" t="str">
        <f aca="false">IF(B1028="","",IF(B1028&lt;&gt;B1027,1,0))</f>
        <v/>
      </c>
    </row>
    <row r="1029" customFormat="false" ht="15" hidden="false" customHeight="true" outlineLevel="0" collapsed="false">
      <c r="A1029" s="21" t="str">
        <f aca="false">IF(B1029="","",ROW()-4)</f>
        <v/>
      </c>
      <c r="B1029" s="22"/>
      <c r="C1029" s="21" t="str">
        <f aca="false">IF(B1029="","",CHOOSE(WEEKDAY(B1029,2),"LUNES","MARTES","MIÉRCOLES","JUEVES","VIERNES","SÁBADO","DOMINGO"))</f>
        <v/>
      </c>
      <c r="M1029" s="23"/>
      <c r="Q1029" s="21" t="str">
        <f aca="false">IF(OR(K1029="",N1029=""),"",K1029-N1029)</f>
        <v/>
      </c>
      <c r="R1029" s="21" t="str">
        <f aca="false">IF(OR(J1029="",K1029=""),"",J1029*K1029)</f>
        <v/>
      </c>
      <c r="S1029" s="21" t="str">
        <f aca="false">IF(AND(ISNUMBER(J1029),ISNUMBER(K1029),F1029&lt;&gt;"Calentamiento",F1029&lt;&gt;"Bilbo"),IF(AND(K1029&gt;0,K1029&lt;=12),ROUND(J1029*(1+(K1029+IF(ISNUMBER(L1029),L1029,0))/30),1),""),"")</f>
        <v/>
      </c>
      <c r="T1029" s="21" t="str">
        <f aca="false">IF(AND(F1029="Bilbo",ISNUMBER(J1029),ISNUMBER(K1029)),ROUND(J1029*(1+K1029/30),1),"")</f>
        <v/>
      </c>
      <c r="W1029" s="22"/>
      <c r="X1029" s="21" t="str">
        <f aca="false">IF(AND(F1029="Bilbo",E1029&lt;&gt;"",G1029&lt;&gt;"",H1029&lt;&gt;""),E1029&amp;"|"&amp;G1029&amp;"|"&amp;H1029,"")</f>
        <v/>
      </c>
      <c r="Y1029" s="21" t="str">
        <f aca="false">IF(B1029="","",IF(B1029&lt;&gt;B1028,1,0))</f>
        <v/>
      </c>
    </row>
    <row r="1030" customFormat="false" ht="15" hidden="false" customHeight="true" outlineLevel="0" collapsed="false">
      <c r="A1030" s="21" t="str">
        <f aca="false">IF(B1030="","",ROW()-4)</f>
        <v/>
      </c>
      <c r="B1030" s="22"/>
      <c r="C1030" s="21" t="str">
        <f aca="false">IF(B1030="","",CHOOSE(WEEKDAY(B1030,2),"LUNES","MARTES","MIÉRCOLES","JUEVES","VIERNES","SÁBADO","DOMINGO"))</f>
        <v/>
      </c>
      <c r="M1030" s="23"/>
      <c r="Q1030" s="21" t="str">
        <f aca="false">IF(OR(K1030="",N1030=""),"",K1030-N1030)</f>
        <v/>
      </c>
      <c r="R1030" s="21" t="str">
        <f aca="false">IF(OR(J1030="",K1030=""),"",J1030*K1030)</f>
        <v/>
      </c>
      <c r="S1030" s="21" t="str">
        <f aca="false">IF(AND(ISNUMBER(J1030),ISNUMBER(K1030),F1030&lt;&gt;"Calentamiento",F1030&lt;&gt;"Bilbo"),IF(AND(K1030&gt;0,K1030&lt;=12),ROUND(J1030*(1+(K1030+IF(ISNUMBER(L1030),L1030,0))/30),1),""),"")</f>
        <v/>
      </c>
      <c r="T1030" s="21" t="str">
        <f aca="false">IF(AND(F1030="Bilbo",ISNUMBER(J1030),ISNUMBER(K1030)),ROUND(J1030*(1+K1030/30),1),"")</f>
        <v/>
      </c>
      <c r="W1030" s="22"/>
      <c r="X1030" s="21" t="str">
        <f aca="false">IF(AND(F1030="Bilbo",E1030&lt;&gt;"",G1030&lt;&gt;"",H1030&lt;&gt;""),E1030&amp;"|"&amp;G1030&amp;"|"&amp;H1030,"")</f>
        <v/>
      </c>
      <c r="Y1030" s="21" t="str">
        <f aca="false">IF(B1030="","",IF(B1030&lt;&gt;B1029,1,0))</f>
        <v/>
      </c>
    </row>
    <row r="1031" customFormat="false" ht="15" hidden="false" customHeight="true" outlineLevel="0" collapsed="false">
      <c r="A1031" s="21" t="str">
        <f aca="false">IF(B1031="","",ROW()-4)</f>
        <v/>
      </c>
      <c r="B1031" s="22"/>
      <c r="C1031" s="21" t="str">
        <f aca="false">IF(B1031="","",CHOOSE(WEEKDAY(B1031,2),"LUNES","MARTES","MIÉRCOLES","JUEVES","VIERNES","SÁBADO","DOMINGO"))</f>
        <v/>
      </c>
      <c r="M1031" s="23"/>
      <c r="Q1031" s="21" t="str">
        <f aca="false">IF(OR(K1031="",N1031=""),"",K1031-N1031)</f>
        <v/>
      </c>
      <c r="R1031" s="21" t="str">
        <f aca="false">IF(OR(J1031="",K1031=""),"",J1031*K1031)</f>
        <v/>
      </c>
      <c r="S1031" s="21" t="str">
        <f aca="false">IF(AND(ISNUMBER(J1031),ISNUMBER(K1031),F1031&lt;&gt;"Calentamiento",F1031&lt;&gt;"Bilbo"),IF(AND(K1031&gt;0,K1031&lt;=12),ROUND(J1031*(1+(K1031+IF(ISNUMBER(L1031),L1031,0))/30),1),""),"")</f>
        <v/>
      </c>
      <c r="T1031" s="21" t="str">
        <f aca="false">IF(AND(F1031="Bilbo",ISNUMBER(J1031),ISNUMBER(K1031)),ROUND(J1031*(1+K1031/30),1),"")</f>
        <v/>
      </c>
      <c r="W1031" s="22"/>
      <c r="X1031" s="21" t="str">
        <f aca="false">IF(AND(F1031="Bilbo",E1031&lt;&gt;"",G1031&lt;&gt;"",H1031&lt;&gt;""),E1031&amp;"|"&amp;G1031&amp;"|"&amp;H1031,"")</f>
        <v/>
      </c>
      <c r="Y1031" s="21" t="str">
        <f aca="false">IF(B1031="","",IF(B1031&lt;&gt;B1030,1,0))</f>
        <v/>
      </c>
    </row>
    <row r="1032" customFormat="false" ht="15" hidden="false" customHeight="true" outlineLevel="0" collapsed="false">
      <c r="A1032" s="21" t="str">
        <f aca="false">IF(B1032="","",ROW()-4)</f>
        <v/>
      </c>
      <c r="B1032" s="22"/>
      <c r="C1032" s="21" t="str">
        <f aca="false">IF(B1032="","",CHOOSE(WEEKDAY(B1032,2),"LUNES","MARTES","MIÉRCOLES","JUEVES","VIERNES","SÁBADO","DOMINGO"))</f>
        <v/>
      </c>
      <c r="M1032" s="23"/>
      <c r="Q1032" s="21" t="str">
        <f aca="false">IF(OR(K1032="",N1032=""),"",K1032-N1032)</f>
        <v/>
      </c>
      <c r="R1032" s="21" t="str">
        <f aca="false">IF(OR(J1032="",K1032=""),"",J1032*K1032)</f>
        <v/>
      </c>
      <c r="S1032" s="21" t="str">
        <f aca="false">IF(AND(ISNUMBER(J1032),ISNUMBER(K1032),F1032&lt;&gt;"Calentamiento",F1032&lt;&gt;"Bilbo"),IF(AND(K1032&gt;0,K1032&lt;=12),ROUND(J1032*(1+(K1032+IF(ISNUMBER(L1032),L1032,0))/30),1),""),"")</f>
        <v/>
      </c>
      <c r="T1032" s="21" t="str">
        <f aca="false">IF(AND(F1032="Bilbo",ISNUMBER(J1032),ISNUMBER(K1032)),ROUND(J1032*(1+K1032/30),1),"")</f>
        <v/>
      </c>
      <c r="W1032" s="22"/>
      <c r="X1032" s="21" t="str">
        <f aca="false">IF(AND(F1032="Bilbo",E1032&lt;&gt;"",G1032&lt;&gt;"",H1032&lt;&gt;""),E1032&amp;"|"&amp;G1032&amp;"|"&amp;H1032,"")</f>
        <v/>
      </c>
      <c r="Y1032" s="21" t="str">
        <f aca="false">IF(B1032="","",IF(B1032&lt;&gt;B1031,1,0))</f>
        <v/>
      </c>
    </row>
    <row r="1033" customFormat="false" ht="15" hidden="false" customHeight="true" outlineLevel="0" collapsed="false">
      <c r="A1033" s="21" t="str">
        <f aca="false">IF(B1033="","",ROW()-4)</f>
        <v/>
      </c>
      <c r="B1033" s="22"/>
      <c r="C1033" s="21" t="str">
        <f aca="false">IF(B1033="","",CHOOSE(WEEKDAY(B1033,2),"LUNES","MARTES","MIÉRCOLES","JUEVES","VIERNES","SÁBADO","DOMINGO"))</f>
        <v/>
      </c>
      <c r="M1033" s="23"/>
      <c r="Q1033" s="21" t="str">
        <f aca="false">IF(OR(K1033="",N1033=""),"",K1033-N1033)</f>
        <v/>
      </c>
      <c r="R1033" s="21" t="str">
        <f aca="false">IF(OR(J1033="",K1033=""),"",J1033*K1033)</f>
        <v/>
      </c>
      <c r="S1033" s="21" t="str">
        <f aca="false">IF(AND(ISNUMBER(J1033),ISNUMBER(K1033),F1033&lt;&gt;"Calentamiento",F1033&lt;&gt;"Bilbo"),IF(AND(K1033&gt;0,K1033&lt;=12),ROUND(J1033*(1+(K1033+IF(ISNUMBER(L1033),L1033,0))/30),1),""),"")</f>
        <v/>
      </c>
      <c r="T1033" s="21" t="str">
        <f aca="false">IF(AND(F1033="Bilbo",ISNUMBER(J1033),ISNUMBER(K1033)),ROUND(J1033*(1+K1033/30),1),"")</f>
        <v/>
      </c>
      <c r="W1033" s="22"/>
      <c r="X1033" s="21" t="str">
        <f aca="false">IF(AND(F1033="Bilbo",E1033&lt;&gt;"",G1033&lt;&gt;"",H1033&lt;&gt;""),E1033&amp;"|"&amp;G1033&amp;"|"&amp;H1033,"")</f>
        <v/>
      </c>
      <c r="Y1033" s="21" t="str">
        <f aca="false">IF(B1033="","",IF(B1033&lt;&gt;B1032,1,0))</f>
        <v/>
      </c>
    </row>
    <row r="1034" customFormat="false" ht="15" hidden="false" customHeight="true" outlineLevel="0" collapsed="false">
      <c r="A1034" s="21" t="str">
        <f aca="false">IF(B1034="","",ROW()-4)</f>
        <v/>
      </c>
      <c r="B1034" s="22"/>
      <c r="C1034" s="21" t="str">
        <f aca="false">IF(B1034="","",CHOOSE(WEEKDAY(B1034,2),"LUNES","MARTES","MIÉRCOLES","JUEVES","VIERNES","SÁBADO","DOMINGO"))</f>
        <v/>
      </c>
      <c r="M1034" s="23"/>
      <c r="Q1034" s="21" t="str">
        <f aca="false">IF(OR(K1034="",N1034=""),"",K1034-N1034)</f>
        <v/>
      </c>
      <c r="R1034" s="21" t="str">
        <f aca="false">IF(OR(J1034="",K1034=""),"",J1034*K1034)</f>
        <v/>
      </c>
      <c r="S1034" s="21" t="str">
        <f aca="false">IF(AND(ISNUMBER(J1034),ISNUMBER(K1034),F1034&lt;&gt;"Calentamiento",F1034&lt;&gt;"Bilbo"),IF(AND(K1034&gt;0,K1034&lt;=12),ROUND(J1034*(1+(K1034+IF(ISNUMBER(L1034),L1034,0))/30),1),""),"")</f>
        <v/>
      </c>
      <c r="T1034" s="21" t="str">
        <f aca="false">IF(AND(F1034="Bilbo",ISNUMBER(J1034),ISNUMBER(K1034)),ROUND(J1034*(1+K1034/30),1),"")</f>
        <v/>
      </c>
      <c r="W1034" s="22"/>
      <c r="X1034" s="21" t="str">
        <f aca="false">IF(AND(F1034="Bilbo",E1034&lt;&gt;"",G1034&lt;&gt;"",H1034&lt;&gt;""),E1034&amp;"|"&amp;G1034&amp;"|"&amp;H1034,"")</f>
        <v/>
      </c>
      <c r="Y1034" s="21" t="str">
        <f aca="false">IF(B1034="","",IF(B1034&lt;&gt;B1033,1,0))</f>
        <v/>
      </c>
    </row>
    <row r="1035" customFormat="false" ht="15" hidden="false" customHeight="true" outlineLevel="0" collapsed="false">
      <c r="A1035" s="21" t="str">
        <f aca="false">IF(B1035="","",ROW()-4)</f>
        <v/>
      </c>
      <c r="B1035" s="22"/>
      <c r="C1035" s="21" t="str">
        <f aca="false">IF(B1035="","",CHOOSE(WEEKDAY(B1035,2),"LUNES","MARTES","MIÉRCOLES","JUEVES","VIERNES","SÁBADO","DOMINGO"))</f>
        <v/>
      </c>
      <c r="M1035" s="23"/>
      <c r="Q1035" s="21" t="str">
        <f aca="false">IF(OR(K1035="",N1035=""),"",K1035-N1035)</f>
        <v/>
      </c>
      <c r="R1035" s="21" t="str">
        <f aca="false">IF(OR(J1035="",K1035=""),"",J1035*K1035)</f>
        <v/>
      </c>
      <c r="S1035" s="21" t="str">
        <f aca="false">IF(AND(ISNUMBER(J1035),ISNUMBER(K1035),F1035&lt;&gt;"Calentamiento",F1035&lt;&gt;"Bilbo"),IF(AND(K1035&gt;0,K1035&lt;=12),ROUND(J1035*(1+(K1035+IF(ISNUMBER(L1035),L1035,0))/30),1),""),"")</f>
        <v/>
      </c>
      <c r="T1035" s="21" t="str">
        <f aca="false">IF(AND(F1035="Bilbo",ISNUMBER(J1035),ISNUMBER(K1035)),ROUND(J1035*(1+K1035/30),1),"")</f>
        <v/>
      </c>
      <c r="W1035" s="22"/>
      <c r="X1035" s="21" t="str">
        <f aca="false">IF(AND(F1035="Bilbo",E1035&lt;&gt;"",G1035&lt;&gt;"",H1035&lt;&gt;""),E1035&amp;"|"&amp;G1035&amp;"|"&amp;H1035,"")</f>
        <v/>
      </c>
      <c r="Y1035" s="21" t="str">
        <f aca="false">IF(B1035="","",IF(B1035&lt;&gt;B1034,1,0))</f>
        <v/>
      </c>
    </row>
    <row r="1036" customFormat="false" ht="15" hidden="false" customHeight="true" outlineLevel="0" collapsed="false">
      <c r="A1036" s="21" t="str">
        <f aca="false">IF(B1036="","",ROW()-4)</f>
        <v/>
      </c>
      <c r="B1036" s="22"/>
      <c r="C1036" s="21" t="str">
        <f aca="false">IF(B1036="","",CHOOSE(WEEKDAY(B1036,2),"LUNES","MARTES","MIÉRCOLES","JUEVES","VIERNES","SÁBADO","DOMINGO"))</f>
        <v/>
      </c>
      <c r="M1036" s="23"/>
      <c r="Q1036" s="21" t="str">
        <f aca="false">IF(OR(K1036="",N1036=""),"",K1036-N1036)</f>
        <v/>
      </c>
      <c r="R1036" s="21" t="str">
        <f aca="false">IF(OR(J1036="",K1036=""),"",J1036*K1036)</f>
        <v/>
      </c>
      <c r="S1036" s="21" t="str">
        <f aca="false">IF(AND(ISNUMBER(J1036),ISNUMBER(K1036),F1036&lt;&gt;"Calentamiento",F1036&lt;&gt;"Bilbo"),IF(AND(K1036&gt;0,K1036&lt;=12),ROUND(J1036*(1+(K1036+IF(ISNUMBER(L1036),L1036,0))/30),1),""),"")</f>
        <v/>
      </c>
      <c r="T1036" s="21" t="str">
        <f aca="false">IF(AND(F1036="Bilbo",ISNUMBER(J1036),ISNUMBER(K1036)),ROUND(J1036*(1+K1036/30),1),"")</f>
        <v/>
      </c>
      <c r="W1036" s="22"/>
      <c r="X1036" s="21" t="str">
        <f aca="false">IF(AND(F1036="Bilbo",E1036&lt;&gt;"",G1036&lt;&gt;"",H1036&lt;&gt;""),E1036&amp;"|"&amp;G1036&amp;"|"&amp;H1036,"")</f>
        <v/>
      </c>
      <c r="Y1036" s="21" t="str">
        <f aca="false">IF(B1036="","",IF(B1036&lt;&gt;B1035,1,0))</f>
        <v/>
      </c>
    </row>
    <row r="1037" customFormat="false" ht="15" hidden="false" customHeight="true" outlineLevel="0" collapsed="false">
      <c r="A1037" s="21" t="str">
        <f aca="false">IF(B1037="","",ROW()-4)</f>
        <v/>
      </c>
      <c r="B1037" s="22"/>
      <c r="C1037" s="21" t="str">
        <f aca="false">IF(B1037="","",CHOOSE(WEEKDAY(B1037,2),"LUNES","MARTES","MIÉRCOLES","JUEVES","VIERNES","SÁBADO","DOMINGO"))</f>
        <v/>
      </c>
      <c r="M1037" s="23"/>
      <c r="Q1037" s="21" t="str">
        <f aca="false">IF(OR(K1037="",N1037=""),"",K1037-N1037)</f>
        <v/>
      </c>
      <c r="R1037" s="21" t="str">
        <f aca="false">IF(OR(J1037="",K1037=""),"",J1037*K1037)</f>
        <v/>
      </c>
      <c r="S1037" s="21" t="str">
        <f aca="false">IF(AND(ISNUMBER(J1037),ISNUMBER(K1037),F1037&lt;&gt;"Calentamiento",F1037&lt;&gt;"Bilbo"),IF(AND(K1037&gt;0,K1037&lt;=12),ROUND(J1037*(1+(K1037+IF(ISNUMBER(L1037),L1037,0))/30),1),""),"")</f>
        <v/>
      </c>
      <c r="T1037" s="21" t="str">
        <f aca="false">IF(AND(F1037="Bilbo",ISNUMBER(J1037),ISNUMBER(K1037)),ROUND(J1037*(1+K1037/30),1),"")</f>
        <v/>
      </c>
      <c r="W1037" s="22"/>
      <c r="X1037" s="21" t="str">
        <f aca="false">IF(AND(F1037="Bilbo",E1037&lt;&gt;"",G1037&lt;&gt;"",H1037&lt;&gt;""),E1037&amp;"|"&amp;G1037&amp;"|"&amp;H1037,"")</f>
        <v/>
      </c>
      <c r="Y1037" s="21" t="str">
        <f aca="false">IF(B1037="","",IF(B1037&lt;&gt;B1036,1,0))</f>
        <v/>
      </c>
    </row>
    <row r="1038" customFormat="false" ht="15" hidden="false" customHeight="true" outlineLevel="0" collapsed="false">
      <c r="A1038" s="21" t="str">
        <f aca="false">IF(B1038="","",ROW()-4)</f>
        <v/>
      </c>
      <c r="B1038" s="22"/>
      <c r="C1038" s="21" t="str">
        <f aca="false">IF(B1038="","",CHOOSE(WEEKDAY(B1038,2),"LUNES","MARTES","MIÉRCOLES","JUEVES","VIERNES","SÁBADO","DOMINGO"))</f>
        <v/>
      </c>
      <c r="M1038" s="23"/>
      <c r="Q1038" s="21" t="str">
        <f aca="false">IF(OR(K1038="",N1038=""),"",K1038-N1038)</f>
        <v/>
      </c>
      <c r="R1038" s="21" t="str">
        <f aca="false">IF(OR(J1038="",K1038=""),"",J1038*K1038)</f>
        <v/>
      </c>
      <c r="S1038" s="21" t="str">
        <f aca="false">IF(AND(ISNUMBER(J1038),ISNUMBER(K1038),F1038&lt;&gt;"Calentamiento",F1038&lt;&gt;"Bilbo"),IF(AND(K1038&gt;0,K1038&lt;=12),ROUND(J1038*(1+(K1038+IF(ISNUMBER(L1038),L1038,0))/30),1),""),"")</f>
        <v/>
      </c>
      <c r="T1038" s="21" t="str">
        <f aca="false">IF(AND(F1038="Bilbo",ISNUMBER(J1038),ISNUMBER(K1038)),ROUND(J1038*(1+K1038/30),1),"")</f>
        <v/>
      </c>
      <c r="W1038" s="22"/>
      <c r="X1038" s="21" t="str">
        <f aca="false">IF(AND(F1038="Bilbo",E1038&lt;&gt;"",G1038&lt;&gt;"",H1038&lt;&gt;""),E1038&amp;"|"&amp;G1038&amp;"|"&amp;H1038,"")</f>
        <v/>
      </c>
      <c r="Y1038" s="21" t="str">
        <f aca="false">IF(B1038="","",IF(B1038&lt;&gt;B1037,1,0))</f>
        <v/>
      </c>
    </row>
    <row r="1039" customFormat="false" ht="15" hidden="false" customHeight="true" outlineLevel="0" collapsed="false">
      <c r="A1039" s="21" t="str">
        <f aca="false">IF(B1039="","",ROW()-4)</f>
        <v/>
      </c>
      <c r="B1039" s="22"/>
      <c r="C1039" s="21" t="str">
        <f aca="false">IF(B1039="","",CHOOSE(WEEKDAY(B1039,2),"LUNES","MARTES","MIÉRCOLES","JUEVES","VIERNES","SÁBADO","DOMINGO"))</f>
        <v/>
      </c>
      <c r="M1039" s="23"/>
      <c r="Q1039" s="21" t="str">
        <f aca="false">IF(OR(K1039="",N1039=""),"",K1039-N1039)</f>
        <v/>
      </c>
      <c r="R1039" s="21" t="str">
        <f aca="false">IF(OR(J1039="",K1039=""),"",J1039*K1039)</f>
        <v/>
      </c>
      <c r="S1039" s="21" t="str">
        <f aca="false">IF(AND(ISNUMBER(J1039),ISNUMBER(K1039),F1039&lt;&gt;"Calentamiento",F1039&lt;&gt;"Bilbo"),IF(AND(K1039&gt;0,K1039&lt;=12),ROUND(J1039*(1+(K1039+IF(ISNUMBER(L1039),L1039,0))/30),1),""),"")</f>
        <v/>
      </c>
      <c r="T1039" s="21" t="str">
        <f aca="false">IF(AND(F1039="Bilbo",ISNUMBER(J1039),ISNUMBER(K1039)),ROUND(J1039*(1+K1039/30),1),"")</f>
        <v/>
      </c>
      <c r="W1039" s="22"/>
      <c r="X1039" s="21" t="str">
        <f aca="false">IF(AND(F1039="Bilbo",E1039&lt;&gt;"",G1039&lt;&gt;"",H1039&lt;&gt;""),E1039&amp;"|"&amp;G1039&amp;"|"&amp;H1039,"")</f>
        <v/>
      </c>
      <c r="Y1039" s="21" t="str">
        <f aca="false">IF(B1039="","",IF(B1039&lt;&gt;B1038,1,0))</f>
        <v/>
      </c>
    </row>
    <row r="1040" customFormat="false" ht="15" hidden="false" customHeight="true" outlineLevel="0" collapsed="false">
      <c r="A1040" s="21" t="str">
        <f aca="false">IF(B1040="","",ROW()-4)</f>
        <v/>
      </c>
      <c r="B1040" s="22"/>
      <c r="C1040" s="21" t="str">
        <f aca="false">IF(B1040="","",CHOOSE(WEEKDAY(B1040,2),"LUNES","MARTES","MIÉRCOLES","JUEVES","VIERNES","SÁBADO","DOMINGO"))</f>
        <v/>
      </c>
      <c r="M1040" s="23"/>
      <c r="Q1040" s="21" t="str">
        <f aca="false">IF(OR(K1040="",N1040=""),"",K1040-N1040)</f>
        <v/>
      </c>
      <c r="R1040" s="21" t="str">
        <f aca="false">IF(OR(J1040="",K1040=""),"",J1040*K1040)</f>
        <v/>
      </c>
      <c r="S1040" s="21" t="str">
        <f aca="false">IF(AND(ISNUMBER(J1040),ISNUMBER(K1040),F1040&lt;&gt;"Calentamiento",F1040&lt;&gt;"Bilbo"),IF(AND(K1040&gt;0,K1040&lt;=12),ROUND(J1040*(1+(K1040+IF(ISNUMBER(L1040),L1040,0))/30),1),""),"")</f>
        <v/>
      </c>
      <c r="T1040" s="21" t="str">
        <f aca="false">IF(AND(F1040="Bilbo",ISNUMBER(J1040),ISNUMBER(K1040)),ROUND(J1040*(1+K1040/30),1),"")</f>
        <v/>
      </c>
      <c r="W1040" s="22"/>
      <c r="X1040" s="21" t="str">
        <f aca="false">IF(AND(F1040="Bilbo",E1040&lt;&gt;"",G1040&lt;&gt;"",H1040&lt;&gt;""),E1040&amp;"|"&amp;G1040&amp;"|"&amp;H1040,"")</f>
        <v/>
      </c>
      <c r="Y1040" s="21" t="str">
        <f aca="false">IF(B1040="","",IF(B1040&lt;&gt;B1039,1,0))</f>
        <v/>
      </c>
    </row>
    <row r="1041" customFormat="false" ht="15" hidden="false" customHeight="true" outlineLevel="0" collapsed="false">
      <c r="A1041" s="21" t="str">
        <f aca="false">IF(B1041="","",ROW()-4)</f>
        <v/>
      </c>
      <c r="B1041" s="22"/>
      <c r="C1041" s="21" t="str">
        <f aca="false">IF(B1041="","",CHOOSE(WEEKDAY(B1041,2),"LUNES","MARTES","MIÉRCOLES","JUEVES","VIERNES","SÁBADO","DOMINGO"))</f>
        <v/>
      </c>
      <c r="M1041" s="23"/>
      <c r="Q1041" s="21" t="str">
        <f aca="false">IF(OR(K1041="",N1041=""),"",K1041-N1041)</f>
        <v/>
      </c>
      <c r="R1041" s="21" t="str">
        <f aca="false">IF(OR(J1041="",K1041=""),"",J1041*K1041)</f>
        <v/>
      </c>
      <c r="S1041" s="21" t="str">
        <f aca="false">IF(AND(ISNUMBER(J1041),ISNUMBER(K1041),F1041&lt;&gt;"Calentamiento",F1041&lt;&gt;"Bilbo"),IF(AND(K1041&gt;0,K1041&lt;=12),ROUND(J1041*(1+(K1041+IF(ISNUMBER(L1041),L1041,0))/30),1),""),"")</f>
        <v/>
      </c>
      <c r="T1041" s="21" t="str">
        <f aca="false">IF(AND(F1041="Bilbo",ISNUMBER(J1041),ISNUMBER(K1041)),ROUND(J1041*(1+K1041/30),1),"")</f>
        <v/>
      </c>
      <c r="W1041" s="22"/>
      <c r="X1041" s="21" t="str">
        <f aca="false">IF(AND(F1041="Bilbo",E1041&lt;&gt;"",G1041&lt;&gt;"",H1041&lt;&gt;""),E1041&amp;"|"&amp;G1041&amp;"|"&amp;H1041,"")</f>
        <v/>
      </c>
      <c r="Y1041" s="21" t="str">
        <f aca="false">IF(B1041="","",IF(B1041&lt;&gt;B1040,1,0))</f>
        <v/>
      </c>
    </row>
    <row r="1042" customFormat="false" ht="15" hidden="false" customHeight="true" outlineLevel="0" collapsed="false">
      <c r="A1042" s="21" t="str">
        <f aca="false">IF(B1042="","",ROW()-4)</f>
        <v/>
      </c>
      <c r="B1042" s="22"/>
      <c r="C1042" s="21" t="str">
        <f aca="false">IF(B1042="","",CHOOSE(WEEKDAY(B1042,2),"LUNES","MARTES","MIÉRCOLES","JUEVES","VIERNES","SÁBADO","DOMINGO"))</f>
        <v/>
      </c>
      <c r="M1042" s="23"/>
      <c r="Q1042" s="21" t="str">
        <f aca="false">IF(OR(K1042="",N1042=""),"",K1042-N1042)</f>
        <v/>
      </c>
      <c r="R1042" s="21" t="str">
        <f aca="false">IF(OR(J1042="",K1042=""),"",J1042*K1042)</f>
        <v/>
      </c>
      <c r="S1042" s="21" t="str">
        <f aca="false">IF(AND(ISNUMBER(J1042),ISNUMBER(K1042),F1042&lt;&gt;"Calentamiento",F1042&lt;&gt;"Bilbo"),IF(AND(K1042&gt;0,K1042&lt;=12),ROUND(J1042*(1+(K1042+IF(ISNUMBER(L1042),L1042,0))/30),1),""),"")</f>
        <v/>
      </c>
      <c r="T1042" s="21" t="str">
        <f aca="false">IF(AND(F1042="Bilbo",ISNUMBER(J1042),ISNUMBER(K1042)),ROUND(J1042*(1+K1042/30),1),"")</f>
        <v/>
      </c>
      <c r="W1042" s="22"/>
      <c r="X1042" s="21" t="str">
        <f aca="false">IF(AND(F1042="Bilbo",E1042&lt;&gt;"",G1042&lt;&gt;"",H1042&lt;&gt;""),E1042&amp;"|"&amp;G1042&amp;"|"&amp;H1042,"")</f>
        <v/>
      </c>
      <c r="Y1042" s="21" t="str">
        <f aca="false">IF(B1042="","",IF(B1042&lt;&gt;B1041,1,0))</f>
        <v/>
      </c>
    </row>
    <row r="1043" customFormat="false" ht="15" hidden="false" customHeight="true" outlineLevel="0" collapsed="false">
      <c r="A1043" s="21" t="str">
        <f aca="false">IF(B1043="","",ROW()-4)</f>
        <v/>
      </c>
      <c r="B1043" s="22"/>
      <c r="C1043" s="21" t="str">
        <f aca="false">IF(B1043="","",CHOOSE(WEEKDAY(B1043,2),"LUNES","MARTES","MIÉRCOLES","JUEVES","VIERNES","SÁBADO","DOMINGO"))</f>
        <v/>
      </c>
      <c r="M1043" s="23"/>
      <c r="Q1043" s="21" t="str">
        <f aca="false">IF(OR(K1043="",N1043=""),"",K1043-N1043)</f>
        <v/>
      </c>
      <c r="R1043" s="21" t="str">
        <f aca="false">IF(OR(J1043="",K1043=""),"",J1043*K1043)</f>
        <v/>
      </c>
      <c r="S1043" s="21" t="str">
        <f aca="false">IF(AND(ISNUMBER(J1043),ISNUMBER(K1043),F1043&lt;&gt;"Calentamiento",F1043&lt;&gt;"Bilbo"),IF(AND(K1043&gt;0,K1043&lt;=12),ROUND(J1043*(1+(K1043+IF(ISNUMBER(L1043),L1043,0))/30),1),""),"")</f>
        <v/>
      </c>
      <c r="T1043" s="21" t="str">
        <f aca="false">IF(AND(F1043="Bilbo",ISNUMBER(J1043),ISNUMBER(K1043)),ROUND(J1043*(1+K1043/30),1),"")</f>
        <v/>
      </c>
      <c r="W1043" s="22"/>
      <c r="X1043" s="21" t="str">
        <f aca="false">IF(AND(F1043="Bilbo",E1043&lt;&gt;"",G1043&lt;&gt;"",H1043&lt;&gt;""),E1043&amp;"|"&amp;G1043&amp;"|"&amp;H1043,"")</f>
        <v/>
      </c>
      <c r="Y1043" s="21" t="str">
        <f aca="false">IF(B1043="","",IF(B1043&lt;&gt;B1042,1,0))</f>
        <v/>
      </c>
    </row>
    <row r="1044" customFormat="false" ht="15" hidden="false" customHeight="true" outlineLevel="0" collapsed="false">
      <c r="A1044" s="21" t="str">
        <f aca="false">IF(B1044="","",ROW()-4)</f>
        <v/>
      </c>
      <c r="B1044" s="22"/>
      <c r="C1044" s="21" t="str">
        <f aca="false">IF(B1044="","",CHOOSE(WEEKDAY(B1044,2),"LUNES","MARTES","MIÉRCOLES","JUEVES","VIERNES","SÁBADO","DOMINGO"))</f>
        <v/>
      </c>
      <c r="M1044" s="23"/>
      <c r="Q1044" s="21" t="str">
        <f aca="false">IF(OR(K1044="",N1044=""),"",K1044-N1044)</f>
        <v/>
      </c>
      <c r="R1044" s="21" t="str">
        <f aca="false">IF(OR(J1044="",K1044=""),"",J1044*K1044)</f>
        <v/>
      </c>
      <c r="S1044" s="21" t="str">
        <f aca="false">IF(AND(ISNUMBER(J1044),ISNUMBER(K1044),F1044&lt;&gt;"Calentamiento",F1044&lt;&gt;"Bilbo"),IF(AND(K1044&gt;0,K1044&lt;=12),ROUND(J1044*(1+(K1044+IF(ISNUMBER(L1044),L1044,0))/30),1),""),"")</f>
        <v/>
      </c>
      <c r="T1044" s="21" t="str">
        <f aca="false">IF(AND(F1044="Bilbo",ISNUMBER(J1044),ISNUMBER(K1044)),ROUND(J1044*(1+K1044/30),1),"")</f>
        <v/>
      </c>
      <c r="W1044" s="22"/>
      <c r="X1044" s="21" t="str">
        <f aca="false">IF(AND(F1044="Bilbo",E1044&lt;&gt;"",G1044&lt;&gt;"",H1044&lt;&gt;""),E1044&amp;"|"&amp;G1044&amp;"|"&amp;H1044,"")</f>
        <v/>
      </c>
      <c r="Y1044" s="21" t="str">
        <f aca="false">IF(B1044="","",IF(B1044&lt;&gt;B1043,1,0))</f>
        <v/>
      </c>
    </row>
    <row r="1045" customFormat="false" ht="15" hidden="false" customHeight="true" outlineLevel="0" collapsed="false">
      <c r="A1045" s="21" t="str">
        <f aca="false">IF(B1045="","",ROW()-4)</f>
        <v/>
      </c>
      <c r="B1045" s="22"/>
      <c r="C1045" s="21" t="str">
        <f aca="false">IF(B1045="","",CHOOSE(WEEKDAY(B1045,2),"LUNES","MARTES","MIÉRCOLES","JUEVES","VIERNES","SÁBADO","DOMINGO"))</f>
        <v/>
      </c>
      <c r="M1045" s="23"/>
      <c r="Q1045" s="21" t="str">
        <f aca="false">IF(OR(K1045="",N1045=""),"",K1045-N1045)</f>
        <v/>
      </c>
      <c r="R1045" s="21" t="str">
        <f aca="false">IF(OR(J1045="",K1045=""),"",J1045*K1045)</f>
        <v/>
      </c>
      <c r="S1045" s="21" t="str">
        <f aca="false">IF(AND(ISNUMBER(J1045),ISNUMBER(K1045),F1045&lt;&gt;"Calentamiento",F1045&lt;&gt;"Bilbo"),IF(AND(K1045&gt;0,K1045&lt;=12),ROUND(J1045*(1+(K1045+IF(ISNUMBER(L1045),L1045,0))/30),1),""),"")</f>
        <v/>
      </c>
      <c r="T1045" s="21" t="str">
        <f aca="false">IF(AND(F1045="Bilbo",ISNUMBER(J1045),ISNUMBER(K1045)),ROUND(J1045*(1+K1045/30),1),"")</f>
        <v/>
      </c>
      <c r="W1045" s="22"/>
      <c r="X1045" s="21" t="str">
        <f aca="false">IF(AND(F1045="Bilbo",E1045&lt;&gt;"",G1045&lt;&gt;"",H1045&lt;&gt;""),E1045&amp;"|"&amp;G1045&amp;"|"&amp;H1045,"")</f>
        <v/>
      </c>
      <c r="Y1045" s="21" t="str">
        <f aca="false">IF(B1045="","",IF(B1045&lt;&gt;B1044,1,0))</f>
        <v/>
      </c>
    </row>
    <row r="1046" customFormat="false" ht="15" hidden="false" customHeight="true" outlineLevel="0" collapsed="false">
      <c r="A1046" s="21" t="str">
        <f aca="false">IF(B1046="","",ROW()-4)</f>
        <v/>
      </c>
      <c r="B1046" s="22"/>
      <c r="C1046" s="21" t="str">
        <f aca="false">IF(B1046="","",CHOOSE(WEEKDAY(B1046,2),"LUNES","MARTES","MIÉRCOLES","JUEVES","VIERNES","SÁBADO","DOMINGO"))</f>
        <v/>
      </c>
      <c r="M1046" s="23"/>
      <c r="Q1046" s="21" t="str">
        <f aca="false">IF(OR(K1046="",N1046=""),"",K1046-N1046)</f>
        <v/>
      </c>
      <c r="R1046" s="21" t="str">
        <f aca="false">IF(OR(J1046="",K1046=""),"",J1046*K1046)</f>
        <v/>
      </c>
      <c r="S1046" s="21" t="str">
        <f aca="false">IF(AND(ISNUMBER(J1046),ISNUMBER(K1046),F1046&lt;&gt;"Calentamiento",F1046&lt;&gt;"Bilbo"),IF(AND(K1046&gt;0,K1046&lt;=12),ROUND(J1046*(1+(K1046+IF(ISNUMBER(L1046),L1046,0))/30),1),""),"")</f>
        <v/>
      </c>
      <c r="T1046" s="21" t="str">
        <f aca="false">IF(AND(F1046="Bilbo",ISNUMBER(J1046),ISNUMBER(K1046)),ROUND(J1046*(1+K1046/30),1),"")</f>
        <v/>
      </c>
      <c r="W1046" s="22"/>
      <c r="X1046" s="21" t="str">
        <f aca="false">IF(AND(F1046="Bilbo",E1046&lt;&gt;"",G1046&lt;&gt;"",H1046&lt;&gt;""),E1046&amp;"|"&amp;G1046&amp;"|"&amp;H1046,"")</f>
        <v/>
      </c>
      <c r="Y1046" s="21" t="str">
        <f aca="false">IF(B1046="","",IF(B1046&lt;&gt;B1045,1,0))</f>
        <v/>
      </c>
    </row>
    <row r="1047" customFormat="false" ht="15" hidden="false" customHeight="true" outlineLevel="0" collapsed="false">
      <c r="A1047" s="21" t="str">
        <f aca="false">IF(B1047="","",ROW()-4)</f>
        <v/>
      </c>
      <c r="B1047" s="22"/>
      <c r="C1047" s="21" t="str">
        <f aca="false">IF(B1047="","",CHOOSE(WEEKDAY(B1047,2),"LUNES","MARTES","MIÉRCOLES","JUEVES","VIERNES","SÁBADO","DOMINGO"))</f>
        <v/>
      </c>
      <c r="M1047" s="23"/>
      <c r="Q1047" s="21" t="str">
        <f aca="false">IF(OR(K1047="",N1047=""),"",K1047-N1047)</f>
        <v/>
      </c>
      <c r="R1047" s="21" t="str">
        <f aca="false">IF(OR(J1047="",K1047=""),"",J1047*K1047)</f>
        <v/>
      </c>
      <c r="S1047" s="21" t="str">
        <f aca="false">IF(AND(ISNUMBER(J1047),ISNUMBER(K1047),F1047&lt;&gt;"Calentamiento",F1047&lt;&gt;"Bilbo"),IF(AND(K1047&gt;0,K1047&lt;=12),ROUND(J1047*(1+(K1047+IF(ISNUMBER(L1047),L1047,0))/30),1),""),"")</f>
        <v/>
      </c>
      <c r="T1047" s="21" t="str">
        <f aca="false">IF(AND(F1047="Bilbo",ISNUMBER(J1047),ISNUMBER(K1047)),ROUND(J1047*(1+K1047/30),1),"")</f>
        <v/>
      </c>
      <c r="W1047" s="22"/>
      <c r="X1047" s="21" t="str">
        <f aca="false">IF(AND(F1047="Bilbo",E1047&lt;&gt;"",G1047&lt;&gt;"",H1047&lt;&gt;""),E1047&amp;"|"&amp;G1047&amp;"|"&amp;H1047,"")</f>
        <v/>
      </c>
      <c r="Y1047" s="21" t="str">
        <f aca="false">IF(B1047="","",IF(B1047&lt;&gt;B1046,1,0))</f>
        <v/>
      </c>
    </row>
    <row r="1048" customFormat="false" ht="15" hidden="false" customHeight="true" outlineLevel="0" collapsed="false">
      <c r="A1048" s="21" t="str">
        <f aca="false">IF(B1048="","",ROW()-4)</f>
        <v/>
      </c>
      <c r="B1048" s="22"/>
      <c r="C1048" s="21" t="str">
        <f aca="false">IF(B1048="","",CHOOSE(WEEKDAY(B1048,2),"LUNES","MARTES","MIÉRCOLES","JUEVES","VIERNES","SÁBADO","DOMINGO"))</f>
        <v/>
      </c>
      <c r="M1048" s="23"/>
      <c r="Q1048" s="21" t="str">
        <f aca="false">IF(OR(K1048="",N1048=""),"",K1048-N1048)</f>
        <v/>
      </c>
      <c r="R1048" s="21" t="str">
        <f aca="false">IF(OR(J1048="",K1048=""),"",J1048*K1048)</f>
        <v/>
      </c>
      <c r="S1048" s="21" t="str">
        <f aca="false">IF(AND(ISNUMBER(J1048),ISNUMBER(K1048),F1048&lt;&gt;"Calentamiento",F1048&lt;&gt;"Bilbo"),IF(AND(K1048&gt;0,K1048&lt;=12),ROUND(J1048*(1+(K1048+IF(ISNUMBER(L1048),L1048,0))/30),1),""),"")</f>
        <v/>
      </c>
      <c r="T1048" s="21" t="str">
        <f aca="false">IF(AND(F1048="Bilbo",ISNUMBER(J1048),ISNUMBER(K1048)),ROUND(J1048*(1+K1048/30),1),"")</f>
        <v/>
      </c>
      <c r="W1048" s="22"/>
      <c r="X1048" s="21" t="str">
        <f aca="false">IF(AND(F1048="Bilbo",E1048&lt;&gt;"",G1048&lt;&gt;"",H1048&lt;&gt;""),E1048&amp;"|"&amp;G1048&amp;"|"&amp;H1048,"")</f>
        <v/>
      </c>
      <c r="Y1048" s="21" t="str">
        <f aca="false">IF(B1048="","",IF(B1048&lt;&gt;B1047,1,0))</f>
        <v/>
      </c>
    </row>
    <row r="1049" customFormat="false" ht="15" hidden="false" customHeight="true" outlineLevel="0" collapsed="false">
      <c r="A1049" s="21" t="str">
        <f aca="false">IF(B1049="","",ROW()-4)</f>
        <v/>
      </c>
      <c r="B1049" s="22"/>
      <c r="C1049" s="21" t="str">
        <f aca="false">IF(B1049="","",CHOOSE(WEEKDAY(B1049,2),"LUNES","MARTES","MIÉRCOLES","JUEVES","VIERNES","SÁBADO","DOMINGO"))</f>
        <v/>
      </c>
      <c r="M1049" s="23"/>
      <c r="Q1049" s="21" t="str">
        <f aca="false">IF(OR(K1049="",N1049=""),"",K1049-N1049)</f>
        <v/>
      </c>
      <c r="R1049" s="21" t="str">
        <f aca="false">IF(OR(J1049="",K1049=""),"",J1049*K1049)</f>
        <v/>
      </c>
      <c r="S1049" s="21" t="str">
        <f aca="false">IF(AND(ISNUMBER(J1049),ISNUMBER(K1049),F1049&lt;&gt;"Calentamiento",F1049&lt;&gt;"Bilbo"),IF(AND(K1049&gt;0,K1049&lt;=12),ROUND(J1049*(1+(K1049+IF(ISNUMBER(L1049),L1049,0))/30),1),""),"")</f>
        <v/>
      </c>
      <c r="T1049" s="21" t="str">
        <f aca="false">IF(AND(F1049="Bilbo",ISNUMBER(J1049),ISNUMBER(K1049)),ROUND(J1049*(1+K1049/30),1),"")</f>
        <v/>
      </c>
      <c r="W1049" s="22"/>
      <c r="X1049" s="21" t="str">
        <f aca="false">IF(AND(F1049="Bilbo",E1049&lt;&gt;"",G1049&lt;&gt;"",H1049&lt;&gt;""),E1049&amp;"|"&amp;G1049&amp;"|"&amp;H1049,"")</f>
        <v/>
      </c>
      <c r="Y1049" s="21" t="str">
        <f aca="false">IF(B1049="","",IF(B1049&lt;&gt;B1048,1,0))</f>
        <v/>
      </c>
    </row>
    <row r="1050" customFormat="false" ht="15" hidden="false" customHeight="true" outlineLevel="0" collapsed="false">
      <c r="A1050" s="21" t="str">
        <f aca="false">IF(B1050="","",ROW()-4)</f>
        <v/>
      </c>
      <c r="B1050" s="22"/>
      <c r="C1050" s="21" t="str">
        <f aca="false">IF(B1050="","",CHOOSE(WEEKDAY(B1050,2),"LUNES","MARTES","MIÉRCOLES","JUEVES","VIERNES","SÁBADO","DOMINGO"))</f>
        <v/>
      </c>
      <c r="M1050" s="23"/>
      <c r="Q1050" s="21" t="str">
        <f aca="false">IF(OR(K1050="",N1050=""),"",K1050-N1050)</f>
        <v/>
      </c>
      <c r="R1050" s="21" t="str">
        <f aca="false">IF(OR(J1050="",K1050=""),"",J1050*K1050)</f>
        <v/>
      </c>
      <c r="S1050" s="21" t="str">
        <f aca="false">IF(AND(ISNUMBER(J1050),ISNUMBER(K1050),F1050&lt;&gt;"Calentamiento",F1050&lt;&gt;"Bilbo"),IF(AND(K1050&gt;0,K1050&lt;=12),ROUND(J1050*(1+(K1050+IF(ISNUMBER(L1050),L1050,0))/30),1),""),"")</f>
        <v/>
      </c>
      <c r="T1050" s="21" t="str">
        <f aca="false">IF(AND(F1050="Bilbo",ISNUMBER(J1050),ISNUMBER(K1050)),ROUND(J1050*(1+K1050/30),1),"")</f>
        <v/>
      </c>
      <c r="W1050" s="22"/>
      <c r="X1050" s="21" t="str">
        <f aca="false">IF(AND(F1050="Bilbo",E1050&lt;&gt;"",G1050&lt;&gt;"",H1050&lt;&gt;""),E1050&amp;"|"&amp;G1050&amp;"|"&amp;H1050,"")</f>
        <v/>
      </c>
      <c r="Y1050" s="21" t="str">
        <f aca="false">IF(B1050="","",IF(B1050&lt;&gt;B1049,1,0))</f>
        <v/>
      </c>
    </row>
    <row r="1051" customFormat="false" ht="15" hidden="false" customHeight="true" outlineLevel="0" collapsed="false">
      <c r="A1051" s="21" t="str">
        <f aca="false">IF(B1051="","",ROW()-4)</f>
        <v/>
      </c>
      <c r="B1051" s="22"/>
      <c r="C1051" s="21" t="str">
        <f aca="false">IF(B1051="","",CHOOSE(WEEKDAY(B1051,2),"LUNES","MARTES","MIÉRCOLES","JUEVES","VIERNES","SÁBADO","DOMINGO"))</f>
        <v/>
      </c>
      <c r="M1051" s="23"/>
      <c r="Q1051" s="21" t="str">
        <f aca="false">IF(OR(K1051="",N1051=""),"",K1051-N1051)</f>
        <v/>
      </c>
      <c r="R1051" s="21" t="str">
        <f aca="false">IF(OR(J1051="",K1051=""),"",J1051*K1051)</f>
        <v/>
      </c>
      <c r="S1051" s="21" t="str">
        <f aca="false">IF(AND(ISNUMBER(J1051),ISNUMBER(K1051),F1051&lt;&gt;"Calentamiento",F1051&lt;&gt;"Bilbo"),IF(AND(K1051&gt;0,K1051&lt;=12),ROUND(J1051*(1+(K1051+IF(ISNUMBER(L1051),L1051,0))/30),1),""),"")</f>
        <v/>
      </c>
      <c r="T1051" s="21" t="str">
        <f aca="false">IF(AND(F1051="Bilbo",ISNUMBER(J1051),ISNUMBER(K1051)),ROUND(J1051*(1+K1051/30),1),"")</f>
        <v/>
      </c>
      <c r="W1051" s="22"/>
      <c r="X1051" s="21" t="str">
        <f aca="false">IF(AND(F1051="Bilbo",E1051&lt;&gt;"",G1051&lt;&gt;"",H1051&lt;&gt;""),E1051&amp;"|"&amp;G1051&amp;"|"&amp;H1051,"")</f>
        <v/>
      </c>
      <c r="Y1051" s="21" t="str">
        <f aca="false">IF(B1051="","",IF(B1051&lt;&gt;B1050,1,0))</f>
        <v/>
      </c>
    </row>
    <row r="1052" customFormat="false" ht="15" hidden="false" customHeight="true" outlineLevel="0" collapsed="false">
      <c r="A1052" s="21" t="str">
        <f aca="false">IF(B1052="","",ROW()-4)</f>
        <v/>
      </c>
      <c r="B1052" s="22"/>
      <c r="C1052" s="21" t="str">
        <f aca="false">IF(B1052="","",CHOOSE(WEEKDAY(B1052,2),"LUNES","MARTES","MIÉRCOLES","JUEVES","VIERNES","SÁBADO","DOMINGO"))</f>
        <v/>
      </c>
      <c r="M1052" s="23"/>
      <c r="Q1052" s="21" t="str">
        <f aca="false">IF(OR(K1052="",N1052=""),"",K1052-N1052)</f>
        <v/>
      </c>
      <c r="R1052" s="21" t="str">
        <f aca="false">IF(OR(J1052="",K1052=""),"",J1052*K1052)</f>
        <v/>
      </c>
      <c r="S1052" s="21" t="str">
        <f aca="false">IF(AND(ISNUMBER(J1052),ISNUMBER(K1052),F1052&lt;&gt;"Calentamiento",F1052&lt;&gt;"Bilbo"),IF(AND(K1052&gt;0,K1052&lt;=12),ROUND(J1052*(1+(K1052+IF(ISNUMBER(L1052),L1052,0))/30),1),""),"")</f>
        <v/>
      </c>
      <c r="T1052" s="21" t="str">
        <f aca="false">IF(AND(F1052="Bilbo",ISNUMBER(J1052),ISNUMBER(K1052)),ROUND(J1052*(1+K1052/30),1),"")</f>
        <v/>
      </c>
      <c r="W1052" s="22"/>
      <c r="X1052" s="21" t="str">
        <f aca="false">IF(AND(F1052="Bilbo",E1052&lt;&gt;"",G1052&lt;&gt;"",H1052&lt;&gt;""),E1052&amp;"|"&amp;G1052&amp;"|"&amp;H1052,"")</f>
        <v/>
      </c>
      <c r="Y1052" s="21" t="str">
        <f aca="false">IF(B1052="","",IF(B1052&lt;&gt;B1051,1,0))</f>
        <v/>
      </c>
    </row>
    <row r="1053" customFormat="false" ht="15" hidden="false" customHeight="true" outlineLevel="0" collapsed="false">
      <c r="A1053" s="21" t="str">
        <f aca="false">IF(B1053="","",ROW()-4)</f>
        <v/>
      </c>
      <c r="B1053" s="22"/>
      <c r="C1053" s="21" t="str">
        <f aca="false">IF(B1053="","",CHOOSE(WEEKDAY(B1053,2),"LUNES","MARTES","MIÉRCOLES","JUEVES","VIERNES","SÁBADO","DOMINGO"))</f>
        <v/>
      </c>
      <c r="M1053" s="23"/>
      <c r="Q1053" s="21" t="str">
        <f aca="false">IF(OR(K1053="",N1053=""),"",K1053-N1053)</f>
        <v/>
      </c>
      <c r="R1053" s="21" t="str">
        <f aca="false">IF(OR(J1053="",K1053=""),"",J1053*K1053)</f>
        <v/>
      </c>
      <c r="S1053" s="21" t="str">
        <f aca="false">IF(AND(ISNUMBER(J1053),ISNUMBER(K1053),F1053&lt;&gt;"Calentamiento",F1053&lt;&gt;"Bilbo"),IF(AND(K1053&gt;0,K1053&lt;=12),ROUND(J1053*(1+(K1053+IF(ISNUMBER(L1053),L1053,0))/30),1),""),"")</f>
        <v/>
      </c>
      <c r="T1053" s="21" t="str">
        <f aca="false">IF(AND(F1053="Bilbo",ISNUMBER(J1053),ISNUMBER(K1053)),ROUND(J1053*(1+K1053/30),1),"")</f>
        <v/>
      </c>
      <c r="W1053" s="22"/>
      <c r="X1053" s="21" t="str">
        <f aca="false">IF(AND(F1053="Bilbo",E1053&lt;&gt;"",G1053&lt;&gt;"",H1053&lt;&gt;""),E1053&amp;"|"&amp;G1053&amp;"|"&amp;H1053,"")</f>
        <v/>
      </c>
      <c r="Y1053" s="21" t="str">
        <f aca="false">IF(B1053="","",IF(B1053&lt;&gt;B1052,1,0))</f>
        <v/>
      </c>
    </row>
    <row r="1054" customFormat="false" ht="15" hidden="false" customHeight="true" outlineLevel="0" collapsed="false">
      <c r="A1054" s="21" t="str">
        <f aca="false">IF(B1054="","",ROW()-4)</f>
        <v/>
      </c>
      <c r="B1054" s="22"/>
      <c r="C1054" s="21" t="str">
        <f aca="false">IF(B1054="","",CHOOSE(WEEKDAY(B1054,2),"LUNES","MARTES","MIÉRCOLES","JUEVES","VIERNES","SÁBADO","DOMINGO"))</f>
        <v/>
      </c>
      <c r="M1054" s="23"/>
      <c r="Q1054" s="21" t="str">
        <f aca="false">IF(OR(K1054="",N1054=""),"",K1054-N1054)</f>
        <v/>
      </c>
      <c r="R1054" s="21" t="str">
        <f aca="false">IF(OR(J1054="",K1054=""),"",J1054*K1054)</f>
        <v/>
      </c>
      <c r="S1054" s="21" t="str">
        <f aca="false">IF(AND(ISNUMBER(J1054),ISNUMBER(K1054),F1054&lt;&gt;"Calentamiento",F1054&lt;&gt;"Bilbo"),IF(AND(K1054&gt;0,K1054&lt;=12),ROUND(J1054*(1+(K1054+IF(ISNUMBER(L1054),L1054,0))/30),1),""),"")</f>
        <v/>
      </c>
      <c r="T1054" s="21" t="str">
        <f aca="false">IF(AND(F1054="Bilbo",ISNUMBER(J1054),ISNUMBER(K1054)),ROUND(J1054*(1+K1054/30),1),"")</f>
        <v/>
      </c>
      <c r="W1054" s="22"/>
      <c r="X1054" s="21" t="str">
        <f aca="false">IF(AND(F1054="Bilbo",E1054&lt;&gt;"",G1054&lt;&gt;"",H1054&lt;&gt;""),E1054&amp;"|"&amp;G1054&amp;"|"&amp;H1054,"")</f>
        <v/>
      </c>
      <c r="Y1054" s="21" t="str">
        <f aca="false">IF(B1054="","",IF(B1054&lt;&gt;B1053,1,0))</f>
        <v/>
      </c>
    </row>
    <row r="1055" customFormat="false" ht="15" hidden="false" customHeight="true" outlineLevel="0" collapsed="false">
      <c r="A1055" s="21" t="str">
        <f aca="false">IF(B1055="","",ROW()-4)</f>
        <v/>
      </c>
      <c r="B1055" s="22"/>
      <c r="C1055" s="21" t="str">
        <f aca="false">IF(B1055="","",CHOOSE(WEEKDAY(B1055,2),"LUNES","MARTES","MIÉRCOLES","JUEVES","VIERNES","SÁBADO","DOMINGO"))</f>
        <v/>
      </c>
      <c r="M1055" s="23"/>
      <c r="Q1055" s="21" t="str">
        <f aca="false">IF(OR(K1055="",N1055=""),"",K1055-N1055)</f>
        <v/>
      </c>
      <c r="R1055" s="21" t="str">
        <f aca="false">IF(OR(J1055="",K1055=""),"",J1055*K1055)</f>
        <v/>
      </c>
      <c r="S1055" s="21" t="str">
        <f aca="false">IF(AND(ISNUMBER(J1055),ISNUMBER(K1055),F1055&lt;&gt;"Calentamiento",F1055&lt;&gt;"Bilbo"),IF(AND(K1055&gt;0,K1055&lt;=12),ROUND(J1055*(1+(K1055+IF(ISNUMBER(L1055),L1055,0))/30),1),""),"")</f>
        <v/>
      </c>
      <c r="T1055" s="21" t="str">
        <f aca="false">IF(AND(F1055="Bilbo",ISNUMBER(J1055),ISNUMBER(K1055)),ROUND(J1055*(1+K1055/30),1),"")</f>
        <v/>
      </c>
      <c r="W1055" s="22"/>
      <c r="X1055" s="21" t="str">
        <f aca="false">IF(AND(F1055="Bilbo",E1055&lt;&gt;"",G1055&lt;&gt;"",H1055&lt;&gt;""),E1055&amp;"|"&amp;G1055&amp;"|"&amp;H1055,"")</f>
        <v/>
      </c>
      <c r="Y1055" s="21" t="str">
        <f aca="false">IF(B1055="","",IF(B1055&lt;&gt;B1054,1,0))</f>
        <v/>
      </c>
    </row>
    <row r="1056" customFormat="false" ht="15" hidden="false" customHeight="true" outlineLevel="0" collapsed="false">
      <c r="A1056" s="21" t="str">
        <f aca="false">IF(B1056="","",ROW()-4)</f>
        <v/>
      </c>
      <c r="B1056" s="22"/>
      <c r="C1056" s="21" t="str">
        <f aca="false">IF(B1056="","",CHOOSE(WEEKDAY(B1056,2),"LUNES","MARTES","MIÉRCOLES","JUEVES","VIERNES","SÁBADO","DOMINGO"))</f>
        <v/>
      </c>
      <c r="M1056" s="23"/>
      <c r="Q1056" s="21" t="str">
        <f aca="false">IF(OR(K1056="",N1056=""),"",K1056-N1056)</f>
        <v/>
      </c>
      <c r="R1056" s="21" t="str">
        <f aca="false">IF(OR(J1056="",K1056=""),"",J1056*K1056)</f>
        <v/>
      </c>
      <c r="S1056" s="21" t="str">
        <f aca="false">IF(AND(ISNUMBER(J1056),ISNUMBER(K1056),F1056&lt;&gt;"Calentamiento",F1056&lt;&gt;"Bilbo"),IF(AND(K1056&gt;0,K1056&lt;=12),ROUND(J1056*(1+(K1056+IF(ISNUMBER(L1056),L1056,0))/30),1),""),"")</f>
        <v/>
      </c>
      <c r="T1056" s="21" t="str">
        <f aca="false">IF(AND(F1056="Bilbo",ISNUMBER(J1056),ISNUMBER(K1056)),ROUND(J1056*(1+K1056/30),1),"")</f>
        <v/>
      </c>
      <c r="W1056" s="22"/>
      <c r="X1056" s="21" t="str">
        <f aca="false">IF(AND(F1056="Bilbo",E1056&lt;&gt;"",G1056&lt;&gt;"",H1056&lt;&gt;""),E1056&amp;"|"&amp;G1056&amp;"|"&amp;H1056,"")</f>
        <v/>
      </c>
      <c r="Y1056" s="21" t="str">
        <f aca="false">IF(B1056="","",IF(B1056&lt;&gt;B1055,1,0))</f>
        <v/>
      </c>
    </row>
    <row r="1057" customFormat="false" ht="15" hidden="false" customHeight="true" outlineLevel="0" collapsed="false">
      <c r="A1057" s="21" t="str">
        <f aca="false">IF(B1057="","",ROW()-4)</f>
        <v/>
      </c>
      <c r="B1057" s="22"/>
      <c r="C1057" s="21" t="str">
        <f aca="false">IF(B1057="","",CHOOSE(WEEKDAY(B1057,2),"LUNES","MARTES","MIÉRCOLES","JUEVES","VIERNES","SÁBADO","DOMINGO"))</f>
        <v/>
      </c>
      <c r="M1057" s="23"/>
      <c r="Q1057" s="21" t="str">
        <f aca="false">IF(OR(K1057="",N1057=""),"",K1057-N1057)</f>
        <v/>
      </c>
      <c r="R1057" s="21" t="str">
        <f aca="false">IF(OR(J1057="",K1057=""),"",J1057*K1057)</f>
        <v/>
      </c>
      <c r="S1057" s="21" t="str">
        <f aca="false">IF(AND(ISNUMBER(J1057),ISNUMBER(K1057),F1057&lt;&gt;"Calentamiento",F1057&lt;&gt;"Bilbo"),IF(AND(K1057&gt;0,K1057&lt;=12),ROUND(J1057*(1+(K1057+IF(ISNUMBER(L1057),L1057,0))/30),1),""),"")</f>
        <v/>
      </c>
      <c r="T1057" s="21" t="str">
        <f aca="false">IF(AND(F1057="Bilbo",ISNUMBER(J1057),ISNUMBER(K1057)),ROUND(J1057*(1+K1057/30),1),"")</f>
        <v/>
      </c>
      <c r="W1057" s="22"/>
      <c r="X1057" s="21" t="str">
        <f aca="false">IF(AND(F1057="Bilbo",E1057&lt;&gt;"",G1057&lt;&gt;"",H1057&lt;&gt;""),E1057&amp;"|"&amp;G1057&amp;"|"&amp;H1057,"")</f>
        <v/>
      </c>
      <c r="Y1057" s="21" t="str">
        <f aca="false">IF(B1057="","",IF(B1057&lt;&gt;B1056,1,0))</f>
        <v/>
      </c>
    </row>
    <row r="1058" customFormat="false" ht="15" hidden="false" customHeight="true" outlineLevel="0" collapsed="false">
      <c r="A1058" s="21" t="str">
        <f aca="false">IF(B1058="","",ROW()-4)</f>
        <v/>
      </c>
      <c r="B1058" s="22"/>
      <c r="C1058" s="21" t="str">
        <f aca="false">IF(B1058="","",CHOOSE(WEEKDAY(B1058,2),"LUNES","MARTES","MIÉRCOLES","JUEVES","VIERNES","SÁBADO","DOMINGO"))</f>
        <v/>
      </c>
      <c r="M1058" s="23"/>
      <c r="Q1058" s="21" t="str">
        <f aca="false">IF(OR(K1058="",N1058=""),"",K1058-N1058)</f>
        <v/>
      </c>
      <c r="R1058" s="21" t="str">
        <f aca="false">IF(OR(J1058="",K1058=""),"",J1058*K1058)</f>
        <v/>
      </c>
      <c r="S1058" s="21" t="str">
        <f aca="false">IF(AND(ISNUMBER(J1058),ISNUMBER(K1058),F1058&lt;&gt;"Calentamiento",F1058&lt;&gt;"Bilbo"),IF(AND(K1058&gt;0,K1058&lt;=12),ROUND(J1058*(1+(K1058+IF(ISNUMBER(L1058),L1058,0))/30),1),""),"")</f>
        <v/>
      </c>
      <c r="T1058" s="21" t="str">
        <f aca="false">IF(AND(F1058="Bilbo",ISNUMBER(J1058),ISNUMBER(K1058)),ROUND(J1058*(1+K1058/30),1),"")</f>
        <v/>
      </c>
      <c r="W1058" s="22"/>
      <c r="X1058" s="21" t="str">
        <f aca="false">IF(AND(F1058="Bilbo",E1058&lt;&gt;"",G1058&lt;&gt;"",H1058&lt;&gt;""),E1058&amp;"|"&amp;G1058&amp;"|"&amp;H1058,"")</f>
        <v/>
      </c>
      <c r="Y1058" s="21" t="str">
        <f aca="false">IF(B1058="","",IF(B1058&lt;&gt;B1057,1,0))</f>
        <v/>
      </c>
    </row>
    <row r="1059" customFormat="false" ht="15" hidden="false" customHeight="true" outlineLevel="0" collapsed="false">
      <c r="A1059" s="21" t="str">
        <f aca="false">IF(B1059="","",ROW()-4)</f>
        <v/>
      </c>
      <c r="B1059" s="22"/>
      <c r="C1059" s="21" t="str">
        <f aca="false">IF(B1059="","",CHOOSE(WEEKDAY(B1059,2),"LUNES","MARTES","MIÉRCOLES","JUEVES","VIERNES","SÁBADO","DOMINGO"))</f>
        <v/>
      </c>
      <c r="M1059" s="23"/>
      <c r="Q1059" s="21" t="str">
        <f aca="false">IF(OR(K1059="",N1059=""),"",K1059-N1059)</f>
        <v/>
      </c>
      <c r="R1059" s="21" t="str">
        <f aca="false">IF(OR(J1059="",K1059=""),"",J1059*K1059)</f>
        <v/>
      </c>
      <c r="S1059" s="21" t="str">
        <f aca="false">IF(AND(ISNUMBER(J1059),ISNUMBER(K1059),F1059&lt;&gt;"Calentamiento",F1059&lt;&gt;"Bilbo"),IF(AND(K1059&gt;0,K1059&lt;=12),ROUND(J1059*(1+(K1059+IF(ISNUMBER(L1059),L1059,0))/30),1),""),"")</f>
        <v/>
      </c>
      <c r="T1059" s="21" t="str">
        <f aca="false">IF(AND(F1059="Bilbo",ISNUMBER(J1059),ISNUMBER(K1059)),ROUND(J1059*(1+K1059/30),1),"")</f>
        <v/>
      </c>
      <c r="W1059" s="22"/>
      <c r="X1059" s="21" t="str">
        <f aca="false">IF(AND(F1059="Bilbo",E1059&lt;&gt;"",G1059&lt;&gt;"",H1059&lt;&gt;""),E1059&amp;"|"&amp;G1059&amp;"|"&amp;H1059,"")</f>
        <v/>
      </c>
      <c r="Y1059" s="21" t="str">
        <f aca="false">IF(B1059="","",IF(B1059&lt;&gt;B1058,1,0))</f>
        <v/>
      </c>
    </row>
    <row r="1060" customFormat="false" ht="15" hidden="false" customHeight="true" outlineLevel="0" collapsed="false">
      <c r="A1060" s="21" t="str">
        <f aca="false">IF(B1060="","",ROW()-4)</f>
        <v/>
      </c>
      <c r="B1060" s="22"/>
      <c r="C1060" s="21" t="str">
        <f aca="false">IF(B1060="","",CHOOSE(WEEKDAY(B1060,2),"LUNES","MARTES","MIÉRCOLES","JUEVES","VIERNES","SÁBADO","DOMINGO"))</f>
        <v/>
      </c>
      <c r="M1060" s="23"/>
      <c r="Q1060" s="21" t="str">
        <f aca="false">IF(OR(K1060="",N1060=""),"",K1060-N1060)</f>
        <v/>
      </c>
      <c r="R1060" s="21" t="str">
        <f aca="false">IF(OR(J1060="",K1060=""),"",J1060*K1060)</f>
        <v/>
      </c>
      <c r="S1060" s="21" t="str">
        <f aca="false">IF(AND(ISNUMBER(J1060),ISNUMBER(K1060),F1060&lt;&gt;"Calentamiento",F1060&lt;&gt;"Bilbo"),IF(AND(K1060&gt;0,K1060&lt;=12),ROUND(J1060*(1+(K1060+IF(ISNUMBER(L1060),L1060,0))/30),1),""),"")</f>
        <v/>
      </c>
      <c r="T1060" s="21" t="str">
        <f aca="false">IF(AND(F1060="Bilbo",ISNUMBER(J1060),ISNUMBER(K1060)),ROUND(J1060*(1+K1060/30),1),"")</f>
        <v/>
      </c>
      <c r="W1060" s="22"/>
      <c r="X1060" s="21" t="str">
        <f aca="false">IF(AND(F1060="Bilbo",E1060&lt;&gt;"",G1060&lt;&gt;"",H1060&lt;&gt;""),E1060&amp;"|"&amp;G1060&amp;"|"&amp;H1060,"")</f>
        <v/>
      </c>
      <c r="Y1060" s="21" t="str">
        <f aca="false">IF(B1060="","",IF(B1060&lt;&gt;B1059,1,0))</f>
        <v/>
      </c>
    </row>
    <row r="1061" customFormat="false" ht="15" hidden="false" customHeight="true" outlineLevel="0" collapsed="false">
      <c r="A1061" s="21" t="str">
        <f aca="false">IF(B1061="","",ROW()-4)</f>
        <v/>
      </c>
      <c r="B1061" s="22"/>
      <c r="C1061" s="21" t="str">
        <f aca="false">IF(B1061="","",CHOOSE(WEEKDAY(B1061,2),"LUNES","MARTES","MIÉRCOLES","JUEVES","VIERNES","SÁBADO","DOMINGO"))</f>
        <v/>
      </c>
      <c r="M1061" s="23"/>
      <c r="Q1061" s="21" t="str">
        <f aca="false">IF(OR(K1061="",N1061=""),"",K1061-N1061)</f>
        <v/>
      </c>
      <c r="R1061" s="21" t="str">
        <f aca="false">IF(OR(J1061="",K1061=""),"",J1061*K1061)</f>
        <v/>
      </c>
      <c r="S1061" s="21" t="str">
        <f aca="false">IF(AND(ISNUMBER(J1061),ISNUMBER(K1061),F1061&lt;&gt;"Calentamiento",F1061&lt;&gt;"Bilbo"),IF(AND(K1061&gt;0,K1061&lt;=12),ROUND(J1061*(1+(K1061+IF(ISNUMBER(L1061),L1061,0))/30),1),""),"")</f>
        <v/>
      </c>
      <c r="T1061" s="21" t="str">
        <f aca="false">IF(AND(F1061="Bilbo",ISNUMBER(J1061),ISNUMBER(K1061)),ROUND(J1061*(1+K1061/30),1),"")</f>
        <v/>
      </c>
      <c r="W1061" s="22"/>
      <c r="X1061" s="21" t="str">
        <f aca="false">IF(AND(F1061="Bilbo",E1061&lt;&gt;"",G1061&lt;&gt;"",H1061&lt;&gt;""),E1061&amp;"|"&amp;G1061&amp;"|"&amp;H1061,"")</f>
        <v/>
      </c>
      <c r="Y1061" s="21" t="str">
        <f aca="false">IF(B1061="","",IF(B1061&lt;&gt;B1060,1,0))</f>
        <v/>
      </c>
    </row>
    <row r="1062" customFormat="false" ht="15" hidden="false" customHeight="true" outlineLevel="0" collapsed="false">
      <c r="A1062" s="21" t="str">
        <f aca="false">IF(B1062="","",ROW()-4)</f>
        <v/>
      </c>
      <c r="B1062" s="22"/>
      <c r="C1062" s="21" t="str">
        <f aca="false">IF(B1062="","",CHOOSE(WEEKDAY(B1062,2),"LUNES","MARTES","MIÉRCOLES","JUEVES","VIERNES","SÁBADO","DOMINGO"))</f>
        <v/>
      </c>
      <c r="M1062" s="23"/>
      <c r="Q1062" s="21" t="str">
        <f aca="false">IF(OR(K1062="",N1062=""),"",K1062-N1062)</f>
        <v/>
      </c>
      <c r="R1062" s="21" t="str">
        <f aca="false">IF(OR(J1062="",K1062=""),"",J1062*K1062)</f>
        <v/>
      </c>
      <c r="S1062" s="21" t="str">
        <f aca="false">IF(AND(ISNUMBER(J1062),ISNUMBER(K1062),F1062&lt;&gt;"Calentamiento",F1062&lt;&gt;"Bilbo"),IF(AND(K1062&gt;0,K1062&lt;=12),ROUND(J1062*(1+(K1062+IF(ISNUMBER(L1062),L1062,0))/30),1),""),"")</f>
        <v/>
      </c>
      <c r="T1062" s="21" t="str">
        <f aca="false">IF(AND(F1062="Bilbo",ISNUMBER(J1062),ISNUMBER(K1062)),ROUND(J1062*(1+K1062/30),1),"")</f>
        <v/>
      </c>
      <c r="W1062" s="22"/>
      <c r="X1062" s="21" t="str">
        <f aca="false">IF(AND(F1062="Bilbo",E1062&lt;&gt;"",G1062&lt;&gt;"",H1062&lt;&gt;""),E1062&amp;"|"&amp;G1062&amp;"|"&amp;H1062,"")</f>
        <v/>
      </c>
      <c r="Y1062" s="21" t="str">
        <f aca="false">IF(B1062="","",IF(B1062&lt;&gt;B1061,1,0))</f>
        <v/>
      </c>
    </row>
    <row r="1063" customFormat="false" ht="15" hidden="false" customHeight="true" outlineLevel="0" collapsed="false">
      <c r="A1063" s="21" t="str">
        <f aca="false">IF(B1063="","",ROW()-4)</f>
        <v/>
      </c>
      <c r="B1063" s="22"/>
      <c r="C1063" s="21" t="str">
        <f aca="false">IF(B1063="","",CHOOSE(WEEKDAY(B1063,2),"LUNES","MARTES","MIÉRCOLES","JUEVES","VIERNES","SÁBADO","DOMINGO"))</f>
        <v/>
      </c>
      <c r="M1063" s="23"/>
      <c r="Q1063" s="21" t="str">
        <f aca="false">IF(OR(K1063="",N1063=""),"",K1063-N1063)</f>
        <v/>
      </c>
      <c r="R1063" s="21" t="str">
        <f aca="false">IF(OR(J1063="",K1063=""),"",J1063*K1063)</f>
        <v/>
      </c>
      <c r="S1063" s="21" t="str">
        <f aca="false">IF(AND(ISNUMBER(J1063),ISNUMBER(K1063),F1063&lt;&gt;"Calentamiento",F1063&lt;&gt;"Bilbo"),IF(AND(K1063&gt;0,K1063&lt;=12),ROUND(J1063*(1+(K1063+IF(ISNUMBER(L1063),L1063,0))/30),1),""),"")</f>
        <v/>
      </c>
      <c r="T1063" s="21" t="str">
        <f aca="false">IF(AND(F1063="Bilbo",ISNUMBER(J1063),ISNUMBER(K1063)),ROUND(J1063*(1+K1063/30),1),"")</f>
        <v/>
      </c>
      <c r="W1063" s="22"/>
      <c r="X1063" s="21" t="str">
        <f aca="false">IF(AND(F1063="Bilbo",E1063&lt;&gt;"",G1063&lt;&gt;"",H1063&lt;&gt;""),E1063&amp;"|"&amp;G1063&amp;"|"&amp;H1063,"")</f>
        <v/>
      </c>
      <c r="Y1063" s="21" t="str">
        <f aca="false">IF(B1063="","",IF(B1063&lt;&gt;B1062,1,0))</f>
        <v/>
      </c>
    </row>
    <row r="1064" customFormat="false" ht="15" hidden="false" customHeight="true" outlineLevel="0" collapsed="false">
      <c r="A1064" s="21" t="str">
        <f aca="false">IF(B1064="","",ROW()-4)</f>
        <v/>
      </c>
      <c r="B1064" s="22"/>
      <c r="C1064" s="21" t="str">
        <f aca="false">IF(B1064="","",CHOOSE(WEEKDAY(B1064,2),"LUNES","MARTES","MIÉRCOLES","JUEVES","VIERNES","SÁBADO","DOMINGO"))</f>
        <v/>
      </c>
      <c r="M1064" s="23"/>
      <c r="Q1064" s="21" t="str">
        <f aca="false">IF(OR(K1064="",N1064=""),"",K1064-N1064)</f>
        <v/>
      </c>
      <c r="R1064" s="21" t="str">
        <f aca="false">IF(OR(J1064="",K1064=""),"",J1064*K1064)</f>
        <v/>
      </c>
      <c r="S1064" s="21" t="str">
        <f aca="false">IF(AND(ISNUMBER(J1064),ISNUMBER(K1064),F1064&lt;&gt;"Calentamiento",F1064&lt;&gt;"Bilbo"),IF(AND(K1064&gt;0,K1064&lt;=12),ROUND(J1064*(1+(K1064+IF(ISNUMBER(L1064),L1064,0))/30),1),""),"")</f>
        <v/>
      </c>
      <c r="T1064" s="21" t="str">
        <f aca="false">IF(AND(F1064="Bilbo",ISNUMBER(J1064),ISNUMBER(K1064)),ROUND(J1064*(1+K1064/30),1),"")</f>
        <v/>
      </c>
      <c r="W1064" s="22"/>
      <c r="X1064" s="21" t="str">
        <f aca="false">IF(AND(F1064="Bilbo",E1064&lt;&gt;"",G1064&lt;&gt;"",H1064&lt;&gt;""),E1064&amp;"|"&amp;G1064&amp;"|"&amp;H1064,"")</f>
        <v/>
      </c>
      <c r="Y1064" s="21" t="str">
        <f aca="false">IF(B1064="","",IF(B1064&lt;&gt;B1063,1,0))</f>
        <v/>
      </c>
    </row>
    <row r="1065" customFormat="false" ht="15" hidden="false" customHeight="true" outlineLevel="0" collapsed="false">
      <c r="A1065" s="21" t="str">
        <f aca="false">IF(B1065="","",ROW()-4)</f>
        <v/>
      </c>
      <c r="B1065" s="22"/>
      <c r="C1065" s="21" t="str">
        <f aca="false">IF(B1065="","",CHOOSE(WEEKDAY(B1065,2),"LUNES","MARTES","MIÉRCOLES","JUEVES","VIERNES","SÁBADO","DOMINGO"))</f>
        <v/>
      </c>
      <c r="M1065" s="23"/>
      <c r="Q1065" s="21" t="str">
        <f aca="false">IF(OR(K1065="",N1065=""),"",K1065-N1065)</f>
        <v/>
      </c>
      <c r="R1065" s="21" t="str">
        <f aca="false">IF(OR(J1065="",K1065=""),"",J1065*K1065)</f>
        <v/>
      </c>
      <c r="S1065" s="21" t="str">
        <f aca="false">IF(AND(ISNUMBER(J1065),ISNUMBER(K1065),F1065&lt;&gt;"Calentamiento",F1065&lt;&gt;"Bilbo"),IF(AND(K1065&gt;0,K1065&lt;=12),ROUND(J1065*(1+(K1065+IF(ISNUMBER(L1065),L1065,0))/30),1),""),"")</f>
        <v/>
      </c>
      <c r="T1065" s="21" t="str">
        <f aca="false">IF(AND(F1065="Bilbo",ISNUMBER(J1065),ISNUMBER(K1065)),ROUND(J1065*(1+K1065/30),1),"")</f>
        <v/>
      </c>
      <c r="W1065" s="22"/>
      <c r="X1065" s="21" t="str">
        <f aca="false">IF(AND(F1065="Bilbo",E1065&lt;&gt;"",G1065&lt;&gt;"",H1065&lt;&gt;""),E1065&amp;"|"&amp;G1065&amp;"|"&amp;H1065,"")</f>
        <v/>
      </c>
      <c r="Y1065" s="21" t="str">
        <f aca="false">IF(B1065="","",IF(B1065&lt;&gt;B1064,1,0))</f>
        <v/>
      </c>
    </row>
    <row r="1066" customFormat="false" ht="15" hidden="false" customHeight="true" outlineLevel="0" collapsed="false">
      <c r="A1066" s="21" t="str">
        <f aca="false">IF(B1066="","",ROW()-4)</f>
        <v/>
      </c>
      <c r="B1066" s="22"/>
      <c r="C1066" s="21" t="str">
        <f aca="false">IF(B1066="","",CHOOSE(WEEKDAY(B1066,2),"LUNES","MARTES","MIÉRCOLES","JUEVES","VIERNES","SÁBADO","DOMINGO"))</f>
        <v/>
      </c>
      <c r="M1066" s="23"/>
      <c r="Q1066" s="21" t="str">
        <f aca="false">IF(OR(K1066="",N1066=""),"",K1066-N1066)</f>
        <v/>
      </c>
      <c r="R1066" s="21" t="str">
        <f aca="false">IF(OR(J1066="",K1066=""),"",J1066*K1066)</f>
        <v/>
      </c>
      <c r="S1066" s="21" t="str">
        <f aca="false">IF(AND(ISNUMBER(J1066),ISNUMBER(K1066),F1066&lt;&gt;"Calentamiento",F1066&lt;&gt;"Bilbo"),IF(AND(K1066&gt;0,K1066&lt;=12),ROUND(J1066*(1+(K1066+IF(ISNUMBER(L1066),L1066,0))/30),1),""),"")</f>
        <v/>
      </c>
      <c r="T1066" s="21" t="str">
        <f aca="false">IF(AND(F1066="Bilbo",ISNUMBER(J1066),ISNUMBER(K1066)),ROUND(J1066*(1+K1066/30),1),"")</f>
        <v/>
      </c>
      <c r="W1066" s="22"/>
      <c r="X1066" s="21" t="str">
        <f aca="false">IF(AND(F1066="Bilbo",E1066&lt;&gt;"",G1066&lt;&gt;"",H1066&lt;&gt;""),E1066&amp;"|"&amp;G1066&amp;"|"&amp;H1066,"")</f>
        <v/>
      </c>
      <c r="Y1066" s="21" t="str">
        <f aca="false">IF(B1066="","",IF(B1066&lt;&gt;B1065,1,0))</f>
        <v/>
      </c>
    </row>
    <row r="1067" customFormat="false" ht="15" hidden="false" customHeight="true" outlineLevel="0" collapsed="false">
      <c r="A1067" s="21" t="str">
        <f aca="false">IF(B1067="","",ROW()-4)</f>
        <v/>
      </c>
      <c r="B1067" s="22"/>
      <c r="C1067" s="21" t="str">
        <f aca="false">IF(B1067="","",CHOOSE(WEEKDAY(B1067,2),"LUNES","MARTES","MIÉRCOLES","JUEVES","VIERNES","SÁBADO","DOMINGO"))</f>
        <v/>
      </c>
      <c r="M1067" s="23"/>
      <c r="Q1067" s="21" t="str">
        <f aca="false">IF(OR(K1067="",N1067=""),"",K1067-N1067)</f>
        <v/>
      </c>
      <c r="R1067" s="21" t="str">
        <f aca="false">IF(OR(J1067="",K1067=""),"",J1067*K1067)</f>
        <v/>
      </c>
      <c r="S1067" s="21" t="str">
        <f aca="false">IF(AND(ISNUMBER(J1067),ISNUMBER(K1067),F1067&lt;&gt;"Calentamiento",F1067&lt;&gt;"Bilbo"),IF(AND(K1067&gt;0,K1067&lt;=12),ROUND(J1067*(1+(K1067+IF(ISNUMBER(L1067),L1067,0))/30),1),""),"")</f>
        <v/>
      </c>
      <c r="T1067" s="21" t="str">
        <f aca="false">IF(AND(F1067="Bilbo",ISNUMBER(J1067),ISNUMBER(K1067)),ROUND(J1067*(1+K1067/30),1),"")</f>
        <v/>
      </c>
      <c r="W1067" s="22"/>
      <c r="X1067" s="21" t="str">
        <f aca="false">IF(AND(F1067="Bilbo",E1067&lt;&gt;"",G1067&lt;&gt;"",H1067&lt;&gt;""),E1067&amp;"|"&amp;G1067&amp;"|"&amp;H1067,"")</f>
        <v/>
      </c>
      <c r="Y1067" s="21" t="str">
        <f aca="false">IF(B1067="","",IF(B1067&lt;&gt;B1066,1,0))</f>
        <v/>
      </c>
    </row>
    <row r="1068" customFormat="false" ht="15" hidden="false" customHeight="true" outlineLevel="0" collapsed="false">
      <c r="A1068" s="21" t="str">
        <f aca="false">IF(B1068="","",ROW()-4)</f>
        <v/>
      </c>
      <c r="B1068" s="22"/>
      <c r="C1068" s="21" t="str">
        <f aca="false">IF(B1068="","",CHOOSE(WEEKDAY(B1068,2),"LUNES","MARTES","MIÉRCOLES","JUEVES","VIERNES","SÁBADO","DOMINGO"))</f>
        <v/>
      </c>
      <c r="M1068" s="23"/>
      <c r="Q1068" s="21" t="str">
        <f aca="false">IF(OR(K1068="",N1068=""),"",K1068-N1068)</f>
        <v/>
      </c>
      <c r="R1068" s="21" t="str">
        <f aca="false">IF(OR(J1068="",K1068=""),"",J1068*K1068)</f>
        <v/>
      </c>
      <c r="S1068" s="21" t="str">
        <f aca="false">IF(AND(ISNUMBER(J1068),ISNUMBER(K1068),F1068&lt;&gt;"Calentamiento",F1068&lt;&gt;"Bilbo"),IF(AND(K1068&gt;0,K1068&lt;=12),ROUND(J1068*(1+(K1068+IF(ISNUMBER(L1068),L1068,0))/30),1),""),"")</f>
        <v/>
      </c>
      <c r="T1068" s="21" t="str">
        <f aca="false">IF(AND(F1068="Bilbo",ISNUMBER(J1068),ISNUMBER(K1068)),ROUND(J1068*(1+K1068/30),1),"")</f>
        <v/>
      </c>
      <c r="W1068" s="22"/>
      <c r="X1068" s="21" t="str">
        <f aca="false">IF(AND(F1068="Bilbo",E1068&lt;&gt;"",G1068&lt;&gt;"",H1068&lt;&gt;""),E1068&amp;"|"&amp;G1068&amp;"|"&amp;H1068,"")</f>
        <v/>
      </c>
      <c r="Y1068" s="21" t="str">
        <f aca="false">IF(B1068="","",IF(B1068&lt;&gt;B1067,1,0))</f>
        <v/>
      </c>
    </row>
    <row r="1069" customFormat="false" ht="15" hidden="false" customHeight="true" outlineLevel="0" collapsed="false">
      <c r="A1069" s="21" t="str">
        <f aca="false">IF(B1069="","",ROW()-4)</f>
        <v/>
      </c>
      <c r="B1069" s="22"/>
      <c r="C1069" s="21" t="str">
        <f aca="false">IF(B1069="","",CHOOSE(WEEKDAY(B1069,2),"LUNES","MARTES","MIÉRCOLES","JUEVES","VIERNES","SÁBADO","DOMINGO"))</f>
        <v/>
      </c>
      <c r="M1069" s="23"/>
      <c r="Q1069" s="21" t="str">
        <f aca="false">IF(OR(K1069="",N1069=""),"",K1069-N1069)</f>
        <v/>
      </c>
      <c r="R1069" s="21" t="str">
        <f aca="false">IF(OR(J1069="",K1069=""),"",J1069*K1069)</f>
        <v/>
      </c>
      <c r="S1069" s="21" t="str">
        <f aca="false">IF(AND(ISNUMBER(J1069),ISNUMBER(K1069),F1069&lt;&gt;"Calentamiento",F1069&lt;&gt;"Bilbo"),IF(AND(K1069&gt;0,K1069&lt;=12),ROUND(J1069*(1+(K1069+IF(ISNUMBER(L1069),L1069,0))/30),1),""),"")</f>
        <v/>
      </c>
      <c r="T1069" s="21" t="str">
        <f aca="false">IF(AND(F1069="Bilbo",ISNUMBER(J1069),ISNUMBER(K1069)),ROUND(J1069*(1+K1069/30),1),"")</f>
        <v/>
      </c>
      <c r="W1069" s="22"/>
      <c r="X1069" s="21" t="str">
        <f aca="false">IF(AND(F1069="Bilbo",E1069&lt;&gt;"",G1069&lt;&gt;"",H1069&lt;&gt;""),E1069&amp;"|"&amp;G1069&amp;"|"&amp;H1069,"")</f>
        <v/>
      </c>
      <c r="Y1069" s="21" t="str">
        <f aca="false">IF(B1069="","",IF(B1069&lt;&gt;B1068,1,0))</f>
        <v/>
      </c>
    </row>
    <row r="1070" customFormat="false" ht="15" hidden="false" customHeight="true" outlineLevel="0" collapsed="false">
      <c r="A1070" s="21" t="str">
        <f aca="false">IF(B1070="","",ROW()-4)</f>
        <v/>
      </c>
      <c r="B1070" s="22"/>
      <c r="C1070" s="21" t="str">
        <f aca="false">IF(B1070="","",CHOOSE(WEEKDAY(B1070,2),"LUNES","MARTES","MIÉRCOLES","JUEVES","VIERNES","SÁBADO","DOMINGO"))</f>
        <v/>
      </c>
      <c r="M1070" s="23"/>
      <c r="Q1070" s="21" t="str">
        <f aca="false">IF(OR(K1070="",N1070=""),"",K1070-N1070)</f>
        <v/>
      </c>
      <c r="R1070" s="21" t="str">
        <f aca="false">IF(OR(J1070="",K1070=""),"",J1070*K1070)</f>
        <v/>
      </c>
      <c r="S1070" s="21" t="str">
        <f aca="false">IF(AND(ISNUMBER(J1070),ISNUMBER(K1070),F1070&lt;&gt;"Calentamiento",F1070&lt;&gt;"Bilbo"),IF(AND(K1070&gt;0,K1070&lt;=12),ROUND(J1070*(1+(K1070+IF(ISNUMBER(L1070),L1070,0))/30),1),""),"")</f>
        <v/>
      </c>
      <c r="T1070" s="21" t="str">
        <f aca="false">IF(AND(F1070="Bilbo",ISNUMBER(J1070),ISNUMBER(K1070)),ROUND(J1070*(1+K1070/30),1),"")</f>
        <v/>
      </c>
      <c r="W1070" s="22"/>
      <c r="X1070" s="21" t="str">
        <f aca="false">IF(AND(F1070="Bilbo",E1070&lt;&gt;"",G1070&lt;&gt;"",H1070&lt;&gt;""),E1070&amp;"|"&amp;G1070&amp;"|"&amp;H1070,"")</f>
        <v/>
      </c>
      <c r="Y1070" s="21" t="str">
        <f aca="false">IF(B1070="","",IF(B1070&lt;&gt;B1069,1,0))</f>
        <v/>
      </c>
    </row>
    <row r="1071" customFormat="false" ht="15" hidden="false" customHeight="true" outlineLevel="0" collapsed="false">
      <c r="A1071" s="21" t="str">
        <f aca="false">IF(B1071="","",ROW()-4)</f>
        <v/>
      </c>
      <c r="B1071" s="22"/>
      <c r="C1071" s="21" t="str">
        <f aca="false">IF(B1071="","",CHOOSE(WEEKDAY(B1071,2),"LUNES","MARTES","MIÉRCOLES","JUEVES","VIERNES","SÁBADO","DOMINGO"))</f>
        <v/>
      </c>
      <c r="M1071" s="23"/>
      <c r="Q1071" s="21" t="str">
        <f aca="false">IF(OR(K1071="",N1071=""),"",K1071-N1071)</f>
        <v/>
      </c>
      <c r="R1071" s="21" t="str">
        <f aca="false">IF(OR(J1071="",K1071=""),"",J1071*K1071)</f>
        <v/>
      </c>
      <c r="S1071" s="21" t="str">
        <f aca="false">IF(AND(ISNUMBER(J1071),ISNUMBER(K1071),F1071&lt;&gt;"Calentamiento",F1071&lt;&gt;"Bilbo"),IF(AND(K1071&gt;0,K1071&lt;=12),ROUND(J1071*(1+(K1071+IF(ISNUMBER(L1071),L1071,0))/30),1),""),"")</f>
        <v/>
      </c>
      <c r="T1071" s="21" t="str">
        <f aca="false">IF(AND(F1071="Bilbo",ISNUMBER(J1071),ISNUMBER(K1071)),ROUND(J1071*(1+K1071/30),1),"")</f>
        <v/>
      </c>
      <c r="W1071" s="22"/>
      <c r="X1071" s="21" t="str">
        <f aca="false">IF(AND(F1071="Bilbo",E1071&lt;&gt;"",G1071&lt;&gt;"",H1071&lt;&gt;""),E1071&amp;"|"&amp;G1071&amp;"|"&amp;H1071,"")</f>
        <v/>
      </c>
      <c r="Y1071" s="21" t="str">
        <f aca="false">IF(B1071="","",IF(B1071&lt;&gt;B1070,1,0))</f>
        <v/>
      </c>
    </row>
    <row r="1072" customFormat="false" ht="15" hidden="false" customHeight="true" outlineLevel="0" collapsed="false">
      <c r="A1072" s="21" t="str">
        <f aca="false">IF(B1072="","",ROW()-4)</f>
        <v/>
      </c>
      <c r="B1072" s="22"/>
      <c r="C1072" s="21" t="str">
        <f aca="false">IF(B1072="","",CHOOSE(WEEKDAY(B1072,2),"LUNES","MARTES","MIÉRCOLES","JUEVES","VIERNES","SÁBADO","DOMINGO"))</f>
        <v/>
      </c>
      <c r="M1072" s="23"/>
      <c r="Q1072" s="21" t="str">
        <f aca="false">IF(OR(K1072="",N1072=""),"",K1072-N1072)</f>
        <v/>
      </c>
      <c r="R1072" s="21" t="str">
        <f aca="false">IF(OR(J1072="",K1072=""),"",J1072*K1072)</f>
        <v/>
      </c>
      <c r="S1072" s="21" t="str">
        <f aca="false">IF(AND(ISNUMBER(J1072),ISNUMBER(K1072),F1072&lt;&gt;"Calentamiento",F1072&lt;&gt;"Bilbo"),IF(AND(K1072&gt;0,K1072&lt;=12),ROUND(J1072*(1+(K1072+IF(ISNUMBER(L1072),L1072,0))/30),1),""),"")</f>
        <v/>
      </c>
      <c r="T1072" s="21" t="str">
        <f aca="false">IF(AND(F1072="Bilbo",ISNUMBER(J1072),ISNUMBER(K1072)),ROUND(J1072*(1+K1072/30),1),"")</f>
        <v/>
      </c>
      <c r="W1072" s="22"/>
      <c r="X1072" s="21" t="str">
        <f aca="false">IF(AND(F1072="Bilbo",E1072&lt;&gt;"",G1072&lt;&gt;"",H1072&lt;&gt;""),E1072&amp;"|"&amp;G1072&amp;"|"&amp;H1072,"")</f>
        <v/>
      </c>
      <c r="Y1072" s="21" t="str">
        <f aca="false">IF(B1072="","",IF(B1072&lt;&gt;B1071,1,0))</f>
        <v/>
      </c>
    </row>
    <row r="1073" customFormat="false" ht="15" hidden="false" customHeight="true" outlineLevel="0" collapsed="false">
      <c r="A1073" s="21" t="str">
        <f aca="false">IF(B1073="","",ROW()-4)</f>
        <v/>
      </c>
      <c r="B1073" s="22"/>
      <c r="C1073" s="21" t="str">
        <f aca="false">IF(B1073="","",CHOOSE(WEEKDAY(B1073,2),"LUNES","MARTES","MIÉRCOLES","JUEVES","VIERNES","SÁBADO","DOMINGO"))</f>
        <v/>
      </c>
      <c r="M1073" s="23"/>
      <c r="Q1073" s="21" t="str">
        <f aca="false">IF(OR(K1073="",N1073=""),"",K1073-N1073)</f>
        <v/>
      </c>
      <c r="R1073" s="21" t="str">
        <f aca="false">IF(OR(J1073="",K1073=""),"",J1073*K1073)</f>
        <v/>
      </c>
      <c r="S1073" s="21" t="str">
        <f aca="false">IF(AND(ISNUMBER(J1073),ISNUMBER(K1073),F1073&lt;&gt;"Calentamiento",F1073&lt;&gt;"Bilbo"),IF(AND(K1073&gt;0,K1073&lt;=12),ROUND(J1073*(1+(K1073+IF(ISNUMBER(L1073),L1073,0))/30),1),""),"")</f>
        <v/>
      </c>
      <c r="T1073" s="21" t="str">
        <f aca="false">IF(AND(F1073="Bilbo",ISNUMBER(J1073),ISNUMBER(K1073)),ROUND(J1073*(1+K1073/30),1),"")</f>
        <v/>
      </c>
      <c r="W1073" s="22"/>
      <c r="X1073" s="21" t="str">
        <f aca="false">IF(AND(F1073="Bilbo",E1073&lt;&gt;"",G1073&lt;&gt;"",H1073&lt;&gt;""),E1073&amp;"|"&amp;G1073&amp;"|"&amp;H1073,"")</f>
        <v/>
      </c>
      <c r="Y1073" s="21" t="str">
        <f aca="false">IF(B1073="","",IF(B1073&lt;&gt;B1072,1,0))</f>
        <v/>
      </c>
    </row>
    <row r="1074" customFormat="false" ht="15" hidden="false" customHeight="true" outlineLevel="0" collapsed="false">
      <c r="A1074" s="21" t="str">
        <f aca="false">IF(B1074="","",ROW()-4)</f>
        <v/>
      </c>
      <c r="B1074" s="22"/>
      <c r="C1074" s="21" t="str">
        <f aca="false">IF(B1074="","",CHOOSE(WEEKDAY(B1074,2),"LUNES","MARTES","MIÉRCOLES","JUEVES","VIERNES","SÁBADO","DOMINGO"))</f>
        <v/>
      </c>
      <c r="M1074" s="23"/>
      <c r="Q1074" s="21" t="str">
        <f aca="false">IF(OR(K1074="",N1074=""),"",K1074-N1074)</f>
        <v/>
      </c>
      <c r="R1074" s="21" t="str">
        <f aca="false">IF(OR(J1074="",K1074=""),"",J1074*K1074)</f>
        <v/>
      </c>
      <c r="S1074" s="21" t="str">
        <f aca="false">IF(AND(ISNUMBER(J1074),ISNUMBER(K1074),F1074&lt;&gt;"Calentamiento",F1074&lt;&gt;"Bilbo"),IF(AND(K1074&gt;0,K1074&lt;=12),ROUND(J1074*(1+(K1074+IF(ISNUMBER(L1074),L1074,0))/30),1),""),"")</f>
        <v/>
      </c>
      <c r="T1074" s="21" t="str">
        <f aca="false">IF(AND(F1074="Bilbo",ISNUMBER(J1074),ISNUMBER(K1074)),ROUND(J1074*(1+K1074/30),1),"")</f>
        <v/>
      </c>
      <c r="W1074" s="22"/>
      <c r="X1074" s="21" t="str">
        <f aca="false">IF(AND(F1074="Bilbo",E1074&lt;&gt;"",G1074&lt;&gt;"",H1074&lt;&gt;""),E1074&amp;"|"&amp;G1074&amp;"|"&amp;H1074,"")</f>
        <v/>
      </c>
      <c r="Y1074" s="21" t="str">
        <f aca="false">IF(B1074="","",IF(B1074&lt;&gt;B1073,1,0))</f>
        <v/>
      </c>
    </row>
    <row r="1075" customFormat="false" ht="15" hidden="false" customHeight="true" outlineLevel="0" collapsed="false">
      <c r="A1075" s="21" t="str">
        <f aca="false">IF(B1075="","",ROW()-4)</f>
        <v/>
      </c>
      <c r="B1075" s="22"/>
      <c r="C1075" s="21" t="str">
        <f aca="false">IF(B1075="","",CHOOSE(WEEKDAY(B1075,2),"LUNES","MARTES","MIÉRCOLES","JUEVES","VIERNES","SÁBADO","DOMINGO"))</f>
        <v/>
      </c>
      <c r="M1075" s="23"/>
      <c r="Q1075" s="21" t="str">
        <f aca="false">IF(OR(K1075="",N1075=""),"",K1075-N1075)</f>
        <v/>
      </c>
      <c r="R1075" s="21" t="str">
        <f aca="false">IF(OR(J1075="",K1075=""),"",J1075*K1075)</f>
        <v/>
      </c>
      <c r="S1075" s="21" t="str">
        <f aca="false">IF(AND(ISNUMBER(J1075),ISNUMBER(K1075),F1075&lt;&gt;"Calentamiento",F1075&lt;&gt;"Bilbo"),IF(AND(K1075&gt;0,K1075&lt;=12),ROUND(J1075*(1+(K1075+IF(ISNUMBER(L1075),L1075,0))/30),1),""),"")</f>
        <v/>
      </c>
      <c r="T1075" s="21" t="str">
        <f aca="false">IF(AND(F1075="Bilbo",ISNUMBER(J1075),ISNUMBER(K1075)),ROUND(J1075*(1+K1075/30),1),"")</f>
        <v/>
      </c>
      <c r="W1075" s="22"/>
      <c r="X1075" s="21" t="str">
        <f aca="false">IF(AND(F1075="Bilbo",E1075&lt;&gt;"",G1075&lt;&gt;"",H1075&lt;&gt;""),E1075&amp;"|"&amp;G1075&amp;"|"&amp;H1075,"")</f>
        <v/>
      </c>
      <c r="Y1075" s="21" t="str">
        <f aca="false">IF(B1075="","",IF(B1075&lt;&gt;B1074,1,0))</f>
        <v/>
      </c>
    </row>
    <row r="1076" customFormat="false" ht="15" hidden="false" customHeight="true" outlineLevel="0" collapsed="false">
      <c r="A1076" s="21" t="str">
        <f aca="false">IF(B1076="","",ROW()-4)</f>
        <v/>
      </c>
      <c r="B1076" s="22"/>
      <c r="C1076" s="21" t="str">
        <f aca="false">IF(B1076="","",CHOOSE(WEEKDAY(B1076,2),"LUNES","MARTES","MIÉRCOLES","JUEVES","VIERNES","SÁBADO","DOMINGO"))</f>
        <v/>
      </c>
      <c r="M1076" s="23"/>
      <c r="Q1076" s="21" t="str">
        <f aca="false">IF(OR(K1076="",N1076=""),"",K1076-N1076)</f>
        <v/>
      </c>
      <c r="R1076" s="21" t="str">
        <f aca="false">IF(OR(J1076="",K1076=""),"",J1076*K1076)</f>
        <v/>
      </c>
      <c r="S1076" s="21" t="str">
        <f aca="false">IF(AND(ISNUMBER(J1076),ISNUMBER(K1076),F1076&lt;&gt;"Calentamiento",F1076&lt;&gt;"Bilbo"),IF(AND(K1076&gt;0,K1076&lt;=12),ROUND(J1076*(1+(K1076+IF(ISNUMBER(L1076),L1076,0))/30),1),""),"")</f>
        <v/>
      </c>
      <c r="T1076" s="21" t="str">
        <f aca="false">IF(AND(F1076="Bilbo",ISNUMBER(J1076),ISNUMBER(K1076)),ROUND(J1076*(1+K1076/30),1),"")</f>
        <v/>
      </c>
      <c r="W1076" s="22"/>
      <c r="X1076" s="21" t="str">
        <f aca="false">IF(AND(F1076="Bilbo",E1076&lt;&gt;"",G1076&lt;&gt;"",H1076&lt;&gt;""),E1076&amp;"|"&amp;G1076&amp;"|"&amp;H1076,"")</f>
        <v/>
      </c>
      <c r="Y1076" s="21" t="str">
        <f aca="false">IF(B1076="","",IF(B1076&lt;&gt;B1075,1,0))</f>
        <v/>
      </c>
    </row>
    <row r="1077" customFormat="false" ht="15" hidden="false" customHeight="true" outlineLevel="0" collapsed="false">
      <c r="A1077" s="21" t="str">
        <f aca="false">IF(B1077="","",ROW()-4)</f>
        <v/>
      </c>
      <c r="B1077" s="22"/>
      <c r="C1077" s="21" t="str">
        <f aca="false">IF(B1077="","",CHOOSE(WEEKDAY(B1077,2),"LUNES","MARTES","MIÉRCOLES","JUEVES","VIERNES","SÁBADO","DOMINGO"))</f>
        <v/>
      </c>
      <c r="M1077" s="23"/>
      <c r="Q1077" s="21" t="str">
        <f aca="false">IF(OR(K1077="",N1077=""),"",K1077-N1077)</f>
        <v/>
      </c>
      <c r="R1077" s="21" t="str">
        <f aca="false">IF(OR(J1077="",K1077=""),"",J1077*K1077)</f>
        <v/>
      </c>
      <c r="S1077" s="21" t="str">
        <f aca="false">IF(AND(ISNUMBER(J1077),ISNUMBER(K1077),F1077&lt;&gt;"Calentamiento",F1077&lt;&gt;"Bilbo"),IF(AND(K1077&gt;0,K1077&lt;=12),ROUND(J1077*(1+(K1077+IF(ISNUMBER(L1077),L1077,0))/30),1),""),"")</f>
        <v/>
      </c>
      <c r="T1077" s="21" t="str">
        <f aca="false">IF(AND(F1077="Bilbo",ISNUMBER(J1077),ISNUMBER(K1077)),ROUND(J1077*(1+K1077/30),1),"")</f>
        <v/>
      </c>
      <c r="W1077" s="22"/>
      <c r="X1077" s="21" t="str">
        <f aca="false">IF(AND(F1077="Bilbo",E1077&lt;&gt;"",G1077&lt;&gt;"",H1077&lt;&gt;""),E1077&amp;"|"&amp;G1077&amp;"|"&amp;H1077,"")</f>
        <v/>
      </c>
      <c r="Y1077" s="21" t="str">
        <f aca="false">IF(B1077="","",IF(B1077&lt;&gt;B1076,1,0))</f>
        <v/>
      </c>
    </row>
    <row r="1078" customFormat="false" ht="15" hidden="false" customHeight="true" outlineLevel="0" collapsed="false">
      <c r="A1078" s="21" t="str">
        <f aca="false">IF(B1078="","",ROW()-4)</f>
        <v/>
      </c>
      <c r="B1078" s="22"/>
      <c r="C1078" s="21" t="str">
        <f aca="false">IF(B1078="","",CHOOSE(WEEKDAY(B1078,2),"LUNES","MARTES","MIÉRCOLES","JUEVES","VIERNES","SÁBADO","DOMINGO"))</f>
        <v/>
      </c>
      <c r="M1078" s="23"/>
      <c r="Q1078" s="21" t="str">
        <f aca="false">IF(OR(K1078="",N1078=""),"",K1078-N1078)</f>
        <v/>
      </c>
      <c r="R1078" s="21" t="str">
        <f aca="false">IF(OR(J1078="",K1078=""),"",J1078*K1078)</f>
        <v/>
      </c>
      <c r="S1078" s="21" t="str">
        <f aca="false">IF(AND(ISNUMBER(J1078),ISNUMBER(K1078),F1078&lt;&gt;"Calentamiento",F1078&lt;&gt;"Bilbo"),IF(AND(K1078&gt;0,K1078&lt;=12),ROUND(J1078*(1+(K1078+IF(ISNUMBER(L1078),L1078,0))/30),1),""),"")</f>
        <v/>
      </c>
      <c r="T1078" s="21" t="str">
        <f aca="false">IF(AND(F1078="Bilbo",ISNUMBER(J1078),ISNUMBER(K1078)),ROUND(J1078*(1+K1078/30),1),"")</f>
        <v/>
      </c>
      <c r="W1078" s="22"/>
      <c r="X1078" s="21" t="str">
        <f aca="false">IF(AND(F1078="Bilbo",E1078&lt;&gt;"",G1078&lt;&gt;"",H1078&lt;&gt;""),E1078&amp;"|"&amp;G1078&amp;"|"&amp;H1078,"")</f>
        <v/>
      </c>
      <c r="Y1078" s="21" t="str">
        <f aca="false">IF(B1078="","",IF(B1078&lt;&gt;B1077,1,0))</f>
        <v/>
      </c>
    </row>
    <row r="1079" customFormat="false" ht="15" hidden="false" customHeight="true" outlineLevel="0" collapsed="false">
      <c r="A1079" s="21" t="str">
        <f aca="false">IF(B1079="","",ROW()-4)</f>
        <v/>
      </c>
      <c r="B1079" s="22"/>
      <c r="C1079" s="21" t="str">
        <f aca="false">IF(B1079="","",CHOOSE(WEEKDAY(B1079,2),"LUNES","MARTES","MIÉRCOLES","JUEVES","VIERNES","SÁBADO","DOMINGO"))</f>
        <v/>
      </c>
      <c r="M1079" s="23"/>
      <c r="Q1079" s="21" t="str">
        <f aca="false">IF(OR(K1079="",N1079=""),"",K1079-N1079)</f>
        <v/>
      </c>
      <c r="R1079" s="21" t="str">
        <f aca="false">IF(OR(J1079="",K1079=""),"",J1079*K1079)</f>
        <v/>
      </c>
      <c r="S1079" s="21" t="str">
        <f aca="false">IF(AND(ISNUMBER(J1079),ISNUMBER(K1079),F1079&lt;&gt;"Calentamiento",F1079&lt;&gt;"Bilbo"),IF(AND(K1079&gt;0,K1079&lt;=12),ROUND(J1079*(1+(K1079+IF(ISNUMBER(L1079),L1079,0))/30),1),""),"")</f>
        <v/>
      </c>
      <c r="T1079" s="21" t="str">
        <f aca="false">IF(AND(F1079="Bilbo",ISNUMBER(J1079),ISNUMBER(K1079)),ROUND(J1079*(1+K1079/30),1),"")</f>
        <v/>
      </c>
      <c r="W1079" s="22"/>
      <c r="X1079" s="21" t="str">
        <f aca="false">IF(AND(F1079="Bilbo",E1079&lt;&gt;"",G1079&lt;&gt;"",H1079&lt;&gt;""),E1079&amp;"|"&amp;G1079&amp;"|"&amp;H1079,"")</f>
        <v/>
      </c>
      <c r="Y1079" s="21" t="str">
        <f aca="false">IF(B1079="","",IF(B1079&lt;&gt;B1078,1,0))</f>
        <v/>
      </c>
    </row>
    <row r="1080" customFormat="false" ht="15" hidden="false" customHeight="true" outlineLevel="0" collapsed="false">
      <c r="A1080" s="21" t="str">
        <f aca="false">IF(B1080="","",ROW()-4)</f>
        <v/>
      </c>
      <c r="B1080" s="22"/>
      <c r="C1080" s="21" t="str">
        <f aca="false">IF(B1080="","",CHOOSE(WEEKDAY(B1080,2),"LUNES","MARTES","MIÉRCOLES","JUEVES","VIERNES","SÁBADO","DOMINGO"))</f>
        <v/>
      </c>
      <c r="M1080" s="23"/>
      <c r="Q1080" s="21" t="str">
        <f aca="false">IF(OR(K1080="",N1080=""),"",K1080-N1080)</f>
        <v/>
      </c>
      <c r="R1080" s="21" t="str">
        <f aca="false">IF(OR(J1080="",K1080=""),"",J1080*K1080)</f>
        <v/>
      </c>
      <c r="S1080" s="21" t="str">
        <f aca="false">IF(AND(ISNUMBER(J1080),ISNUMBER(K1080),F1080&lt;&gt;"Calentamiento",F1080&lt;&gt;"Bilbo"),IF(AND(K1080&gt;0,K1080&lt;=12),ROUND(J1080*(1+(K1080+IF(ISNUMBER(L1080),L1080,0))/30),1),""),"")</f>
        <v/>
      </c>
      <c r="T1080" s="21" t="str">
        <f aca="false">IF(AND(F1080="Bilbo",ISNUMBER(J1080),ISNUMBER(K1080)),ROUND(J1080*(1+K1080/30),1),"")</f>
        <v/>
      </c>
      <c r="W1080" s="22"/>
      <c r="X1080" s="21" t="str">
        <f aca="false">IF(AND(F1080="Bilbo",E1080&lt;&gt;"",G1080&lt;&gt;"",H1080&lt;&gt;""),E1080&amp;"|"&amp;G1080&amp;"|"&amp;H1080,"")</f>
        <v/>
      </c>
      <c r="Y1080" s="21" t="str">
        <f aca="false">IF(B1080="","",IF(B1080&lt;&gt;B1079,1,0))</f>
        <v/>
      </c>
    </row>
    <row r="1081" customFormat="false" ht="15" hidden="false" customHeight="true" outlineLevel="0" collapsed="false">
      <c r="A1081" s="21" t="str">
        <f aca="false">IF(B1081="","",ROW()-4)</f>
        <v/>
      </c>
      <c r="B1081" s="22"/>
      <c r="C1081" s="21" t="str">
        <f aca="false">IF(B1081="","",CHOOSE(WEEKDAY(B1081,2),"LUNES","MARTES","MIÉRCOLES","JUEVES","VIERNES","SÁBADO","DOMINGO"))</f>
        <v/>
      </c>
      <c r="M1081" s="23"/>
      <c r="Q1081" s="21" t="str">
        <f aca="false">IF(OR(K1081="",N1081=""),"",K1081-N1081)</f>
        <v/>
      </c>
      <c r="R1081" s="21" t="str">
        <f aca="false">IF(OR(J1081="",K1081=""),"",J1081*K1081)</f>
        <v/>
      </c>
      <c r="S1081" s="21" t="str">
        <f aca="false">IF(AND(ISNUMBER(J1081),ISNUMBER(K1081),F1081&lt;&gt;"Calentamiento",F1081&lt;&gt;"Bilbo"),IF(AND(K1081&gt;0,K1081&lt;=12),ROUND(J1081*(1+(K1081+IF(ISNUMBER(L1081),L1081,0))/30),1),""),"")</f>
        <v/>
      </c>
      <c r="T1081" s="21" t="str">
        <f aca="false">IF(AND(F1081="Bilbo",ISNUMBER(J1081),ISNUMBER(K1081)),ROUND(J1081*(1+K1081/30),1),"")</f>
        <v/>
      </c>
      <c r="W1081" s="22"/>
      <c r="X1081" s="21" t="str">
        <f aca="false">IF(AND(F1081="Bilbo",E1081&lt;&gt;"",G1081&lt;&gt;"",H1081&lt;&gt;""),E1081&amp;"|"&amp;G1081&amp;"|"&amp;H1081,"")</f>
        <v/>
      </c>
      <c r="Y1081" s="21" t="str">
        <f aca="false">IF(B1081="","",IF(B1081&lt;&gt;B1080,1,0))</f>
        <v/>
      </c>
    </row>
    <row r="1082" customFormat="false" ht="15" hidden="false" customHeight="true" outlineLevel="0" collapsed="false">
      <c r="A1082" s="21" t="str">
        <f aca="false">IF(B1082="","",ROW()-4)</f>
        <v/>
      </c>
      <c r="B1082" s="22"/>
      <c r="C1082" s="21" t="str">
        <f aca="false">IF(B1082="","",CHOOSE(WEEKDAY(B1082,2),"LUNES","MARTES","MIÉRCOLES","JUEVES","VIERNES","SÁBADO","DOMINGO"))</f>
        <v/>
      </c>
      <c r="M1082" s="23"/>
      <c r="Q1082" s="21" t="str">
        <f aca="false">IF(OR(K1082="",N1082=""),"",K1082-N1082)</f>
        <v/>
      </c>
      <c r="R1082" s="21" t="str">
        <f aca="false">IF(OR(J1082="",K1082=""),"",J1082*K1082)</f>
        <v/>
      </c>
      <c r="S1082" s="21" t="str">
        <f aca="false">IF(AND(ISNUMBER(J1082),ISNUMBER(K1082),F1082&lt;&gt;"Calentamiento",F1082&lt;&gt;"Bilbo"),IF(AND(K1082&gt;0,K1082&lt;=12),ROUND(J1082*(1+(K1082+IF(ISNUMBER(L1082),L1082,0))/30),1),""),"")</f>
        <v/>
      </c>
      <c r="T1082" s="21" t="str">
        <f aca="false">IF(AND(F1082="Bilbo",ISNUMBER(J1082),ISNUMBER(K1082)),ROUND(J1082*(1+K1082/30),1),"")</f>
        <v/>
      </c>
      <c r="W1082" s="22"/>
      <c r="X1082" s="21" t="str">
        <f aca="false">IF(AND(F1082="Bilbo",E1082&lt;&gt;"",G1082&lt;&gt;"",H1082&lt;&gt;""),E1082&amp;"|"&amp;G1082&amp;"|"&amp;H1082,"")</f>
        <v/>
      </c>
      <c r="Y1082" s="21" t="str">
        <f aca="false">IF(B1082="","",IF(B1082&lt;&gt;B1081,1,0))</f>
        <v/>
      </c>
    </row>
    <row r="1083" customFormat="false" ht="15" hidden="false" customHeight="true" outlineLevel="0" collapsed="false">
      <c r="A1083" s="21" t="str">
        <f aca="false">IF(B1083="","",ROW()-4)</f>
        <v/>
      </c>
      <c r="B1083" s="22"/>
      <c r="C1083" s="21" t="str">
        <f aca="false">IF(B1083="","",CHOOSE(WEEKDAY(B1083,2),"LUNES","MARTES","MIÉRCOLES","JUEVES","VIERNES","SÁBADO","DOMINGO"))</f>
        <v/>
      </c>
      <c r="M1083" s="23"/>
      <c r="Q1083" s="21" t="str">
        <f aca="false">IF(OR(K1083="",N1083=""),"",K1083-N1083)</f>
        <v/>
      </c>
      <c r="R1083" s="21" t="str">
        <f aca="false">IF(OR(J1083="",K1083=""),"",J1083*K1083)</f>
        <v/>
      </c>
      <c r="S1083" s="21" t="str">
        <f aca="false">IF(AND(ISNUMBER(J1083),ISNUMBER(K1083),F1083&lt;&gt;"Calentamiento",F1083&lt;&gt;"Bilbo"),IF(AND(K1083&gt;0,K1083&lt;=12),ROUND(J1083*(1+(K1083+IF(ISNUMBER(L1083),L1083,0))/30),1),""),"")</f>
        <v/>
      </c>
      <c r="T1083" s="21" t="str">
        <f aca="false">IF(AND(F1083="Bilbo",ISNUMBER(J1083),ISNUMBER(K1083)),ROUND(J1083*(1+K1083/30),1),"")</f>
        <v/>
      </c>
      <c r="W1083" s="22"/>
      <c r="X1083" s="21" t="str">
        <f aca="false">IF(AND(F1083="Bilbo",E1083&lt;&gt;"",G1083&lt;&gt;"",H1083&lt;&gt;""),E1083&amp;"|"&amp;G1083&amp;"|"&amp;H1083,"")</f>
        <v/>
      </c>
      <c r="Y1083" s="21" t="str">
        <f aca="false">IF(B1083="","",IF(B1083&lt;&gt;B1082,1,0))</f>
        <v/>
      </c>
    </row>
    <row r="1084" customFormat="false" ht="15" hidden="false" customHeight="true" outlineLevel="0" collapsed="false">
      <c r="A1084" s="21" t="str">
        <f aca="false">IF(B1084="","",ROW()-4)</f>
        <v/>
      </c>
      <c r="B1084" s="22"/>
      <c r="C1084" s="21" t="str">
        <f aca="false">IF(B1084="","",CHOOSE(WEEKDAY(B1084,2),"LUNES","MARTES","MIÉRCOLES","JUEVES","VIERNES","SÁBADO","DOMINGO"))</f>
        <v/>
      </c>
      <c r="M1084" s="23"/>
      <c r="Q1084" s="21" t="str">
        <f aca="false">IF(OR(K1084="",N1084=""),"",K1084-N1084)</f>
        <v/>
      </c>
      <c r="R1084" s="21" t="str">
        <f aca="false">IF(OR(J1084="",K1084=""),"",J1084*K1084)</f>
        <v/>
      </c>
      <c r="S1084" s="21" t="str">
        <f aca="false">IF(AND(ISNUMBER(J1084),ISNUMBER(K1084),F1084&lt;&gt;"Calentamiento",F1084&lt;&gt;"Bilbo"),IF(AND(K1084&gt;0,K1084&lt;=12),ROUND(J1084*(1+(K1084+IF(ISNUMBER(L1084),L1084,0))/30),1),""),"")</f>
        <v/>
      </c>
      <c r="T1084" s="21" t="str">
        <f aca="false">IF(AND(F1084="Bilbo",ISNUMBER(J1084),ISNUMBER(K1084)),ROUND(J1084*(1+K1084/30),1),"")</f>
        <v/>
      </c>
      <c r="W1084" s="22"/>
      <c r="X1084" s="21" t="str">
        <f aca="false">IF(AND(F1084="Bilbo",E1084&lt;&gt;"",G1084&lt;&gt;"",H1084&lt;&gt;""),E1084&amp;"|"&amp;G1084&amp;"|"&amp;H1084,"")</f>
        <v/>
      </c>
      <c r="Y1084" s="21" t="str">
        <f aca="false">IF(B1084="","",IF(B1084&lt;&gt;B1083,1,0))</f>
        <v/>
      </c>
    </row>
    <row r="1085" customFormat="false" ht="15" hidden="false" customHeight="true" outlineLevel="0" collapsed="false">
      <c r="A1085" s="21" t="str">
        <f aca="false">IF(B1085="","",ROW()-4)</f>
        <v/>
      </c>
      <c r="B1085" s="22"/>
      <c r="C1085" s="21" t="str">
        <f aca="false">IF(B1085="","",CHOOSE(WEEKDAY(B1085,2),"LUNES","MARTES","MIÉRCOLES","JUEVES","VIERNES","SÁBADO","DOMINGO"))</f>
        <v/>
      </c>
      <c r="M1085" s="23"/>
      <c r="Q1085" s="21" t="str">
        <f aca="false">IF(OR(K1085="",N1085=""),"",K1085-N1085)</f>
        <v/>
      </c>
      <c r="R1085" s="21" t="str">
        <f aca="false">IF(OR(J1085="",K1085=""),"",J1085*K1085)</f>
        <v/>
      </c>
      <c r="S1085" s="21" t="str">
        <f aca="false">IF(AND(ISNUMBER(J1085),ISNUMBER(K1085),F1085&lt;&gt;"Calentamiento",F1085&lt;&gt;"Bilbo"),IF(AND(K1085&gt;0,K1085&lt;=12),ROUND(J1085*(1+(K1085+IF(ISNUMBER(L1085),L1085,0))/30),1),""),"")</f>
        <v/>
      </c>
      <c r="T1085" s="21" t="str">
        <f aca="false">IF(AND(F1085="Bilbo",ISNUMBER(J1085),ISNUMBER(K1085)),ROUND(J1085*(1+K1085/30),1),"")</f>
        <v/>
      </c>
      <c r="W1085" s="22"/>
      <c r="X1085" s="21" t="str">
        <f aca="false">IF(AND(F1085="Bilbo",E1085&lt;&gt;"",G1085&lt;&gt;"",H1085&lt;&gt;""),E1085&amp;"|"&amp;G1085&amp;"|"&amp;H1085,"")</f>
        <v/>
      </c>
      <c r="Y1085" s="21" t="str">
        <f aca="false">IF(B1085="","",IF(B1085&lt;&gt;B1084,1,0))</f>
        <v/>
      </c>
    </row>
    <row r="1086" customFormat="false" ht="15" hidden="false" customHeight="true" outlineLevel="0" collapsed="false">
      <c r="A1086" s="21" t="str">
        <f aca="false">IF(B1086="","",ROW()-4)</f>
        <v/>
      </c>
      <c r="B1086" s="22"/>
      <c r="C1086" s="21" t="str">
        <f aca="false">IF(B1086="","",CHOOSE(WEEKDAY(B1086,2),"LUNES","MARTES","MIÉRCOLES","JUEVES","VIERNES","SÁBADO","DOMINGO"))</f>
        <v/>
      </c>
      <c r="M1086" s="23"/>
      <c r="Q1086" s="21" t="str">
        <f aca="false">IF(OR(K1086="",N1086=""),"",K1086-N1086)</f>
        <v/>
      </c>
      <c r="R1086" s="21" t="str">
        <f aca="false">IF(OR(J1086="",K1086=""),"",J1086*K1086)</f>
        <v/>
      </c>
      <c r="S1086" s="21" t="str">
        <f aca="false">IF(AND(ISNUMBER(J1086),ISNUMBER(K1086),F1086&lt;&gt;"Calentamiento",F1086&lt;&gt;"Bilbo"),IF(AND(K1086&gt;0,K1086&lt;=12),ROUND(J1086*(1+(K1086+IF(ISNUMBER(L1086),L1086,0))/30),1),""),"")</f>
        <v/>
      </c>
      <c r="T1086" s="21" t="str">
        <f aca="false">IF(AND(F1086="Bilbo",ISNUMBER(J1086),ISNUMBER(K1086)),ROUND(J1086*(1+K1086/30),1),"")</f>
        <v/>
      </c>
      <c r="W1086" s="22"/>
      <c r="X1086" s="21" t="str">
        <f aca="false">IF(AND(F1086="Bilbo",E1086&lt;&gt;"",G1086&lt;&gt;"",H1086&lt;&gt;""),E1086&amp;"|"&amp;G1086&amp;"|"&amp;H1086,"")</f>
        <v/>
      </c>
      <c r="Y1086" s="21" t="str">
        <f aca="false">IF(B1086="","",IF(B1086&lt;&gt;B1085,1,0))</f>
        <v/>
      </c>
    </row>
    <row r="1087" customFormat="false" ht="15" hidden="false" customHeight="true" outlineLevel="0" collapsed="false">
      <c r="A1087" s="21" t="str">
        <f aca="false">IF(B1087="","",ROW()-4)</f>
        <v/>
      </c>
      <c r="B1087" s="22"/>
      <c r="C1087" s="21" t="str">
        <f aca="false">IF(B1087="","",CHOOSE(WEEKDAY(B1087,2),"LUNES","MARTES","MIÉRCOLES","JUEVES","VIERNES","SÁBADO","DOMINGO"))</f>
        <v/>
      </c>
      <c r="M1087" s="23"/>
      <c r="Q1087" s="21" t="str">
        <f aca="false">IF(OR(K1087="",N1087=""),"",K1087-N1087)</f>
        <v/>
      </c>
      <c r="R1087" s="21" t="str">
        <f aca="false">IF(OR(J1087="",K1087=""),"",J1087*K1087)</f>
        <v/>
      </c>
      <c r="S1087" s="21" t="str">
        <f aca="false">IF(AND(ISNUMBER(J1087),ISNUMBER(K1087),F1087&lt;&gt;"Calentamiento",F1087&lt;&gt;"Bilbo"),IF(AND(K1087&gt;0,K1087&lt;=12),ROUND(J1087*(1+(K1087+IF(ISNUMBER(L1087),L1087,0))/30),1),""),"")</f>
        <v/>
      </c>
      <c r="T1087" s="21" t="str">
        <f aca="false">IF(AND(F1087="Bilbo",ISNUMBER(J1087),ISNUMBER(K1087)),ROUND(J1087*(1+K1087/30),1),"")</f>
        <v/>
      </c>
      <c r="W1087" s="22"/>
      <c r="X1087" s="21" t="str">
        <f aca="false">IF(AND(F1087="Bilbo",E1087&lt;&gt;"",G1087&lt;&gt;"",H1087&lt;&gt;""),E1087&amp;"|"&amp;G1087&amp;"|"&amp;H1087,"")</f>
        <v/>
      </c>
      <c r="Y1087" s="21" t="str">
        <f aca="false">IF(B1087="","",IF(B1087&lt;&gt;B1086,1,0))</f>
        <v/>
      </c>
    </row>
    <row r="1088" customFormat="false" ht="15" hidden="false" customHeight="true" outlineLevel="0" collapsed="false">
      <c r="A1088" s="21" t="str">
        <f aca="false">IF(B1088="","",ROW()-4)</f>
        <v/>
      </c>
      <c r="B1088" s="22"/>
      <c r="C1088" s="21" t="str">
        <f aca="false">IF(B1088="","",CHOOSE(WEEKDAY(B1088,2),"LUNES","MARTES","MIÉRCOLES","JUEVES","VIERNES","SÁBADO","DOMINGO"))</f>
        <v/>
      </c>
      <c r="M1088" s="23"/>
      <c r="Q1088" s="21" t="str">
        <f aca="false">IF(OR(K1088="",N1088=""),"",K1088-N1088)</f>
        <v/>
      </c>
      <c r="R1088" s="21" t="str">
        <f aca="false">IF(OR(J1088="",K1088=""),"",J1088*K1088)</f>
        <v/>
      </c>
      <c r="S1088" s="21" t="str">
        <f aca="false">IF(AND(ISNUMBER(J1088),ISNUMBER(K1088),F1088&lt;&gt;"Calentamiento",F1088&lt;&gt;"Bilbo"),IF(AND(K1088&gt;0,K1088&lt;=12),ROUND(J1088*(1+(K1088+IF(ISNUMBER(L1088),L1088,0))/30),1),""),"")</f>
        <v/>
      </c>
      <c r="T1088" s="21" t="str">
        <f aca="false">IF(AND(F1088="Bilbo",ISNUMBER(J1088),ISNUMBER(K1088)),ROUND(J1088*(1+K1088/30),1),"")</f>
        <v/>
      </c>
      <c r="W1088" s="22"/>
      <c r="X1088" s="21" t="str">
        <f aca="false">IF(AND(F1088="Bilbo",E1088&lt;&gt;"",G1088&lt;&gt;"",H1088&lt;&gt;""),E1088&amp;"|"&amp;G1088&amp;"|"&amp;H1088,"")</f>
        <v/>
      </c>
      <c r="Y1088" s="21" t="str">
        <f aca="false">IF(B1088="","",IF(B1088&lt;&gt;B1087,1,0))</f>
        <v/>
      </c>
    </row>
    <row r="1089" customFormat="false" ht="15" hidden="false" customHeight="true" outlineLevel="0" collapsed="false">
      <c r="A1089" s="21" t="str">
        <f aca="false">IF(B1089="","",ROW()-4)</f>
        <v/>
      </c>
      <c r="B1089" s="22"/>
      <c r="C1089" s="21" t="str">
        <f aca="false">IF(B1089="","",CHOOSE(WEEKDAY(B1089,2),"LUNES","MARTES","MIÉRCOLES","JUEVES","VIERNES","SÁBADO","DOMINGO"))</f>
        <v/>
      </c>
      <c r="M1089" s="23"/>
      <c r="Q1089" s="21" t="str">
        <f aca="false">IF(OR(K1089="",N1089=""),"",K1089-N1089)</f>
        <v/>
      </c>
      <c r="R1089" s="21" t="str">
        <f aca="false">IF(OR(J1089="",K1089=""),"",J1089*K1089)</f>
        <v/>
      </c>
      <c r="S1089" s="21" t="str">
        <f aca="false">IF(AND(ISNUMBER(J1089),ISNUMBER(K1089),F1089&lt;&gt;"Calentamiento",F1089&lt;&gt;"Bilbo"),IF(AND(K1089&gt;0,K1089&lt;=12),ROUND(J1089*(1+(K1089+IF(ISNUMBER(L1089),L1089,0))/30),1),""),"")</f>
        <v/>
      </c>
      <c r="T1089" s="21" t="str">
        <f aca="false">IF(AND(F1089="Bilbo",ISNUMBER(J1089),ISNUMBER(K1089)),ROUND(J1089*(1+K1089/30),1),"")</f>
        <v/>
      </c>
      <c r="W1089" s="22"/>
      <c r="X1089" s="21" t="str">
        <f aca="false">IF(AND(F1089="Bilbo",E1089&lt;&gt;"",G1089&lt;&gt;"",H1089&lt;&gt;""),E1089&amp;"|"&amp;G1089&amp;"|"&amp;H1089,"")</f>
        <v/>
      </c>
      <c r="Y1089" s="21" t="str">
        <f aca="false">IF(B1089="","",IF(B1089&lt;&gt;B1088,1,0))</f>
        <v/>
      </c>
    </row>
    <row r="1090" customFormat="false" ht="15" hidden="false" customHeight="true" outlineLevel="0" collapsed="false">
      <c r="A1090" s="21" t="str">
        <f aca="false">IF(B1090="","",ROW()-4)</f>
        <v/>
      </c>
      <c r="B1090" s="22"/>
      <c r="C1090" s="21" t="str">
        <f aca="false">IF(B1090="","",CHOOSE(WEEKDAY(B1090,2),"LUNES","MARTES","MIÉRCOLES","JUEVES","VIERNES","SÁBADO","DOMINGO"))</f>
        <v/>
      </c>
      <c r="M1090" s="23"/>
      <c r="Q1090" s="21" t="str">
        <f aca="false">IF(OR(K1090="",N1090=""),"",K1090-N1090)</f>
        <v/>
      </c>
      <c r="R1090" s="21" t="str">
        <f aca="false">IF(OR(J1090="",K1090=""),"",J1090*K1090)</f>
        <v/>
      </c>
      <c r="S1090" s="21" t="str">
        <f aca="false">IF(AND(ISNUMBER(J1090),ISNUMBER(K1090),F1090&lt;&gt;"Calentamiento",F1090&lt;&gt;"Bilbo"),IF(AND(K1090&gt;0,K1090&lt;=12),ROUND(J1090*(1+(K1090+IF(ISNUMBER(L1090),L1090,0))/30),1),""),"")</f>
        <v/>
      </c>
      <c r="T1090" s="21" t="str">
        <f aca="false">IF(AND(F1090="Bilbo",ISNUMBER(J1090),ISNUMBER(K1090)),ROUND(J1090*(1+K1090/30),1),"")</f>
        <v/>
      </c>
      <c r="W1090" s="22"/>
      <c r="X1090" s="21" t="str">
        <f aca="false">IF(AND(F1090="Bilbo",E1090&lt;&gt;"",G1090&lt;&gt;"",H1090&lt;&gt;""),E1090&amp;"|"&amp;G1090&amp;"|"&amp;H1090,"")</f>
        <v/>
      </c>
      <c r="Y1090" s="21" t="str">
        <f aca="false">IF(B1090="","",IF(B1090&lt;&gt;B1089,1,0))</f>
        <v/>
      </c>
    </row>
    <row r="1091" customFormat="false" ht="15" hidden="false" customHeight="true" outlineLevel="0" collapsed="false">
      <c r="A1091" s="21" t="str">
        <f aca="false">IF(B1091="","",ROW()-4)</f>
        <v/>
      </c>
      <c r="B1091" s="22"/>
      <c r="C1091" s="21" t="str">
        <f aca="false">IF(B1091="","",CHOOSE(WEEKDAY(B1091,2),"LUNES","MARTES","MIÉRCOLES","JUEVES","VIERNES","SÁBADO","DOMINGO"))</f>
        <v/>
      </c>
      <c r="M1091" s="23"/>
      <c r="Q1091" s="21" t="str">
        <f aca="false">IF(OR(K1091="",N1091=""),"",K1091-N1091)</f>
        <v/>
      </c>
      <c r="R1091" s="21" t="str">
        <f aca="false">IF(OR(J1091="",K1091=""),"",J1091*K1091)</f>
        <v/>
      </c>
      <c r="S1091" s="21" t="str">
        <f aca="false">IF(AND(ISNUMBER(J1091),ISNUMBER(K1091),F1091&lt;&gt;"Calentamiento",F1091&lt;&gt;"Bilbo"),IF(AND(K1091&gt;0,K1091&lt;=12),ROUND(J1091*(1+(K1091+IF(ISNUMBER(L1091),L1091,0))/30),1),""),"")</f>
        <v/>
      </c>
      <c r="T1091" s="21" t="str">
        <f aca="false">IF(AND(F1091="Bilbo",ISNUMBER(J1091),ISNUMBER(K1091)),ROUND(J1091*(1+K1091/30),1),"")</f>
        <v/>
      </c>
      <c r="W1091" s="22"/>
      <c r="X1091" s="21" t="str">
        <f aca="false">IF(AND(F1091="Bilbo",E1091&lt;&gt;"",G1091&lt;&gt;"",H1091&lt;&gt;""),E1091&amp;"|"&amp;G1091&amp;"|"&amp;H1091,"")</f>
        <v/>
      </c>
      <c r="Y1091" s="21" t="str">
        <f aca="false">IF(B1091="","",IF(B1091&lt;&gt;B1090,1,0))</f>
        <v/>
      </c>
    </row>
    <row r="1092" customFormat="false" ht="15" hidden="false" customHeight="true" outlineLevel="0" collapsed="false">
      <c r="A1092" s="21" t="str">
        <f aca="false">IF(B1092="","",ROW()-4)</f>
        <v/>
      </c>
      <c r="B1092" s="22"/>
      <c r="C1092" s="21" t="str">
        <f aca="false">IF(B1092="","",CHOOSE(WEEKDAY(B1092,2),"LUNES","MARTES","MIÉRCOLES","JUEVES","VIERNES","SÁBADO","DOMINGO"))</f>
        <v/>
      </c>
      <c r="M1092" s="23"/>
      <c r="Q1092" s="21" t="str">
        <f aca="false">IF(OR(K1092="",N1092=""),"",K1092-N1092)</f>
        <v/>
      </c>
      <c r="R1092" s="21" t="str">
        <f aca="false">IF(OR(J1092="",K1092=""),"",J1092*K1092)</f>
        <v/>
      </c>
      <c r="S1092" s="21" t="str">
        <f aca="false">IF(AND(ISNUMBER(J1092),ISNUMBER(K1092),F1092&lt;&gt;"Calentamiento",F1092&lt;&gt;"Bilbo"),IF(AND(K1092&gt;0,K1092&lt;=12),ROUND(J1092*(1+(K1092+IF(ISNUMBER(L1092),L1092,0))/30),1),""),"")</f>
        <v/>
      </c>
      <c r="T1092" s="21" t="str">
        <f aca="false">IF(AND(F1092="Bilbo",ISNUMBER(J1092),ISNUMBER(K1092)),ROUND(J1092*(1+K1092/30),1),"")</f>
        <v/>
      </c>
      <c r="W1092" s="22"/>
      <c r="X1092" s="21" t="str">
        <f aca="false">IF(AND(F1092="Bilbo",E1092&lt;&gt;"",G1092&lt;&gt;"",H1092&lt;&gt;""),E1092&amp;"|"&amp;G1092&amp;"|"&amp;H1092,"")</f>
        <v/>
      </c>
      <c r="Y1092" s="21" t="str">
        <f aca="false">IF(B1092="","",IF(B1092&lt;&gt;B1091,1,0))</f>
        <v/>
      </c>
    </row>
    <row r="1093" customFormat="false" ht="15" hidden="false" customHeight="true" outlineLevel="0" collapsed="false">
      <c r="A1093" s="21" t="str">
        <f aca="false">IF(B1093="","",ROW()-4)</f>
        <v/>
      </c>
      <c r="B1093" s="22"/>
      <c r="C1093" s="21" t="str">
        <f aca="false">IF(B1093="","",CHOOSE(WEEKDAY(B1093,2),"LUNES","MARTES","MIÉRCOLES","JUEVES","VIERNES","SÁBADO","DOMINGO"))</f>
        <v/>
      </c>
      <c r="M1093" s="23"/>
      <c r="Q1093" s="21" t="str">
        <f aca="false">IF(OR(K1093="",N1093=""),"",K1093-N1093)</f>
        <v/>
      </c>
      <c r="R1093" s="21" t="str">
        <f aca="false">IF(OR(J1093="",K1093=""),"",J1093*K1093)</f>
        <v/>
      </c>
      <c r="S1093" s="21" t="str">
        <f aca="false">IF(AND(ISNUMBER(J1093),ISNUMBER(K1093),F1093&lt;&gt;"Calentamiento",F1093&lt;&gt;"Bilbo"),IF(AND(K1093&gt;0,K1093&lt;=12),ROUND(J1093*(1+(K1093+IF(ISNUMBER(L1093),L1093,0))/30),1),""),"")</f>
        <v/>
      </c>
      <c r="T1093" s="21" t="str">
        <f aca="false">IF(AND(F1093="Bilbo",ISNUMBER(J1093),ISNUMBER(K1093)),ROUND(J1093*(1+K1093/30),1),"")</f>
        <v/>
      </c>
      <c r="W1093" s="22"/>
      <c r="X1093" s="21" t="str">
        <f aca="false">IF(AND(F1093="Bilbo",E1093&lt;&gt;"",G1093&lt;&gt;"",H1093&lt;&gt;""),E1093&amp;"|"&amp;G1093&amp;"|"&amp;H1093,"")</f>
        <v/>
      </c>
      <c r="Y1093" s="21" t="str">
        <f aca="false">IF(B1093="","",IF(B1093&lt;&gt;B1092,1,0))</f>
        <v/>
      </c>
    </row>
    <row r="1094" customFormat="false" ht="15" hidden="false" customHeight="true" outlineLevel="0" collapsed="false">
      <c r="A1094" s="21" t="str">
        <f aca="false">IF(B1094="","",ROW()-4)</f>
        <v/>
      </c>
      <c r="B1094" s="22"/>
      <c r="C1094" s="21" t="str">
        <f aca="false">IF(B1094="","",CHOOSE(WEEKDAY(B1094,2),"LUNES","MARTES","MIÉRCOLES","JUEVES","VIERNES","SÁBADO","DOMINGO"))</f>
        <v/>
      </c>
      <c r="M1094" s="23"/>
      <c r="Q1094" s="21" t="str">
        <f aca="false">IF(OR(K1094="",N1094=""),"",K1094-N1094)</f>
        <v/>
      </c>
      <c r="R1094" s="21" t="str">
        <f aca="false">IF(OR(J1094="",K1094=""),"",J1094*K1094)</f>
        <v/>
      </c>
      <c r="S1094" s="21" t="str">
        <f aca="false">IF(AND(ISNUMBER(J1094),ISNUMBER(K1094),F1094&lt;&gt;"Calentamiento",F1094&lt;&gt;"Bilbo"),IF(AND(K1094&gt;0,K1094&lt;=12),ROUND(J1094*(1+(K1094+IF(ISNUMBER(L1094),L1094,0))/30),1),""),"")</f>
        <v/>
      </c>
      <c r="T1094" s="21" t="str">
        <f aca="false">IF(AND(F1094="Bilbo",ISNUMBER(J1094),ISNUMBER(K1094)),ROUND(J1094*(1+K1094/30),1),"")</f>
        <v/>
      </c>
      <c r="W1094" s="22"/>
      <c r="X1094" s="21" t="str">
        <f aca="false">IF(AND(F1094="Bilbo",E1094&lt;&gt;"",G1094&lt;&gt;"",H1094&lt;&gt;""),E1094&amp;"|"&amp;G1094&amp;"|"&amp;H1094,"")</f>
        <v/>
      </c>
      <c r="Y1094" s="21" t="str">
        <f aca="false">IF(B1094="","",IF(B1094&lt;&gt;B1093,1,0))</f>
        <v/>
      </c>
    </row>
    <row r="1095" customFormat="false" ht="15" hidden="false" customHeight="true" outlineLevel="0" collapsed="false">
      <c r="A1095" s="21" t="str">
        <f aca="false">IF(B1095="","",ROW()-4)</f>
        <v/>
      </c>
      <c r="B1095" s="22"/>
      <c r="C1095" s="21" t="str">
        <f aca="false">IF(B1095="","",CHOOSE(WEEKDAY(B1095,2),"LUNES","MARTES","MIÉRCOLES","JUEVES","VIERNES","SÁBADO","DOMINGO"))</f>
        <v/>
      </c>
      <c r="M1095" s="23"/>
      <c r="Q1095" s="21" t="str">
        <f aca="false">IF(OR(K1095="",N1095=""),"",K1095-N1095)</f>
        <v/>
      </c>
      <c r="R1095" s="21" t="str">
        <f aca="false">IF(OR(J1095="",K1095=""),"",J1095*K1095)</f>
        <v/>
      </c>
      <c r="S1095" s="21" t="str">
        <f aca="false">IF(AND(ISNUMBER(J1095),ISNUMBER(K1095),F1095&lt;&gt;"Calentamiento",F1095&lt;&gt;"Bilbo"),IF(AND(K1095&gt;0,K1095&lt;=12),ROUND(J1095*(1+(K1095+IF(ISNUMBER(L1095),L1095,0))/30),1),""),"")</f>
        <v/>
      </c>
      <c r="T1095" s="21" t="str">
        <f aca="false">IF(AND(F1095="Bilbo",ISNUMBER(J1095),ISNUMBER(K1095)),ROUND(J1095*(1+K1095/30),1),"")</f>
        <v/>
      </c>
      <c r="W1095" s="22"/>
      <c r="X1095" s="21" t="str">
        <f aca="false">IF(AND(F1095="Bilbo",E1095&lt;&gt;"",G1095&lt;&gt;"",H1095&lt;&gt;""),E1095&amp;"|"&amp;G1095&amp;"|"&amp;H1095,"")</f>
        <v/>
      </c>
      <c r="Y1095" s="21" t="str">
        <f aca="false">IF(B1095="","",IF(B1095&lt;&gt;B1094,1,0))</f>
        <v/>
      </c>
    </row>
    <row r="1096" customFormat="false" ht="15" hidden="false" customHeight="true" outlineLevel="0" collapsed="false">
      <c r="A1096" s="21" t="str">
        <f aca="false">IF(B1096="","",ROW()-4)</f>
        <v/>
      </c>
      <c r="B1096" s="22"/>
      <c r="C1096" s="21" t="str">
        <f aca="false">IF(B1096="","",CHOOSE(WEEKDAY(B1096,2),"LUNES","MARTES","MIÉRCOLES","JUEVES","VIERNES","SÁBADO","DOMINGO"))</f>
        <v/>
      </c>
      <c r="M1096" s="23"/>
      <c r="Q1096" s="21" t="str">
        <f aca="false">IF(OR(K1096="",N1096=""),"",K1096-N1096)</f>
        <v/>
      </c>
      <c r="R1096" s="21" t="str">
        <f aca="false">IF(OR(J1096="",K1096=""),"",J1096*K1096)</f>
        <v/>
      </c>
      <c r="S1096" s="21" t="str">
        <f aca="false">IF(AND(ISNUMBER(J1096),ISNUMBER(K1096),F1096&lt;&gt;"Calentamiento",F1096&lt;&gt;"Bilbo"),IF(AND(K1096&gt;0,K1096&lt;=12),ROUND(J1096*(1+(K1096+IF(ISNUMBER(L1096),L1096,0))/30),1),""),"")</f>
        <v/>
      </c>
      <c r="T1096" s="21" t="str">
        <f aca="false">IF(AND(F1096="Bilbo",ISNUMBER(J1096),ISNUMBER(K1096)),ROUND(J1096*(1+K1096/30),1),"")</f>
        <v/>
      </c>
      <c r="W1096" s="22"/>
      <c r="X1096" s="21" t="str">
        <f aca="false">IF(AND(F1096="Bilbo",E1096&lt;&gt;"",G1096&lt;&gt;"",H1096&lt;&gt;""),E1096&amp;"|"&amp;G1096&amp;"|"&amp;H1096,"")</f>
        <v/>
      </c>
      <c r="Y1096" s="21" t="str">
        <f aca="false">IF(B1096="","",IF(B1096&lt;&gt;B1095,1,0))</f>
        <v/>
      </c>
    </row>
    <row r="1097" customFormat="false" ht="15" hidden="false" customHeight="true" outlineLevel="0" collapsed="false">
      <c r="A1097" s="21" t="str">
        <f aca="false">IF(B1097="","",ROW()-4)</f>
        <v/>
      </c>
      <c r="B1097" s="22"/>
      <c r="C1097" s="21" t="str">
        <f aca="false">IF(B1097="","",CHOOSE(WEEKDAY(B1097,2),"LUNES","MARTES","MIÉRCOLES","JUEVES","VIERNES","SÁBADO","DOMINGO"))</f>
        <v/>
      </c>
      <c r="M1097" s="23"/>
      <c r="Q1097" s="21" t="str">
        <f aca="false">IF(OR(K1097="",N1097=""),"",K1097-N1097)</f>
        <v/>
      </c>
      <c r="R1097" s="21" t="str">
        <f aca="false">IF(OR(J1097="",K1097=""),"",J1097*K1097)</f>
        <v/>
      </c>
      <c r="S1097" s="21" t="str">
        <f aca="false">IF(AND(ISNUMBER(J1097),ISNUMBER(K1097),F1097&lt;&gt;"Calentamiento",F1097&lt;&gt;"Bilbo"),IF(AND(K1097&gt;0,K1097&lt;=12),ROUND(J1097*(1+(K1097+IF(ISNUMBER(L1097),L1097,0))/30),1),""),"")</f>
        <v/>
      </c>
      <c r="T1097" s="21" t="str">
        <f aca="false">IF(AND(F1097="Bilbo",ISNUMBER(J1097),ISNUMBER(K1097)),ROUND(J1097*(1+K1097/30),1),"")</f>
        <v/>
      </c>
      <c r="W1097" s="22"/>
      <c r="X1097" s="21" t="str">
        <f aca="false">IF(AND(F1097="Bilbo",E1097&lt;&gt;"",G1097&lt;&gt;"",H1097&lt;&gt;""),E1097&amp;"|"&amp;G1097&amp;"|"&amp;H1097,"")</f>
        <v/>
      </c>
      <c r="Y1097" s="21" t="str">
        <f aca="false">IF(B1097="","",IF(B1097&lt;&gt;B1096,1,0))</f>
        <v/>
      </c>
    </row>
    <row r="1098" customFormat="false" ht="15" hidden="false" customHeight="true" outlineLevel="0" collapsed="false">
      <c r="A1098" s="21" t="str">
        <f aca="false">IF(B1098="","",ROW()-4)</f>
        <v/>
      </c>
      <c r="B1098" s="22"/>
      <c r="C1098" s="21" t="str">
        <f aca="false">IF(B1098="","",CHOOSE(WEEKDAY(B1098,2),"LUNES","MARTES","MIÉRCOLES","JUEVES","VIERNES","SÁBADO","DOMINGO"))</f>
        <v/>
      </c>
      <c r="M1098" s="23"/>
      <c r="Q1098" s="21" t="str">
        <f aca="false">IF(OR(K1098="",N1098=""),"",K1098-N1098)</f>
        <v/>
      </c>
      <c r="R1098" s="21" t="str">
        <f aca="false">IF(OR(J1098="",K1098=""),"",J1098*K1098)</f>
        <v/>
      </c>
      <c r="S1098" s="21" t="str">
        <f aca="false">IF(AND(ISNUMBER(J1098),ISNUMBER(K1098),F1098&lt;&gt;"Calentamiento",F1098&lt;&gt;"Bilbo"),IF(AND(K1098&gt;0,K1098&lt;=12),ROUND(J1098*(1+(K1098+IF(ISNUMBER(L1098),L1098,0))/30),1),""),"")</f>
        <v/>
      </c>
      <c r="T1098" s="21" t="str">
        <f aca="false">IF(AND(F1098="Bilbo",ISNUMBER(J1098),ISNUMBER(K1098)),ROUND(J1098*(1+K1098/30),1),"")</f>
        <v/>
      </c>
      <c r="W1098" s="22"/>
      <c r="X1098" s="21" t="str">
        <f aca="false">IF(AND(F1098="Bilbo",E1098&lt;&gt;"",G1098&lt;&gt;"",H1098&lt;&gt;""),E1098&amp;"|"&amp;G1098&amp;"|"&amp;H1098,"")</f>
        <v/>
      </c>
      <c r="Y1098" s="21" t="str">
        <f aca="false">IF(B1098="","",IF(B1098&lt;&gt;B1097,1,0))</f>
        <v/>
      </c>
    </row>
    <row r="1099" customFormat="false" ht="15" hidden="false" customHeight="true" outlineLevel="0" collapsed="false">
      <c r="A1099" s="21" t="str">
        <f aca="false">IF(B1099="","",ROW()-4)</f>
        <v/>
      </c>
      <c r="B1099" s="22"/>
      <c r="C1099" s="21" t="str">
        <f aca="false">IF(B1099="","",CHOOSE(WEEKDAY(B1099,2),"LUNES","MARTES","MIÉRCOLES","JUEVES","VIERNES","SÁBADO","DOMINGO"))</f>
        <v/>
      </c>
      <c r="M1099" s="23"/>
      <c r="Q1099" s="21" t="str">
        <f aca="false">IF(OR(K1099="",N1099=""),"",K1099-N1099)</f>
        <v/>
      </c>
      <c r="R1099" s="21" t="str">
        <f aca="false">IF(OR(J1099="",K1099=""),"",J1099*K1099)</f>
        <v/>
      </c>
      <c r="S1099" s="21" t="str">
        <f aca="false">IF(AND(ISNUMBER(J1099),ISNUMBER(K1099),F1099&lt;&gt;"Calentamiento",F1099&lt;&gt;"Bilbo"),IF(AND(K1099&gt;0,K1099&lt;=12),ROUND(J1099*(1+(K1099+IF(ISNUMBER(L1099),L1099,0))/30),1),""),"")</f>
        <v/>
      </c>
      <c r="T1099" s="21" t="str">
        <f aca="false">IF(AND(F1099="Bilbo",ISNUMBER(J1099),ISNUMBER(K1099)),ROUND(J1099*(1+K1099/30),1),"")</f>
        <v/>
      </c>
      <c r="W1099" s="22"/>
      <c r="X1099" s="21" t="str">
        <f aca="false">IF(AND(F1099="Bilbo",E1099&lt;&gt;"",G1099&lt;&gt;"",H1099&lt;&gt;""),E1099&amp;"|"&amp;G1099&amp;"|"&amp;H1099,"")</f>
        <v/>
      </c>
      <c r="Y1099" s="21" t="str">
        <f aca="false">IF(B1099="","",IF(B1099&lt;&gt;B1098,1,0))</f>
        <v/>
      </c>
    </row>
    <row r="1100" customFormat="false" ht="15" hidden="false" customHeight="true" outlineLevel="0" collapsed="false">
      <c r="A1100" s="21" t="str">
        <f aca="false">IF(B1100="","",ROW()-4)</f>
        <v/>
      </c>
      <c r="B1100" s="22"/>
      <c r="C1100" s="21" t="str">
        <f aca="false">IF(B1100="","",CHOOSE(WEEKDAY(B1100,2),"LUNES","MARTES","MIÉRCOLES","JUEVES","VIERNES","SÁBADO","DOMINGO"))</f>
        <v/>
      </c>
      <c r="M1100" s="23"/>
      <c r="Q1100" s="21" t="str">
        <f aca="false">IF(OR(K1100="",N1100=""),"",K1100-N1100)</f>
        <v/>
      </c>
      <c r="R1100" s="21" t="str">
        <f aca="false">IF(OR(J1100="",K1100=""),"",J1100*K1100)</f>
        <v/>
      </c>
      <c r="S1100" s="21" t="str">
        <f aca="false">IF(AND(ISNUMBER(J1100),ISNUMBER(K1100),F1100&lt;&gt;"Calentamiento",F1100&lt;&gt;"Bilbo"),IF(AND(K1100&gt;0,K1100&lt;=12),ROUND(J1100*(1+(K1100+IF(ISNUMBER(L1100),L1100,0))/30),1),""),"")</f>
        <v/>
      </c>
      <c r="T1100" s="21" t="str">
        <f aca="false">IF(AND(F1100="Bilbo",ISNUMBER(J1100),ISNUMBER(K1100)),ROUND(J1100*(1+K1100/30),1),"")</f>
        <v/>
      </c>
      <c r="W1100" s="22"/>
      <c r="X1100" s="21" t="str">
        <f aca="false">IF(AND(F1100="Bilbo",E1100&lt;&gt;"",G1100&lt;&gt;"",H1100&lt;&gt;""),E1100&amp;"|"&amp;G1100&amp;"|"&amp;H1100,"")</f>
        <v/>
      </c>
      <c r="Y1100" s="21" t="str">
        <f aca="false">IF(B1100="","",IF(B1100&lt;&gt;B1099,1,0))</f>
        <v/>
      </c>
    </row>
    <row r="1101" customFormat="false" ht="15" hidden="false" customHeight="true" outlineLevel="0" collapsed="false">
      <c r="A1101" s="21" t="str">
        <f aca="false">IF(B1101="","",ROW()-4)</f>
        <v/>
      </c>
      <c r="B1101" s="22"/>
      <c r="C1101" s="21" t="str">
        <f aca="false">IF(B1101="","",CHOOSE(WEEKDAY(B1101,2),"LUNES","MARTES","MIÉRCOLES","JUEVES","VIERNES","SÁBADO","DOMINGO"))</f>
        <v/>
      </c>
      <c r="M1101" s="23"/>
      <c r="Q1101" s="21" t="str">
        <f aca="false">IF(OR(K1101="",N1101=""),"",K1101-N1101)</f>
        <v/>
      </c>
      <c r="R1101" s="21" t="str">
        <f aca="false">IF(OR(J1101="",K1101=""),"",J1101*K1101)</f>
        <v/>
      </c>
      <c r="S1101" s="21" t="str">
        <f aca="false">IF(AND(ISNUMBER(J1101),ISNUMBER(K1101),F1101&lt;&gt;"Calentamiento",F1101&lt;&gt;"Bilbo"),IF(AND(K1101&gt;0,K1101&lt;=12),ROUND(J1101*(1+(K1101+IF(ISNUMBER(L1101),L1101,0))/30),1),""),"")</f>
        <v/>
      </c>
      <c r="T1101" s="21" t="str">
        <f aca="false">IF(AND(F1101="Bilbo",ISNUMBER(J1101),ISNUMBER(K1101)),ROUND(J1101*(1+K1101/30),1),"")</f>
        <v/>
      </c>
      <c r="W1101" s="22"/>
      <c r="X1101" s="21" t="str">
        <f aca="false">IF(AND(F1101="Bilbo",E1101&lt;&gt;"",G1101&lt;&gt;"",H1101&lt;&gt;""),E1101&amp;"|"&amp;G1101&amp;"|"&amp;H1101,"")</f>
        <v/>
      </c>
      <c r="Y1101" s="21" t="str">
        <f aca="false">IF(B1101="","",IF(B1101&lt;&gt;B1100,1,0))</f>
        <v/>
      </c>
    </row>
    <row r="1102" customFormat="false" ht="15" hidden="false" customHeight="true" outlineLevel="0" collapsed="false">
      <c r="A1102" s="21" t="str">
        <f aca="false">IF(B1102="","",ROW()-4)</f>
        <v/>
      </c>
      <c r="B1102" s="22"/>
      <c r="C1102" s="21" t="str">
        <f aca="false">IF(B1102="","",CHOOSE(WEEKDAY(B1102,2),"LUNES","MARTES","MIÉRCOLES","JUEVES","VIERNES","SÁBADO","DOMINGO"))</f>
        <v/>
      </c>
      <c r="M1102" s="23"/>
      <c r="Q1102" s="21" t="str">
        <f aca="false">IF(OR(K1102="",N1102=""),"",K1102-N1102)</f>
        <v/>
      </c>
      <c r="R1102" s="21" t="str">
        <f aca="false">IF(OR(J1102="",K1102=""),"",J1102*K1102)</f>
        <v/>
      </c>
      <c r="S1102" s="21" t="str">
        <f aca="false">IF(AND(ISNUMBER(J1102),ISNUMBER(K1102),F1102&lt;&gt;"Calentamiento",F1102&lt;&gt;"Bilbo"),IF(AND(K1102&gt;0,K1102&lt;=12),ROUND(J1102*(1+(K1102+IF(ISNUMBER(L1102),L1102,0))/30),1),""),"")</f>
        <v/>
      </c>
      <c r="T1102" s="21" t="str">
        <f aca="false">IF(AND(F1102="Bilbo",ISNUMBER(J1102),ISNUMBER(K1102)),ROUND(J1102*(1+K1102/30),1),"")</f>
        <v/>
      </c>
      <c r="W1102" s="22"/>
      <c r="X1102" s="21" t="str">
        <f aca="false">IF(AND(F1102="Bilbo",E1102&lt;&gt;"",G1102&lt;&gt;"",H1102&lt;&gt;""),E1102&amp;"|"&amp;G1102&amp;"|"&amp;H1102,"")</f>
        <v/>
      </c>
      <c r="Y1102" s="21" t="str">
        <f aca="false">IF(B1102="","",IF(B1102&lt;&gt;B1101,1,0))</f>
        <v/>
      </c>
    </row>
    <row r="1103" customFormat="false" ht="15" hidden="false" customHeight="true" outlineLevel="0" collapsed="false">
      <c r="A1103" s="21" t="str">
        <f aca="false">IF(B1103="","",ROW()-4)</f>
        <v/>
      </c>
      <c r="B1103" s="22"/>
      <c r="C1103" s="21" t="str">
        <f aca="false">IF(B1103="","",CHOOSE(WEEKDAY(B1103,2),"LUNES","MARTES","MIÉRCOLES","JUEVES","VIERNES","SÁBADO","DOMINGO"))</f>
        <v/>
      </c>
      <c r="M1103" s="23"/>
      <c r="Q1103" s="21" t="str">
        <f aca="false">IF(OR(K1103="",N1103=""),"",K1103-N1103)</f>
        <v/>
      </c>
      <c r="R1103" s="21" t="str">
        <f aca="false">IF(OR(J1103="",K1103=""),"",J1103*K1103)</f>
        <v/>
      </c>
      <c r="S1103" s="21" t="str">
        <f aca="false">IF(AND(ISNUMBER(J1103),ISNUMBER(K1103),F1103&lt;&gt;"Calentamiento",F1103&lt;&gt;"Bilbo"),IF(AND(K1103&gt;0,K1103&lt;=12),ROUND(J1103*(1+(K1103+IF(ISNUMBER(L1103),L1103,0))/30),1),""),"")</f>
        <v/>
      </c>
      <c r="T1103" s="21" t="str">
        <f aca="false">IF(AND(F1103="Bilbo",ISNUMBER(J1103),ISNUMBER(K1103)),ROUND(J1103*(1+K1103/30),1),"")</f>
        <v/>
      </c>
      <c r="W1103" s="22"/>
      <c r="X1103" s="21" t="str">
        <f aca="false">IF(AND(F1103="Bilbo",E1103&lt;&gt;"",G1103&lt;&gt;"",H1103&lt;&gt;""),E1103&amp;"|"&amp;G1103&amp;"|"&amp;H1103,"")</f>
        <v/>
      </c>
      <c r="Y1103" s="21" t="str">
        <f aca="false">IF(B1103="","",IF(B1103&lt;&gt;B1102,1,0))</f>
        <v/>
      </c>
    </row>
    <row r="1104" customFormat="false" ht="15" hidden="false" customHeight="true" outlineLevel="0" collapsed="false">
      <c r="A1104" s="21" t="str">
        <f aca="false">IF(B1104="","",ROW()-4)</f>
        <v/>
      </c>
      <c r="B1104" s="22"/>
      <c r="C1104" s="21" t="str">
        <f aca="false">IF(B1104="","",CHOOSE(WEEKDAY(B1104,2),"LUNES","MARTES","MIÉRCOLES","JUEVES","VIERNES","SÁBADO","DOMINGO"))</f>
        <v/>
      </c>
      <c r="M1104" s="23"/>
      <c r="Q1104" s="21" t="str">
        <f aca="false">IF(OR(K1104="",N1104=""),"",K1104-N1104)</f>
        <v/>
      </c>
      <c r="R1104" s="21" t="str">
        <f aca="false">IF(OR(J1104="",K1104=""),"",J1104*K1104)</f>
        <v/>
      </c>
      <c r="S1104" s="21" t="str">
        <f aca="false">IF(AND(ISNUMBER(J1104),ISNUMBER(K1104),F1104&lt;&gt;"Calentamiento",F1104&lt;&gt;"Bilbo"),IF(AND(K1104&gt;0,K1104&lt;=12),ROUND(J1104*(1+(K1104+IF(ISNUMBER(L1104),L1104,0))/30),1),""),"")</f>
        <v/>
      </c>
      <c r="T1104" s="21" t="str">
        <f aca="false">IF(AND(F1104="Bilbo",ISNUMBER(J1104),ISNUMBER(K1104)),ROUND(J1104*(1+K1104/30),1),"")</f>
        <v/>
      </c>
      <c r="W1104" s="22"/>
      <c r="X1104" s="21" t="str">
        <f aca="false">IF(AND(F1104="Bilbo",E1104&lt;&gt;"",G1104&lt;&gt;"",H1104&lt;&gt;""),E1104&amp;"|"&amp;G1104&amp;"|"&amp;H1104,"")</f>
        <v/>
      </c>
      <c r="Y1104" s="21" t="str">
        <f aca="false">IF(B1104="","",IF(B1104&lt;&gt;B1103,1,0))</f>
        <v/>
      </c>
    </row>
    <row r="1105" customFormat="false" ht="15" hidden="false" customHeight="true" outlineLevel="0" collapsed="false">
      <c r="A1105" s="21" t="str">
        <f aca="false">IF(B1105="","",ROW()-4)</f>
        <v/>
      </c>
      <c r="B1105" s="22"/>
      <c r="C1105" s="21" t="str">
        <f aca="false">IF(B1105="","",CHOOSE(WEEKDAY(B1105,2),"LUNES","MARTES","MIÉRCOLES","JUEVES","VIERNES","SÁBADO","DOMINGO"))</f>
        <v/>
      </c>
      <c r="M1105" s="23"/>
      <c r="Q1105" s="21" t="str">
        <f aca="false">IF(OR(K1105="",N1105=""),"",K1105-N1105)</f>
        <v/>
      </c>
      <c r="R1105" s="21" t="str">
        <f aca="false">IF(OR(J1105="",K1105=""),"",J1105*K1105)</f>
        <v/>
      </c>
      <c r="S1105" s="21" t="str">
        <f aca="false">IF(AND(ISNUMBER(J1105),ISNUMBER(K1105),F1105&lt;&gt;"Calentamiento",F1105&lt;&gt;"Bilbo"),IF(AND(K1105&gt;0,K1105&lt;=12),ROUND(J1105*(1+(K1105+IF(ISNUMBER(L1105),L1105,0))/30),1),""),"")</f>
        <v/>
      </c>
      <c r="T1105" s="21" t="str">
        <f aca="false">IF(AND(F1105="Bilbo",ISNUMBER(J1105),ISNUMBER(K1105)),ROUND(J1105*(1+K1105/30),1),"")</f>
        <v/>
      </c>
      <c r="W1105" s="22"/>
      <c r="X1105" s="21" t="str">
        <f aca="false">IF(AND(F1105="Bilbo",E1105&lt;&gt;"",G1105&lt;&gt;"",H1105&lt;&gt;""),E1105&amp;"|"&amp;G1105&amp;"|"&amp;H1105,"")</f>
        <v/>
      </c>
      <c r="Y1105" s="21" t="str">
        <f aca="false">IF(B1105="","",IF(B1105&lt;&gt;B1104,1,0))</f>
        <v/>
      </c>
    </row>
    <row r="1106" customFormat="false" ht="15" hidden="false" customHeight="true" outlineLevel="0" collapsed="false">
      <c r="A1106" s="21" t="str">
        <f aca="false">IF(B1106="","",ROW()-4)</f>
        <v/>
      </c>
      <c r="B1106" s="22"/>
      <c r="C1106" s="21" t="str">
        <f aca="false">IF(B1106="","",CHOOSE(WEEKDAY(B1106,2),"LUNES","MARTES","MIÉRCOLES","JUEVES","VIERNES","SÁBADO","DOMINGO"))</f>
        <v/>
      </c>
      <c r="M1106" s="23"/>
      <c r="Q1106" s="21" t="str">
        <f aca="false">IF(OR(K1106="",N1106=""),"",K1106-N1106)</f>
        <v/>
      </c>
      <c r="R1106" s="21" t="str">
        <f aca="false">IF(OR(J1106="",K1106=""),"",J1106*K1106)</f>
        <v/>
      </c>
      <c r="S1106" s="21" t="str">
        <f aca="false">IF(AND(ISNUMBER(J1106),ISNUMBER(K1106),F1106&lt;&gt;"Calentamiento",F1106&lt;&gt;"Bilbo"),IF(AND(K1106&gt;0,K1106&lt;=12),ROUND(J1106*(1+(K1106+IF(ISNUMBER(L1106),L1106,0))/30),1),""),"")</f>
        <v/>
      </c>
      <c r="T1106" s="21" t="str">
        <f aca="false">IF(AND(F1106="Bilbo",ISNUMBER(J1106),ISNUMBER(K1106)),ROUND(J1106*(1+K1106/30),1),"")</f>
        <v/>
      </c>
      <c r="W1106" s="22"/>
      <c r="X1106" s="21" t="str">
        <f aca="false">IF(AND(F1106="Bilbo",E1106&lt;&gt;"",G1106&lt;&gt;"",H1106&lt;&gt;""),E1106&amp;"|"&amp;G1106&amp;"|"&amp;H1106,"")</f>
        <v/>
      </c>
      <c r="Y1106" s="21" t="str">
        <f aca="false">IF(B1106="","",IF(B1106&lt;&gt;B1105,1,0))</f>
        <v/>
      </c>
    </row>
    <row r="1107" customFormat="false" ht="15" hidden="false" customHeight="true" outlineLevel="0" collapsed="false">
      <c r="A1107" s="21" t="str">
        <f aca="false">IF(B1107="","",ROW()-4)</f>
        <v/>
      </c>
      <c r="B1107" s="22"/>
      <c r="C1107" s="21" t="str">
        <f aca="false">IF(B1107="","",CHOOSE(WEEKDAY(B1107,2),"LUNES","MARTES","MIÉRCOLES","JUEVES","VIERNES","SÁBADO","DOMINGO"))</f>
        <v/>
      </c>
      <c r="M1107" s="23"/>
      <c r="Q1107" s="21" t="str">
        <f aca="false">IF(OR(K1107="",N1107=""),"",K1107-N1107)</f>
        <v/>
      </c>
      <c r="R1107" s="21" t="str">
        <f aca="false">IF(OR(J1107="",K1107=""),"",J1107*K1107)</f>
        <v/>
      </c>
      <c r="S1107" s="21" t="str">
        <f aca="false">IF(AND(ISNUMBER(J1107),ISNUMBER(K1107),F1107&lt;&gt;"Calentamiento",F1107&lt;&gt;"Bilbo"),IF(AND(K1107&gt;0,K1107&lt;=12),ROUND(J1107*(1+(K1107+IF(ISNUMBER(L1107),L1107,0))/30),1),""),"")</f>
        <v/>
      </c>
      <c r="T1107" s="21" t="str">
        <f aca="false">IF(AND(F1107="Bilbo",ISNUMBER(J1107),ISNUMBER(K1107)),ROUND(J1107*(1+K1107/30),1),"")</f>
        <v/>
      </c>
      <c r="W1107" s="22"/>
      <c r="X1107" s="21" t="str">
        <f aca="false">IF(AND(F1107="Bilbo",E1107&lt;&gt;"",G1107&lt;&gt;"",H1107&lt;&gt;""),E1107&amp;"|"&amp;G1107&amp;"|"&amp;H1107,"")</f>
        <v/>
      </c>
      <c r="Y1107" s="21" t="str">
        <f aca="false">IF(B1107="","",IF(B1107&lt;&gt;B1106,1,0))</f>
        <v/>
      </c>
    </row>
    <row r="1108" customFormat="false" ht="15" hidden="false" customHeight="true" outlineLevel="0" collapsed="false">
      <c r="A1108" s="21" t="str">
        <f aca="false">IF(B1108="","",ROW()-4)</f>
        <v/>
      </c>
      <c r="B1108" s="22"/>
      <c r="C1108" s="21" t="str">
        <f aca="false">IF(B1108="","",CHOOSE(WEEKDAY(B1108,2),"LUNES","MARTES","MIÉRCOLES","JUEVES","VIERNES","SÁBADO","DOMINGO"))</f>
        <v/>
      </c>
      <c r="M1108" s="23"/>
      <c r="Q1108" s="21" t="str">
        <f aca="false">IF(OR(K1108="",N1108=""),"",K1108-N1108)</f>
        <v/>
      </c>
      <c r="R1108" s="21" t="str">
        <f aca="false">IF(OR(J1108="",K1108=""),"",J1108*K1108)</f>
        <v/>
      </c>
      <c r="S1108" s="21" t="str">
        <f aca="false">IF(AND(ISNUMBER(J1108),ISNUMBER(K1108),F1108&lt;&gt;"Calentamiento",F1108&lt;&gt;"Bilbo"),IF(AND(K1108&gt;0,K1108&lt;=12),ROUND(J1108*(1+(K1108+IF(ISNUMBER(L1108),L1108,0))/30),1),""),"")</f>
        <v/>
      </c>
      <c r="T1108" s="21" t="str">
        <f aca="false">IF(AND(F1108="Bilbo",ISNUMBER(J1108),ISNUMBER(K1108)),ROUND(J1108*(1+K1108/30),1),"")</f>
        <v/>
      </c>
      <c r="W1108" s="22"/>
      <c r="X1108" s="21" t="str">
        <f aca="false">IF(AND(F1108="Bilbo",E1108&lt;&gt;"",G1108&lt;&gt;"",H1108&lt;&gt;""),E1108&amp;"|"&amp;G1108&amp;"|"&amp;H1108,"")</f>
        <v/>
      </c>
      <c r="Y1108" s="21" t="str">
        <f aca="false">IF(B1108="","",IF(B1108&lt;&gt;B1107,1,0))</f>
        <v/>
      </c>
    </row>
    <row r="1109" customFormat="false" ht="15" hidden="false" customHeight="true" outlineLevel="0" collapsed="false">
      <c r="A1109" s="21" t="str">
        <f aca="false">IF(B1109="","",ROW()-4)</f>
        <v/>
      </c>
      <c r="B1109" s="22"/>
      <c r="C1109" s="21" t="str">
        <f aca="false">IF(B1109="","",CHOOSE(WEEKDAY(B1109,2),"LUNES","MARTES","MIÉRCOLES","JUEVES","VIERNES","SÁBADO","DOMINGO"))</f>
        <v/>
      </c>
      <c r="M1109" s="23"/>
      <c r="Q1109" s="21" t="str">
        <f aca="false">IF(OR(K1109="",N1109=""),"",K1109-N1109)</f>
        <v/>
      </c>
      <c r="R1109" s="21" t="str">
        <f aca="false">IF(OR(J1109="",K1109=""),"",J1109*K1109)</f>
        <v/>
      </c>
      <c r="S1109" s="21" t="str">
        <f aca="false">IF(AND(ISNUMBER(J1109),ISNUMBER(K1109),F1109&lt;&gt;"Calentamiento",F1109&lt;&gt;"Bilbo"),IF(AND(K1109&gt;0,K1109&lt;=12),ROUND(J1109*(1+(K1109+IF(ISNUMBER(L1109),L1109,0))/30),1),""),"")</f>
        <v/>
      </c>
      <c r="T1109" s="21" t="str">
        <f aca="false">IF(AND(F1109="Bilbo",ISNUMBER(J1109),ISNUMBER(K1109)),ROUND(J1109*(1+K1109/30),1),"")</f>
        <v/>
      </c>
      <c r="W1109" s="22"/>
      <c r="X1109" s="21" t="str">
        <f aca="false">IF(AND(F1109="Bilbo",E1109&lt;&gt;"",G1109&lt;&gt;"",H1109&lt;&gt;""),E1109&amp;"|"&amp;G1109&amp;"|"&amp;H1109,"")</f>
        <v/>
      </c>
      <c r="Y1109" s="21" t="str">
        <f aca="false">IF(B1109="","",IF(B1109&lt;&gt;B1108,1,0))</f>
        <v/>
      </c>
    </row>
    <row r="1110" customFormat="false" ht="15" hidden="false" customHeight="true" outlineLevel="0" collapsed="false">
      <c r="A1110" s="21" t="str">
        <f aca="false">IF(B1110="","",ROW()-4)</f>
        <v/>
      </c>
      <c r="B1110" s="22"/>
      <c r="C1110" s="21" t="str">
        <f aca="false">IF(B1110="","",CHOOSE(WEEKDAY(B1110,2),"LUNES","MARTES","MIÉRCOLES","JUEVES","VIERNES","SÁBADO","DOMINGO"))</f>
        <v/>
      </c>
      <c r="M1110" s="23"/>
      <c r="Q1110" s="21" t="str">
        <f aca="false">IF(OR(K1110="",N1110=""),"",K1110-N1110)</f>
        <v/>
      </c>
      <c r="R1110" s="21" t="str">
        <f aca="false">IF(OR(J1110="",K1110=""),"",J1110*K1110)</f>
        <v/>
      </c>
      <c r="S1110" s="21" t="str">
        <f aca="false">IF(AND(ISNUMBER(J1110),ISNUMBER(K1110),F1110&lt;&gt;"Calentamiento",F1110&lt;&gt;"Bilbo"),IF(AND(K1110&gt;0,K1110&lt;=12),ROUND(J1110*(1+(K1110+IF(ISNUMBER(L1110),L1110,0))/30),1),""),"")</f>
        <v/>
      </c>
      <c r="T1110" s="21" t="str">
        <f aca="false">IF(AND(F1110="Bilbo",ISNUMBER(J1110),ISNUMBER(K1110)),ROUND(J1110*(1+K1110/30),1),"")</f>
        <v/>
      </c>
      <c r="W1110" s="22"/>
      <c r="X1110" s="21" t="str">
        <f aca="false">IF(AND(F1110="Bilbo",E1110&lt;&gt;"",G1110&lt;&gt;"",H1110&lt;&gt;""),E1110&amp;"|"&amp;G1110&amp;"|"&amp;H1110,"")</f>
        <v/>
      </c>
      <c r="Y1110" s="21" t="str">
        <f aca="false">IF(B1110="","",IF(B1110&lt;&gt;B1109,1,0))</f>
        <v/>
      </c>
    </row>
    <row r="1111" customFormat="false" ht="15" hidden="false" customHeight="true" outlineLevel="0" collapsed="false">
      <c r="A1111" s="21" t="str">
        <f aca="false">IF(B1111="","",ROW()-4)</f>
        <v/>
      </c>
      <c r="B1111" s="22"/>
      <c r="C1111" s="21" t="str">
        <f aca="false">IF(B1111="","",CHOOSE(WEEKDAY(B1111,2),"LUNES","MARTES","MIÉRCOLES","JUEVES","VIERNES","SÁBADO","DOMINGO"))</f>
        <v/>
      </c>
      <c r="M1111" s="23"/>
      <c r="Q1111" s="21" t="str">
        <f aca="false">IF(OR(K1111="",N1111=""),"",K1111-N1111)</f>
        <v/>
      </c>
      <c r="R1111" s="21" t="str">
        <f aca="false">IF(OR(J1111="",K1111=""),"",J1111*K1111)</f>
        <v/>
      </c>
      <c r="S1111" s="21" t="str">
        <f aca="false">IF(AND(ISNUMBER(J1111),ISNUMBER(K1111),F1111&lt;&gt;"Calentamiento",F1111&lt;&gt;"Bilbo"),IF(AND(K1111&gt;0,K1111&lt;=12),ROUND(J1111*(1+(K1111+IF(ISNUMBER(L1111),L1111,0))/30),1),""),"")</f>
        <v/>
      </c>
      <c r="T1111" s="21" t="str">
        <f aca="false">IF(AND(F1111="Bilbo",ISNUMBER(J1111),ISNUMBER(K1111)),ROUND(J1111*(1+K1111/30),1),"")</f>
        <v/>
      </c>
      <c r="W1111" s="22"/>
      <c r="X1111" s="21" t="str">
        <f aca="false">IF(AND(F1111="Bilbo",E1111&lt;&gt;"",G1111&lt;&gt;"",H1111&lt;&gt;""),E1111&amp;"|"&amp;G1111&amp;"|"&amp;H1111,"")</f>
        <v/>
      </c>
      <c r="Y1111" s="21" t="str">
        <f aca="false">IF(B1111="","",IF(B1111&lt;&gt;B1110,1,0))</f>
        <v/>
      </c>
    </row>
    <row r="1112" customFormat="false" ht="15" hidden="false" customHeight="true" outlineLevel="0" collapsed="false">
      <c r="A1112" s="21" t="str">
        <f aca="false">IF(B1112="","",ROW()-4)</f>
        <v/>
      </c>
      <c r="B1112" s="22"/>
      <c r="C1112" s="21" t="str">
        <f aca="false">IF(B1112="","",CHOOSE(WEEKDAY(B1112,2),"LUNES","MARTES","MIÉRCOLES","JUEVES","VIERNES","SÁBADO","DOMINGO"))</f>
        <v/>
      </c>
      <c r="M1112" s="23"/>
      <c r="Q1112" s="21" t="str">
        <f aca="false">IF(OR(K1112="",N1112=""),"",K1112-N1112)</f>
        <v/>
      </c>
      <c r="R1112" s="21" t="str">
        <f aca="false">IF(OR(J1112="",K1112=""),"",J1112*K1112)</f>
        <v/>
      </c>
      <c r="S1112" s="21" t="str">
        <f aca="false">IF(AND(ISNUMBER(J1112),ISNUMBER(K1112),F1112&lt;&gt;"Calentamiento",F1112&lt;&gt;"Bilbo"),IF(AND(K1112&gt;0,K1112&lt;=12),ROUND(J1112*(1+(K1112+IF(ISNUMBER(L1112),L1112,0))/30),1),""),"")</f>
        <v/>
      </c>
      <c r="T1112" s="21" t="str">
        <f aca="false">IF(AND(F1112="Bilbo",ISNUMBER(J1112),ISNUMBER(K1112)),ROUND(J1112*(1+K1112/30),1),"")</f>
        <v/>
      </c>
      <c r="W1112" s="22"/>
      <c r="X1112" s="21" t="str">
        <f aca="false">IF(AND(F1112="Bilbo",E1112&lt;&gt;"",G1112&lt;&gt;"",H1112&lt;&gt;""),E1112&amp;"|"&amp;G1112&amp;"|"&amp;H1112,"")</f>
        <v/>
      </c>
      <c r="Y1112" s="21" t="str">
        <f aca="false">IF(B1112="","",IF(B1112&lt;&gt;B1111,1,0))</f>
        <v/>
      </c>
    </row>
    <row r="1113" customFormat="false" ht="15" hidden="false" customHeight="true" outlineLevel="0" collapsed="false">
      <c r="A1113" s="21" t="str">
        <f aca="false">IF(B1113="","",ROW()-4)</f>
        <v/>
      </c>
      <c r="B1113" s="22"/>
      <c r="C1113" s="21" t="str">
        <f aca="false">IF(B1113="","",CHOOSE(WEEKDAY(B1113,2),"LUNES","MARTES","MIÉRCOLES","JUEVES","VIERNES","SÁBADO","DOMINGO"))</f>
        <v/>
      </c>
      <c r="M1113" s="23"/>
      <c r="Q1113" s="21" t="str">
        <f aca="false">IF(OR(K1113="",N1113=""),"",K1113-N1113)</f>
        <v/>
      </c>
      <c r="R1113" s="21" t="str">
        <f aca="false">IF(OR(J1113="",K1113=""),"",J1113*K1113)</f>
        <v/>
      </c>
      <c r="S1113" s="21" t="str">
        <f aca="false">IF(AND(ISNUMBER(J1113),ISNUMBER(K1113),F1113&lt;&gt;"Calentamiento",F1113&lt;&gt;"Bilbo"),IF(AND(K1113&gt;0,K1113&lt;=12),ROUND(J1113*(1+(K1113+IF(ISNUMBER(L1113),L1113,0))/30),1),""),"")</f>
        <v/>
      </c>
      <c r="T1113" s="21" t="str">
        <f aca="false">IF(AND(F1113="Bilbo",ISNUMBER(J1113),ISNUMBER(K1113)),ROUND(J1113*(1+K1113/30),1),"")</f>
        <v/>
      </c>
      <c r="W1113" s="22"/>
      <c r="X1113" s="21" t="str">
        <f aca="false">IF(AND(F1113="Bilbo",E1113&lt;&gt;"",G1113&lt;&gt;"",H1113&lt;&gt;""),E1113&amp;"|"&amp;G1113&amp;"|"&amp;H1113,"")</f>
        <v/>
      </c>
      <c r="Y1113" s="21" t="str">
        <f aca="false">IF(B1113="","",IF(B1113&lt;&gt;B1112,1,0))</f>
        <v/>
      </c>
    </row>
    <row r="1114" customFormat="false" ht="15" hidden="false" customHeight="true" outlineLevel="0" collapsed="false">
      <c r="A1114" s="21" t="str">
        <f aca="false">IF(B1114="","",ROW()-4)</f>
        <v/>
      </c>
      <c r="B1114" s="22"/>
      <c r="C1114" s="21" t="str">
        <f aca="false">IF(B1114="","",CHOOSE(WEEKDAY(B1114,2),"LUNES","MARTES","MIÉRCOLES","JUEVES","VIERNES","SÁBADO","DOMINGO"))</f>
        <v/>
      </c>
      <c r="M1114" s="23"/>
      <c r="Q1114" s="21" t="str">
        <f aca="false">IF(OR(K1114="",N1114=""),"",K1114-N1114)</f>
        <v/>
      </c>
      <c r="R1114" s="21" t="str">
        <f aca="false">IF(OR(J1114="",K1114=""),"",J1114*K1114)</f>
        <v/>
      </c>
      <c r="S1114" s="21" t="str">
        <f aca="false">IF(AND(ISNUMBER(J1114),ISNUMBER(K1114),F1114&lt;&gt;"Calentamiento",F1114&lt;&gt;"Bilbo"),IF(AND(K1114&gt;0,K1114&lt;=12),ROUND(J1114*(1+(K1114+IF(ISNUMBER(L1114),L1114,0))/30),1),""),"")</f>
        <v/>
      </c>
      <c r="T1114" s="21" t="str">
        <f aca="false">IF(AND(F1114="Bilbo",ISNUMBER(J1114),ISNUMBER(K1114)),ROUND(J1114*(1+K1114/30),1),"")</f>
        <v/>
      </c>
      <c r="W1114" s="22"/>
      <c r="X1114" s="21" t="str">
        <f aca="false">IF(AND(F1114="Bilbo",E1114&lt;&gt;"",G1114&lt;&gt;"",H1114&lt;&gt;""),E1114&amp;"|"&amp;G1114&amp;"|"&amp;H1114,"")</f>
        <v/>
      </c>
      <c r="Y1114" s="21" t="str">
        <f aca="false">IF(B1114="","",IF(B1114&lt;&gt;B1113,1,0))</f>
        <v/>
      </c>
    </row>
    <row r="1115" customFormat="false" ht="15" hidden="false" customHeight="true" outlineLevel="0" collapsed="false">
      <c r="A1115" s="21" t="str">
        <f aca="false">IF(B1115="","",ROW()-4)</f>
        <v/>
      </c>
      <c r="B1115" s="22"/>
      <c r="C1115" s="21" t="str">
        <f aca="false">IF(B1115="","",CHOOSE(WEEKDAY(B1115,2),"LUNES","MARTES","MIÉRCOLES","JUEVES","VIERNES","SÁBADO","DOMINGO"))</f>
        <v/>
      </c>
      <c r="M1115" s="23"/>
      <c r="Q1115" s="21" t="str">
        <f aca="false">IF(OR(K1115="",N1115=""),"",K1115-N1115)</f>
        <v/>
      </c>
      <c r="R1115" s="21" t="str">
        <f aca="false">IF(OR(J1115="",K1115=""),"",J1115*K1115)</f>
        <v/>
      </c>
      <c r="S1115" s="21" t="str">
        <f aca="false">IF(AND(ISNUMBER(J1115),ISNUMBER(K1115),F1115&lt;&gt;"Calentamiento",F1115&lt;&gt;"Bilbo"),IF(AND(K1115&gt;0,K1115&lt;=12),ROUND(J1115*(1+(K1115+IF(ISNUMBER(L1115),L1115,0))/30),1),""),"")</f>
        <v/>
      </c>
      <c r="T1115" s="21" t="str">
        <f aca="false">IF(AND(F1115="Bilbo",ISNUMBER(J1115),ISNUMBER(K1115)),ROUND(J1115*(1+K1115/30),1),"")</f>
        <v/>
      </c>
      <c r="W1115" s="22"/>
      <c r="X1115" s="21" t="str">
        <f aca="false">IF(AND(F1115="Bilbo",E1115&lt;&gt;"",G1115&lt;&gt;"",H1115&lt;&gt;""),E1115&amp;"|"&amp;G1115&amp;"|"&amp;H1115,"")</f>
        <v/>
      </c>
      <c r="Y1115" s="21" t="str">
        <f aca="false">IF(B1115="","",IF(B1115&lt;&gt;B1114,1,0))</f>
        <v/>
      </c>
    </row>
    <row r="1116" customFormat="false" ht="15" hidden="false" customHeight="true" outlineLevel="0" collapsed="false">
      <c r="A1116" s="21" t="str">
        <f aca="false">IF(B1116="","",ROW()-4)</f>
        <v/>
      </c>
      <c r="B1116" s="22"/>
      <c r="C1116" s="21" t="str">
        <f aca="false">IF(B1116="","",CHOOSE(WEEKDAY(B1116,2),"LUNES","MARTES","MIÉRCOLES","JUEVES","VIERNES","SÁBADO","DOMINGO"))</f>
        <v/>
      </c>
      <c r="M1116" s="23"/>
      <c r="Q1116" s="21" t="str">
        <f aca="false">IF(OR(K1116="",N1116=""),"",K1116-N1116)</f>
        <v/>
      </c>
      <c r="R1116" s="21" t="str">
        <f aca="false">IF(OR(J1116="",K1116=""),"",J1116*K1116)</f>
        <v/>
      </c>
      <c r="S1116" s="21" t="str">
        <f aca="false">IF(AND(ISNUMBER(J1116),ISNUMBER(K1116),F1116&lt;&gt;"Calentamiento",F1116&lt;&gt;"Bilbo"),IF(AND(K1116&gt;0,K1116&lt;=12),ROUND(J1116*(1+(K1116+IF(ISNUMBER(L1116),L1116,0))/30),1),""),"")</f>
        <v/>
      </c>
      <c r="T1116" s="21" t="str">
        <f aca="false">IF(AND(F1116="Bilbo",ISNUMBER(J1116),ISNUMBER(K1116)),ROUND(J1116*(1+K1116/30),1),"")</f>
        <v/>
      </c>
      <c r="W1116" s="22"/>
      <c r="X1116" s="21" t="str">
        <f aca="false">IF(AND(F1116="Bilbo",E1116&lt;&gt;"",G1116&lt;&gt;"",H1116&lt;&gt;""),E1116&amp;"|"&amp;G1116&amp;"|"&amp;H1116,"")</f>
        <v/>
      </c>
      <c r="Y1116" s="21" t="str">
        <f aca="false">IF(B1116="","",IF(B1116&lt;&gt;B1115,1,0))</f>
        <v/>
      </c>
    </row>
    <row r="1117" customFormat="false" ht="15" hidden="false" customHeight="true" outlineLevel="0" collapsed="false">
      <c r="A1117" s="21" t="str">
        <f aca="false">IF(B1117="","",ROW()-4)</f>
        <v/>
      </c>
      <c r="B1117" s="22"/>
      <c r="C1117" s="21" t="str">
        <f aca="false">IF(B1117="","",CHOOSE(WEEKDAY(B1117,2),"LUNES","MARTES","MIÉRCOLES","JUEVES","VIERNES","SÁBADO","DOMINGO"))</f>
        <v/>
      </c>
      <c r="M1117" s="23"/>
      <c r="Q1117" s="21" t="str">
        <f aca="false">IF(OR(K1117="",N1117=""),"",K1117-N1117)</f>
        <v/>
      </c>
      <c r="R1117" s="21" t="str">
        <f aca="false">IF(OR(J1117="",K1117=""),"",J1117*K1117)</f>
        <v/>
      </c>
      <c r="S1117" s="21" t="str">
        <f aca="false">IF(AND(ISNUMBER(J1117),ISNUMBER(K1117),F1117&lt;&gt;"Calentamiento",F1117&lt;&gt;"Bilbo"),IF(AND(K1117&gt;0,K1117&lt;=12),ROUND(J1117*(1+(K1117+IF(ISNUMBER(L1117),L1117,0))/30),1),""),"")</f>
        <v/>
      </c>
      <c r="T1117" s="21" t="str">
        <f aca="false">IF(AND(F1117="Bilbo",ISNUMBER(J1117),ISNUMBER(K1117)),ROUND(J1117*(1+K1117/30),1),"")</f>
        <v/>
      </c>
      <c r="W1117" s="22"/>
      <c r="X1117" s="21" t="str">
        <f aca="false">IF(AND(F1117="Bilbo",E1117&lt;&gt;"",G1117&lt;&gt;"",H1117&lt;&gt;""),E1117&amp;"|"&amp;G1117&amp;"|"&amp;H1117,"")</f>
        <v/>
      </c>
      <c r="Y1117" s="21" t="str">
        <f aca="false">IF(B1117="","",IF(B1117&lt;&gt;B1116,1,0))</f>
        <v/>
      </c>
    </row>
    <row r="1118" customFormat="false" ht="15" hidden="false" customHeight="true" outlineLevel="0" collapsed="false">
      <c r="A1118" s="21" t="str">
        <f aca="false">IF(B1118="","",ROW()-4)</f>
        <v/>
      </c>
      <c r="B1118" s="22"/>
      <c r="C1118" s="21" t="str">
        <f aca="false">IF(B1118="","",CHOOSE(WEEKDAY(B1118,2),"LUNES","MARTES","MIÉRCOLES","JUEVES","VIERNES","SÁBADO","DOMINGO"))</f>
        <v/>
      </c>
      <c r="M1118" s="23"/>
      <c r="Q1118" s="21" t="str">
        <f aca="false">IF(OR(K1118="",N1118=""),"",K1118-N1118)</f>
        <v/>
      </c>
      <c r="R1118" s="21" t="str">
        <f aca="false">IF(OR(J1118="",K1118=""),"",J1118*K1118)</f>
        <v/>
      </c>
      <c r="S1118" s="21" t="str">
        <f aca="false">IF(AND(ISNUMBER(J1118),ISNUMBER(K1118),F1118&lt;&gt;"Calentamiento",F1118&lt;&gt;"Bilbo"),IF(AND(K1118&gt;0,K1118&lt;=12),ROUND(J1118*(1+(K1118+IF(ISNUMBER(L1118),L1118,0))/30),1),""),"")</f>
        <v/>
      </c>
      <c r="T1118" s="21" t="str">
        <f aca="false">IF(AND(F1118="Bilbo",ISNUMBER(J1118),ISNUMBER(K1118)),ROUND(J1118*(1+K1118/30),1),"")</f>
        <v/>
      </c>
      <c r="W1118" s="22"/>
      <c r="X1118" s="21" t="str">
        <f aca="false">IF(AND(F1118="Bilbo",E1118&lt;&gt;"",G1118&lt;&gt;"",H1118&lt;&gt;""),E1118&amp;"|"&amp;G1118&amp;"|"&amp;H1118,"")</f>
        <v/>
      </c>
      <c r="Y1118" s="21" t="str">
        <f aca="false">IF(B1118="","",IF(B1118&lt;&gt;B1117,1,0))</f>
        <v/>
      </c>
    </row>
    <row r="1119" customFormat="false" ht="15" hidden="false" customHeight="true" outlineLevel="0" collapsed="false">
      <c r="A1119" s="21" t="str">
        <f aca="false">IF(B1119="","",ROW()-4)</f>
        <v/>
      </c>
      <c r="B1119" s="22"/>
      <c r="C1119" s="21" t="str">
        <f aca="false">IF(B1119="","",CHOOSE(WEEKDAY(B1119,2),"LUNES","MARTES","MIÉRCOLES","JUEVES","VIERNES","SÁBADO","DOMINGO"))</f>
        <v/>
      </c>
      <c r="M1119" s="23"/>
      <c r="Q1119" s="21" t="str">
        <f aca="false">IF(OR(K1119="",N1119=""),"",K1119-N1119)</f>
        <v/>
      </c>
      <c r="R1119" s="21" t="str">
        <f aca="false">IF(OR(J1119="",K1119=""),"",J1119*K1119)</f>
        <v/>
      </c>
      <c r="S1119" s="21" t="str">
        <f aca="false">IF(AND(ISNUMBER(J1119),ISNUMBER(K1119),F1119&lt;&gt;"Calentamiento",F1119&lt;&gt;"Bilbo"),IF(AND(K1119&gt;0,K1119&lt;=12),ROUND(J1119*(1+(K1119+IF(ISNUMBER(L1119),L1119,0))/30),1),""),"")</f>
        <v/>
      </c>
      <c r="T1119" s="21" t="str">
        <f aca="false">IF(AND(F1119="Bilbo",ISNUMBER(J1119),ISNUMBER(K1119)),ROUND(J1119*(1+K1119/30),1),"")</f>
        <v/>
      </c>
      <c r="W1119" s="22"/>
      <c r="X1119" s="21" t="str">
        <f aca="false">IF(AND(F1119="Bilbo",E1119&lt;&gt;"",G1119&lt;&gt;"",H1119&lt;&gt;""),E1119&amp;"|"&amp;G1119&amp;"|"&amp;H1119,"")</f>
        <v/>
      </c>
      <c r="Y1119" s="21" t="str">
        <f aca="false">IF(B1119="","",IF(B1119&lt;&gt;B1118,1,0))</f>
        <v/>
      </c>
    </row>
    <row r="1120" customFormat="false" ht="15" hidden="false" customHeight="true" outlineLevel="0" collapsed="false">
      <c r="A1120" s="21" t="str">
        <f aca="false">IF(B1120="","",ROW()-4)</f>
        <v/>
      </c>
      <c r="B1120" s="22"/>
      <c r="C1120" s="21" t="str">
        <f aca="false">IF(B1120="","",CHOOSE(WEEKDAY(B1120,2),"LUNES","MARTES","MIÉRCOLES","JUEVES","VIERNES","SÁBADO","DOMINGO"))</f>
        <v/>
      </c>
      <c r="M1120" s="23"/>
      <c r="Q1120" s="21" t="str">
        <f aca="false">IF(OR(K1120="",N1120=""),"",K1120-N1120)</f>
        <v/>
      </c>
      <c r="R1120" s="21" t="str">
        <f aca="false">IF(OR(J1120="",K1120=""),"",J1120*K1120)</f>
        <v/>
      </c>
      <c r="S1120" s="21" t="str">
        <f aca="false">IF(AND(ISNUMBER(J1120),ISNUMBER(K1120),F1120&lt;&gt;"Calentamiento",F1120&lt;&gt;"Bilbo"),IF(AND(K1120&gt;0,K1120&lt;=12),ROUND(J1120*(1+(K1120+IF(ISNUMBER(L1120),L1120,0))/30),1),""),"")</f>
        <v/>
      </c>
      <c r="T1120" s="21" t="str">
        <f aca="false">IF(AND(F1120="Bilbo",ISNUMBER(J1120),ISNUMBER(K1120)),ROUND(J1120*(1+K1120/30),1),"")</f>
        <v/>
      </c>
      <c r="W1120" s="22"/>
      <c r="X1120" s="21" t="str">
        <f aca="false">IF(AND(F1120="Bilbo",E1120&lt;&gt;"",G1120&lt;&gt;"",H1120&lt;&gt;""),E1120&amp;"|"&amp;G1120&amp;"|"&amp;H1120,"")</f>
        <v/>
      </c>
      <c r="Y1120" s="21" t="str">
        <f aca="false">IF(B1120="","",IF(B1120&lt;&gt;B1119,1,0))</f>
        <v/>
      </c>
    </row>
    <row r="1121" customFormat="false" ht="15" hidden="false" customHeight="true" outlineLevel="0" collapsed="false">
      <c r="A1121" s="21" t="str">
        <f aca="false">IF(B1121="","",ROW()-4)</f>
        <v/>
      </c>
      <c r="B1121" s="22"/>
      <c r="C1121" s="21" t="str">
        <f aca="false">IF(B1121="","",CHOOSE(WEEKDAY(B1121,2),"LUNES","MARTES","MIÉRCOLES","JUEVES","VIERNES","SÁBADO","DOMINGO"))</f>
        <v/>
      </c>
      <c r="M1121" s="23"/>
      <c r="Q1121" s="21" t="str">
        <f aca="false">IF(OR(K1121="",N1121=""),"",K1121-N1121)</f>
        <v/>
      </c>
      <c r="R1121" s="21" t="str">
        <f aca="false">IF(OR(J1121="",K1121=""),"",J1121*K1121)</f>
        <v/>
      </c>
      <c r="S1121" s="21" t="str">
        <f aca="false">IF(AND(ISNUMBER(J1121),ISNUMBER(K1121),F1121&lt;&gt;"Calentamiento",F1121&lt;&gt;"Bilbo"),IF(AND(K1121&gt;0,K1121&lt;=12),ROUND(J1121*(1+(K1121+IF(ISNUMBER(L1121),L1121,0))/30),1),""),"")</f>
        <v/>
      </c>
      <c r="T1121" s="21" t="str">
        <f aca="false">IF(AND(F1121="Bilbo",ISNUMBER(J1121),ISNUMBER(K1121)),ROUND(J1121*(1+K1121/30),1),"")</f>
        <v/>
      </c>
      <c r="W1121" s="22"/>
      <c r="X1121" s="21" t="str">
        <f aca="false">IF(AND(F1121="Bilbo",E1121&lt;&gt;"",G1121&lt;&gt;"",H1121&lt;&gt;""),E1121&amp;"|"&amp;G1121&amp;"|"&amp;H1121,"")</f>
        <v/>
      </c>
      <c r="Y1121" s="21" t="str">
        <f aca="false">IF(B1121="","",IF(B1121&lt;&gt;B1120,1,0))</f>
        <v/>
      </c>
    </row>
    <row r="1122" customFormat="false" ht="15" hidden="false" customHeight="true" outlineLevel="0" collapsed="false">
      <c r="A1122" s="21" t="str">
        <f aca="false">IF(B1122="","",ROW()-4)</f>
        <v/>
      </c>
      <c r="B1122" s="22"/>
      <c r="C1122" s="21" t="str">
        <f aca="false">IF(B1122="","",CHOOSE(WEEKDAY(B1122,2),"LUNES","MARTES","MIÉRCOLES","JUEVES","VIERNES","SÁBADO","DOMINGO"))</f>
        <v/>
      </c>
      <c r="M1122" s="23"/>
      <c r="Q1122" s="21" t="str">
        <f aca="false">IF(OR(K1122="",N1122=""),"",K1122-N1122)</f>
        <v/>
      </c>
      <c r="R1122" s="21" t="str">
        <f aca="false">IF(OR(J1122="",K1122=""),"",J1122*K1122)</f>
        <v/>
      </c>
      <c r="S1122" s="21" t="str">
        <f aca="false">IF(AND(ISNUMBER(J1122),ISNUMBER(K1122),F1122&lt;&gt;"Calentamiento",F1122&lt;&gt;"Bilbo"),IF(AND(K1122&gt;0,K1122&lt;=12),ROUND(J1122*(1+(K1122+IF(ISNUMBER(L1122),L1122,0))/30),1),""),"")</f>
        <v/>
      </c>
      <c r="T1122" s="21" t="str">
        <f aca="false">IF(AND(F1122="Bilbo",ISNUMBER(J1122),ISNUMBER(K1122)),ROUND(J1122*(1+K1122/30),1),"")</f>
        <v/>
      </c>
      <c r="W1122" s="22"/>
      <c r="X1122" s="21" t="str">
        <f aca="false">IF(AND(F1122="Bilbo",E1122&lt;&gt;"",G1122&lt;&gt;"",H1122&lt;&gt;""),E1122&amp;"|"&amp;G1122&amp;"|"&amp;H1122,"")</f>
        <v/>
      </c>
      <c r="Y1122" s="21" t="str">
        <f aca="false">IF(B1122="","",IF(B1122&lt;&gt;B1121,1,0))</f>
        <v/>
      </c>
    </row>
    <row r="1123" customFormat="false" ht="15" hidden="false" customHeight="true" outlineLevel="0" collapsed="false">
      <c r="A1123" s="21" t="str">
        <f aca="false">IF(B1123="","",ROW()-4)</f>
        <v/>
      </c>
      <c r="B1123" s="22"/>
      <c r="C1123" s="21" t="str">
        <f aca="false">IF(B1123="","",CHOOSE(WEEKDAY(B1123,2),"LUNES","MARTES","MIÉRCOLES","JUEVES","VIERNES","SÁBADO","DOMINGO"))</f>
        <v/>
      </c>
      <c r="M1123" s="23"/>
      <c r="Q1123" s="21" t="str">
        <f aca="false">IF(OR(K1123="",N1123=""),"",K1123-N1123)</f>
        <v/>
      </c>
      <c r="R1123" s="21" t="str">
        <f aca="false">IF(OR(J1123="",K1123=""),"",J1123*K1123)</f>
        <v/>
      </c>
      <c r="S1123" s="21" t="str">
        <f aca="false">IF(AND(ISNUMBER(J1123),ISNUMBER(K1123),F1123&lt;&gt;"Calentamiento",F1123&lt;&gt;"Bilbo"),IF(AND(K1123&gt;0,K1123&lt;=12),ROUND(J1123*(1+(K1123+IF(ISNUMBER(L1123),L1123,0))/30),1),""),"")</f>
        <v/>
      </c>
      <c r="T1123" s="21" t="str">
        <f aca="false">IF(AND(F1123="Bilbo",ISNUMBER(J1123),ISNUMBER(K1123)),ROUND(J1123*(1+K1123/30),1),"")</f>
        <v/>
      </c>
      <c r="W1123" s="22"/>
      <c r="X1123" s="21" t="str">
        <f aca="false">IF(AND(F1123="Bilbo",E1123&lt;&gt;"",G1123&lt;&gt;"",H1123&lt;&gt;""),E1123&amp;"|"&amp;G1123&amp;"|"&amp;H1123,"")</f>
        <v/>
      </c>
      <c r="Y1123" s="21" t="str">
        <f aca="false">IF(B1123="","",IF(B1123&lt;&gt;B1122,1,0))</f>
        <v/>
      </c>
    </row>
    <row r="1124" customFormat="false" ht="15" hidden="false" customHeight="true" outlineLevel="0" collapsed="false">
      <c r="A1124" s="21" t="str">
        <f aca="false">IF(B1124="","",ROW()-4)</f>
        <v/>
      </c>
      <c r="B1124" s="22"/>
      <c r="C1124" s="21" t="str">
        <f aca="false">IF(B1124="","",CHOOSE(WEEKDAY(B1124,2),"LUNES","MARTES","MIÉRCOLES","JUEVES","VIERNES","SÁBADO","DOMINGO"))</f>
        <v/>
      </c>
      <c r="M1124" s="23"/>
      <c r="Q1124" s="21" t="str">
        <f aca="false">IF(OR(K1124="",N1124=""),"",K1124-N1124)</f>
        <v/>
      </c>
      <c r="R1124" s="21" t="str">
        <f aca="false">IF(OR(J1124="",K1124=""),"",J1124*K1124)</f>
        <v/>
      </c>
      <c r="S1124" s="21" t="str">
        <f aca="false">IF(AND(ISNUMBER(J1124),ISNUMBER(K1124),F1124&lt;&gt;"Calentamiento",F1124&lt;&gt;"Bilbo"),IF(AND(K1124&gt;0,K1124&lt;=12),ROUND(J1124*(1+(K1124+IF(ISNUMBER(L1124),L1124,0))/30),1),""),"")</f>
        <v/>
      </c>
      <c r="T1124" s="21" t="str">
        <f aca="false">IF(AND(F1124="Bilbo",ISNUMBER(J1124),ISNUMBER(K1124)),ROUND(J1124*(1+K1124/30),1),"")</f>
        <v/>
      </c>
      <c r="W1124" s="22"/>
      <c r="X1124" s="21" t="str">
        <f aca="false">IF(AND(F1124="Bilbo",E1124&lt;&gt;"",G1124&lt;&gt;"",H1124&lt;&gt;""),E1124&amp;"|"&amp;G1124&amp;"|"&amp;H1124,"")</f>
        <v/>
      </c>
      <c r="Y1124" s="21" t="str">
        <f aca="false">IF(B1124="","",IF(B1124&lt;&gt;B1123,1,0))</f>
        <v/>
      </c>
    </row>
    <row r="1125" customFormat="false" ht="15" hidden="false" customHeight="true" outlineLevel="0" collapsed="false">
      <c r="A1125" s="21" t="str">
        <f aca="false">IF(B1125="","",ROW()-4)</f>
        <v/>
      </c>
      <c r="B1125" s="22"/>
      <c r="C1125" s="21" t="str">
        <f aca="false">IF(B1125="","",CHOOSE(WEEKDAY(B1125,2),"LUNES","MARTES","MIÉRCOLES","JUEVES","VIERNES","SÁBADO","DOMINGO"))</f>
        <v/>
      </c>
      <c r="M1125" s="23"/>
      <c r="Q1125" s="21" t="str">
        <f aca="false">IF(OR(K1125="",N1125=""),"",K1125-N1125)</f>
        <v/>
      </c>
      <c r="R1125" s="21" t="str">
        <f aca="false">IF(OR(J1125="",K1125=""),"",J1125*K1125)</f>
        <v/>
      </c>
      <c r="S1125" s="21" t="str">
        <f aca="false">IF(AND(ISNUMBER(J1125),ISNUMBER(K1125),F1125&lt;&gt;"Calentamiento",F1125&lt;&gt;"Bilbo"),IF(AND(K1125&gt;0,K1125&lt;=12),ROUND(J1125*(1+(K1125+IF(ISNUMBER(L1125),L1125,0))/30),1),""),"")</f>
        <v/>
      </c>
      <c r="T1125" s="21" t="str">
        <f aca="false">IF(AND(F1125="Bilbo",ISNUMBER(J1125),ISNUMBER(K1125)),ROUND(J1125*(1+K1125/30),1),"")</f>
        <v/>
      </c>
      <c r="W1125" s="22"/>
      <c r="X1125" s="21" t="str">
        <f aca="false">IF(AND(F1125="Bilbo",E1125&lt;&gt;"",G1125&lt;&gt;"",H1125&lt;&gt;""),E1125&amp;"|"&amp;G1125&amp;"|"&amp;H1125,"")</f>
        <v/>
      </c>
      <c r="Y1125" s="21" t="str">
        <f aca="false">IF(B1125="","",IF(B1125&lt;&gt;B1124,1,0))</f>
        <v/>
      </c>
    </row>
    <row r="1126" customFormat="false" ht="15" hidden="false" customHeight="true" outlineLevel="0" collapsed="false">
      <c r="A1126" s="21" t="str">
        <f aca="false">IF(B1126="","",ROW()-4)</f>
        <v/>
      </c>
      <c r="B1126" s="22"/>
      <c r="C1126" s="21" t="str">
        <f aca="false">IF(B1126="","",CHOOSE(WEEKDAY(B1126,2),"LUNES","MARTES","MIÉRCOLES","JUEVES","VIERNES","SÁBADO","DOMINGO"))</f>
        <v/>
      </c>
      <c r="M1126" s="23"/>
      <c r="Q1126" s="21" t="str">
        <f aca="false">IF(OR(K1126="",N1126=""),"",K1126-N1126)</f>
        <v/>
      </c>
      <c r="R1126" s="21" t="str">
        <f aca="false">IF(OR(J1126="",K1126=""),"",J1126*K1126)</f>
        <v/>
      </c>
      <c r="S1126" s="21" t="str">
        <f aca="false">IF(AND(ISNUMBER(J1126),ISNUMBER(K1126),F1126&lt;&gt;"Calentamiento",F1126&lt;&gt;"Bilbo"),IF(AND(K1126&gt;0,K1126&lt;=12),ROUND(J1126*(1+(K1126+IF(ISNUMBER(L1126),L1126,0))/30),1),""),"")</f>
        <v/>
      </c>
      <c r="T1126" s="21" t="str">
        <f aca="false">IF(AND(F1126="Bilbo",ISNUMBER(J1126),ISNUMBER(K1126)),ROUND(J1126*(1+K1126/30),1),"")</f>
        <v/>
      </c>
      <c r="W1126" s="22"/>
      <c r="X1126" s="21" t="str">
        <f aca="false">IF(AND(F1126="Bilbo",E1126&lt;&gt;"",G1126&lt;&gt;"",H1126&lt;&gt;""),E1126&amp;"|"&amp;G1126&amp;"|"&amp;H1126,"")</f>
        <v/>
      </c>
      <c r="Y1126" s="21" t="str">
        <f aca="false">IF(B1126="","",IF(B1126&lt;&gt;B1125,1,0))</f>
        <v/>
      </c>
    </row>
    <row r="1127" customFormat="false" ht="15" hidden="false" customHeight="true" outlineLevel="0" collapsed="false">
      <c r="A1127" s="21" t="str">
        <f aca="false">IF(B1127="","",ROW()-4)</f>
        <v/>
      </c>
      <c r="B1127" s="22"/>
      <c r="C1127" s="21" t="str">
        <f aca="false">IF(B1127="","",CHOOSE(WEEKDAY(B1127,2),"LUNES","MARTES","MIÉRCOLES","JUEVES","VIERNES","SÁBADO","DOMINGO"))</f>
        <v/>
      </c>
      <c r="M1127" s="23"/>
      <c r="Q1127" s="21" t="str">
        <f aca="false">IF(OR(K1127="",N1127=""),"",K1127-N1127)</f>
        <v/>
      </c>
      <c r="R1127" s="21" t="str">
        <f aca="false">IF(OR(J1127="",K1127=""),"",J1127*K1127)</f>
        <v/>
      </c>
      <c r="S1127" s="21" t="str">
        <f aca="false">IF(AND(ISNUMBER(J1127),ISNUMBER(K1127),F1127&lt;&gt;"Calentamiento",F1127&lt;&gt;"Bilbo"),IF(AND(K1127&gt;0,K1127&lt;=12),ROUND(J1127*(1+(K1127+IF(ISNUMBER(L1127),L1127,0))/30),1),""),"")</f>
        <v/>
      </c>
      <c r="T1127" s="21" t="str">
        <f aca="false">IF(AND(F1127="Bilbo",ISNUMBER(J1127),ISNUMBER(K1127)),ROUND(J1127*(1+K1127/30),1),"")</f>
        <v/>
      </c>
      <c r="W1127" s="22"/>
      <c r="X1127" s="21" t="str">
        <f aca="false">IF(AND(F1127="Bilbo",E1127&lt;&gt;"",G1127&lt;&gt;"",H1127&lt;&gt;""),E1127&amp;"|"&amp;G1127&amp;"|"&amp;H1127,"")</f>
        <v/>
      </c>
      <c r="Y1127" s="21" t="str">
        <f aca="false">IF(B1127="","",IF(B1127&lt;&gt;B1126,1,0))</f>
        <v/>
      </c>
    </row>
    <row r="1128" customFormat="false" ht="15" hidden="false" customHeight="true" outlineLevel="0" collapsed="false">
      <c r="A1128" s="21" t="str">
        <f aca="false">IF(B1128="","",ROW()-4)</f>
        <v/>
      </c>
      <c r="B1128" s="22"/>
      <c r="C1128" s="21" t="str">
        <f aca="false">IF(B1128="","",CHOOSE(WEEKDAY(B1128,2),"LUNES","MARTES","MIÉRCOLES","JUEVES","VIERNES","SÁBADO","DOMINGO"))</f>
        <v/>
      </c>
      <c r="M1128" s="23"/>
      <c r="Q1128" s="21" t="str">
        <f aca="false">IF(OR(K1128="",N1128=""),"",K1128-N1128)</f>
        <v/>
      </c>
      <c r="R1128" s="21" t="str">
        <f aca="false">IF(OR(J1128="",K1128=""),"",J1128*K1128)</f>
        <v/>
      </c>
      <c r="S1128" s="21" t="str">
        <f aca="false">IF(AND(ISNUMBER(J1128),ISNUMBER(K1128),F1128&lt;&gt;"Calentamiento",F1128&lt;&gt;"Bilbo"),IF(AND(K1128&gt;0,K1128&lt;=12),ROUND(J1128*(1+(K1128+IF(ISNUMBER(L1128),L1128,0))/30),1),""),"")</f>
        <v/>
      </c>
      <c r="T1128" s="21" t="str">
        <f aca="false">IF(AND(F1128="Bilbo",ISNUMBER(J1128),ISNUMBER(K1128)),ROUND(J1128*(1+K1128/30),1),"")</f>
        <v/>
      </c>
      <c r="W1128" s="22"/>
      <c r="X1128" s="21" t="str">
        <f aca="false">IF(AND(F1128="Bilbo",E1128&lt;&gt;"",G1128&lt;&gt;"",H1128&lt;&gt;""),E1128&amp;"|"&amp;G1128&amp;"|"&amp;H1128,"")</f>
        <v/>
      </c>
      <c r="Y1128" s="21" t="str">
        <f aca="false">IF(B1128="","",IF(B1128&lt;&gt;B1127,1,0))</f>
        <v/>
      </c>
    </row>
    <row r="1129" customFormat="false" ht="15" hidden="false" customHeight="true" outlineLevel="0" collapsed="false">
      <c r="A1129" s="21" t="str">
        <f aca="false">IF(B1129="","",ROW()-4)</f>
        <v/>
      </c>
      <c r="B1129" s="22"/>
      <c r="C1129" s="21" t="str">
        <f aca="false">IF(B1129="","",CHOOSE(WEEKDAY(B1129,2),"LUNES","MARTES","MIÉRCOLES","JUEVES","VIERNES","SÁBADO","DOMINGO"))</f>
        <v/>
      </c>
      <c r="M1129" s="23"/>
      <c r="Q1129" s="21" t="str">
        <f aca="false">IF(OR(K1129="",N1129=""),"",K1129-N1129)</f>
        <v/>
      </c>
      <c r="R1129" s="21" t="str">
        <f aca="false">IF(OR(J1129="",K1129=""),"",J1129*K1129)</f>
        <v/>
      </c>
      <c r="S1129" s="21" t="str">
        <f aca="false">IF(AND(ISNUMBER(J1129),ISNUMBER(K1129),F1129&lt;&gt;"Calentamiento",F1129&lt;&gt;"Bilbo"),IF(AND(K1129&gt;0,K1129&lt;=12),ROUND(J1129*(1+(K1129+IF(ISNUMBER(L1129),L1129,0))/30),1),""),"")</f>
        <v/>
      </c>
      <c r="T1129" s="21" t="str">
        <f aca="false">IF(AND(F1129="Bilbo",ISNUMBER(J1129),ISNUMBER(K1129)),ROUND(J1129*(1+K1129/30),1),"")</f>
        <v/>
      </c>
      <c r="W1129" s="22"/>
      <c r="X1129" s="21" t="str">
        <f aca="false">IF(AND(F1129="Bilbo",E1129&lt;&gt;"",G1129&lt;&gt;"",H1129&lt;&gt;""),E1129&amp;"|"&amp;G1129&amp;"|"&amp;H1129,"")</f>
        <v/>
      </c>
      <c r="Y1129" s="21" t="str">
        <f aca="false">IF(B1129="","",IF(B1129&lt;&gt;B1128,1,0))</f>
        <v/>
      </c>
    </row>
    <row r="1130" customFormat="false" ht="15" hidden="false" customHeight="true" outlineLevel="0" collapsed="false">
      <c r="A1130" s="21" t="str">
        <f aca="false">IF(B1130="","",ROW()-4)</f>
        <v/>
      </c>
      <c r="B1130" s="22"/>
      <c r="C1130" s="21" t="str">
        <f aca="false">IF(B1130="","",CHOOSE(WEEKDAY(B1130,2),"LUNES","MARTES","MIÉRCOLES","JUEVES","VIERNES","SÁBADO","DOMINGO"))</f>
        <v/>
      </c>
      <c r="M1130" s="23"/>
      <c r="Q1130" s="21" t="str">
        <f aca="false">IF(OR(K1130="",N1130=""),"",K1130-N1130)</f>
        <v/>
      </c>
      <c r="R1130" s="21" t="str">
        <f aca="false">IF(OR(J1130="",K1130=""),"",J1130*K1130)</f>
        <v/>
      </c>
      <c r="S1130" s="21" t="str">
        <f aca="false">IF(AND(ISNUMBER(J1130),ISNUMBER(K1130),F1130&lt;&gt;"Calentamiento",F1130&lt;&gt;"Bilbo"),IF(AND(K1130&gt;0,K1130&lt;=12),ROUND(J1130*(1+(K1130+IF(ISNUMBER(L1130),L1130,0))/30),1),""),"")</f>
        <v/>
      </c>
      <c r="T1130" s="21" t="str">
        <f aca="false">IF(AND(F1130="Bilbo",ISNUMBER(J1130),ISNUMBER(K1130)),ROUND(J1130*(1+K1130/30),1),"")</f>
        <v/>
      </c>
      <c r="W1130" s="22"/>
      <c r="X1130" s="21" t="str">
        <f aca="false">IF(AND(F1130="Bilbo",E1130&lt;&gt;"",G1130&lt;&gt;"",H1130&lt;&gt;""),E1130&amp;"|"&amp;G1130&amp;"|"&amp;H1130,"")</f>
        <v/>
      </c>
      <c r="Y1130" s="21" t="str">
        <f aca="false">IF(B1130="","",IF(B1130&lt;&gt;B1129,1,0))</f>
        <v/>
      </c>
    </row>
    <row r="1131" customFormat="false" ht="15" hidden="false" customHeight="true" outlineLevel="0" collapsed="false">
      <c r="A1131" s="21" t="str">
        <f aca="false">IF(B1131="","",ROW()-4)</f>
        <v/>
      </c>
      <c r="B1131" s="22"/>
      <c r="C1131" s="21" t="str">
        <f aca="false">IF(B1131="","",CHOOSE(WEEKDAY(B1131,2),"LUNES","MARTES","MIÉRCOLES","JUEVES","VIERNES","SÁBADO","DOMINGO"))</f>
        <v/>
      </c>
      <c r="M1131" s="23"/>
      <c r="Q1131" s="21" t="str">
        <f aca="false">IF(OR(K1131="",N1131=""),"",K1131-N1131)</f>
        <v/>
      </c>
      <c r="R1131" s="21" t="str">
        <f aca="false">IF(OR(J1131="",K1131=""),"",J1131*K1131)</f>
        <v/>
      </c>
      <c r="S1131" s="21" t="str">
        <f aca="false">IF(AND(ISNUMBER(J1131),ISNUMBER(K1131),F1131&lt;&gt;"Calentamiento",F1131&lt;&gt;"Bilbo"),IF(AND(K1131&gt;0,K1131&lt;=12),ROUND(J1131*(1+(K1131+IF(ISNUMBER(L1131),L1131,0))/30),1),""),"")</f>
        <v/>
      </c>
      <c r="T1131" s="21" t="str">
        <f aca="false">IF(AND(F1131="Bilbo",ISNUMBER(J1131),ISNUMBER(K1131)),ROUND(J1131*(1+K1131/30),1),"")</f>
        <v/>
      </c>
      <c r="W1131" s="22"/>
      <c r="X1131" s="21" t="str">
        <f aca="false">IF(AND(F1131="Bilbo",E1131&lt;&gt;"",G1131&lt;&gt;"",H1131&lt;&gt;""),E1131&amp;"|"&amp;G1131&amp;"|"&amp;H1131,"")</f>
        <v/>
      </c>
      <c r="Y1131" s="21" t="str">
        <f aca="false">IF(B1131="","",IF(B1131&lt;&gt;B1130,1,0))</f>
        <v/>
      </c>
    </row>
    <row r="1132" customFormat="false" ht="15" hidden="false" customHeight="true" outlineLevel="0" collapsed="false">
      <c r="A1132" s="21" t="str">
        <f aca="false">IF(B1132="","",ROW()-4)</f>
        <v/>
      </c>
      <c r="B1132" s="22"/>
      <c r="C1132" s="21" t="str">
        <f aca="false">IF(B1132="","",CHOOSE(WEEKDAY(B1132,2),"LUNES","MARTES","MIÉRCOLES","JUEVES","VIERNES","SÁBADO","DOMINGO"))</f>
        <v/>
      </c>
      <c r="M1132" s="23"/>
      <c r="Q1132" s="21" t="str">
        <f aca="false">IF(OR(K1132="",N1132=""),"",K1132-N1132)</f>
        <v/>
      </c>
      <c r="R1132" s="21" t="str">
        <f aca="false">IF(OR(J1132="",K1132=""),"",J1132*K1132)</f>
        <v/>
      </c>
      <c r="S1132" s="21" t="str">
        <f aca="false">IF(AND(ISNUMBER(J1132),ISNUMBER(K1132),F1132&lt;&gt;"Calentamiento",F1132&lt;&gt;"Bilbo"),IF(AND(K1132&gt;0,K1132&lt;=12),ROUND(J1132*(1+(K1132+IF(ISNUMBER(L1132),L1132,0))/30),1),""),"")</f>
        <v/>
      </c>
      <c r="T1132" s="21" t="str">
        <f aca="false">IF(AND(F1132="Bilbo",ISNUMBER(J1132),ISNUMBER(K1132)),ROUND(J1132*(1+K1132/30),1),"")</f>
        <v/>
      </c>
      <c r="W1132" s="22"/>
      <c r="X1132" s="21" t="str">
        <f aca="false">IF(AND(F1132="Bilbo",E1132&lt;&gt;"",G1132&lt;&gt;"",H1132&lt;&gt;""),E1132&amp;"|"&amp;G1132&amp;"|"&amp;H1132,"")</f>
        <v/>
      </c>
      <c r="Y1132" s="21" t="str">
        <f aca="false">IF(B1132="","",IF(B1132&lt;&gt;B1131,1,0))</f>
        <v/>
      </c>
    </row>
    <row r="1133" customFormat="false" ht="15" hidden="false" customHeight="true" outlineLevel="0" collapsed="false">
      <c r="A1133" s="21" t="str">
        <f aca="false">IF(B1133="","",ROW()-4)</f>
        <v/>
      </c>
      <c r="B1133" s="22"/>
      <c r="C1133" s="21" t="str">
        <f aca="false">IF(B1133="","",CHOOSE(WEEKDAY(B1133,2),"LUNES","MARTES","MIÉRCOLES","JUEVES","VIERNES","SÁBADO","DOMINGO"))</f>
        <v/>
      </c>
      <c r="M1133" s="23"/>
      <c r="Q1133" s="21" t="str">
        <f aca="false">IF(OR(K1133="",N1133=""),"",K1133-N1133)</f>
        <v/>
      </c>
      <c r="R1133" s="21" t="str">
        <f aca="false">IF(OR(J1133="",K1133=""),"",J1133*K1133)</f>
        <v/>
      </c>
      <c r="S1133" s="21" t="str">
        <f aca="false">IF(AND(ISNUMBER(J1133),ISNUMBER(K1133),F1133&lt;&gt;"Calentamiento",F1133&lt;&gt;"Bilbo"),IF(AND(K1133&gt;0,K1133&lt;=12),ROUND(J1133*(1+(K1133+IF(ISNUMBER(L1133),L1133,0))/30),1),""),"")</f>
        <v/>
      </c>
      <c r="T1133" s="21" t="str">
        <f aca="false">IF(AND(F1133="Bilbo",ISNUMBER(J1133),ISNUMBER(K1133)),ROUND(J1133*(1+K1133/30),1),"")</f>
        <v/>
      </c>
      <c r="W1133" s="22"/>
      <c r="X1133" s="21" t="str">
        <f aca="false">IF(AND(F1133="Bilbo",E1133&lt;&gt;"",G1133&lt;&gt;"",H1133&lt;&gt;""),E1133&amp;"|"&amp;G1133&amp;"|"&amp;H1133,"")</f>
        <v/>
      </c>
      <c r="Y1133" s="21" t="str">
        <f aca="false">IF(B1133="","",IF(B1133&lt;&gt;B1132,1,0))</f>
        <v/>
      </c>
    </row>
    <row r="1134" customFormat="false" ht="15" hidden="false" customHeight="true" outlineLevel="0" collapsed="false">
      <c r="A1134" s="21" t="str">
        <f aca="false">IF(B1134="","",ROW()-4)</f>
        <v/>
      </c>
      <c r="B1134" s="22"/>
      <c r="C1134" s="21" t="str">
        <f aca="false">IF(B1134="","",CHOOSE(WEEKDAY(B1134,2),"LUNES","MARTES","MIÉRCOLES","JUEVES","VIERNES","SÁBADO","DOMINGO"))</f>
        <v/>
      </c>
      <c r="M1134" s="23"/>
      <c r="Q1134" s="21" t="str">
        <f aca="false">IF(OR(K1134="",N1134=""),"",K1134-N1134)</f>
        <v/>
      </c>
      <c r="R1134" s="21" t="str">
        <f aca="false">IF(OR(J1134="",K1134=""),"",J1134*K1134)</f>
        <v/>
      </c>
      <c r="S1134" s="21" t="str">
        <f aca="false">IF(AND(ISNUMBER(J1134),ISNUMBER(K1134),F1134&lt;&gt;"Calentamiento",F1134&lt;&gt;"Bilbo"),IF(AND(K1134&gt;0,K1134&lt;=12),ROUND(J1134*(1+(K1134+IF(ISNUMBER(L1134),L1134,0))/30),1),""),"")</f>
        <v/>
      </c>
      <c r="T1134" s="21" t="str">
        <f aca="false">IF(AND(F1134="Bilbo",ISNUMBER(J1134),ISNUMBER(K1134)),ROUND(J1134*(1+K1134/30),1),"")</f>
        <v/>
      </c>
      <c r="W1134" s="22"/>
      <c r="X1134" s="21" t="str">
        <f aca="false">IF(AND(F1134="Bilbo",E1134&lt;&gt;"",G1134&lt;&gt;"",H1134&lt;&gt;""),E1134&amp;"|"&amp;G1134&amp;"|"&amp;H1134,"")</f>
        <v/>
      </c>
      <c r="Y1134" s="21" t="str">
        <f aca="false">IF(B1134="","",IF(B1134&lt;&gt;B1133,1,0))</f>
        <v/>
      </c>
    </row>
    <row r="1135" customFormat="false" ht="15" hidden="false" customHeight="true" outlineLevel="0" collapsed="false">
      <c r="A1135" s="21" t="str">
        <f aca="false">IF(B1135="","",ROW()-4)</f>
        <v/>
      </c>
      <c r="B1135" s="22"/>
      <c r="C1135" s="21" t="str">
        <f aca="false">IF(B1135="","",CHOOSE(WEEKDAY(B1135,2),"LUNES","MARTES","MIÉRCOLES","JUEVES","VIERNES","SÁBADO","DOMINGO"))</f>
        <v/>
      </c>
      <c r="M1135" s="23"/>
      <c r="Q1135" s="21" t="str">
        <f aca="false">IF(OR(K1135="",N1135=""),"",K1135-N1135)</f>
        <v/>
      </c>
      <c r="R1135" s="21" t="str">
        <f aca="false">IF(OR(J1135="",K1135=""),"",J1135*K1135)</f>
        <v/>
      </c>
      <c r="S1135" s="21" t="str">
        <f aca="false">IF(AND(ISNUMBER(J1135),ISNUMBER(K1135),F1135&lt;&gt;"Calentamiento",F1135&lt;&gt;"Bilbo"),IF(AND(K1135&gt;0,K1135&lt;=12),ROUND(J1135*(1+(K1135+IF(ISNUMBER(L1135),L1135,0))/30),1),""),"")</f>
        <v/>
      </c>
      <c r="T1135" s="21" t="str">
        <f aca="false">IF(AND(F1135="Bilbo",ISNUMBER(J1135),ISNUMBER(K1135)),ROUND(J1135*(1+K1135/30),1),"")</f>
        <v/>
      </c>
      <c r="W1135" s="22"/>
      <c r="X1135" s="21" t="str">
        <f aca="false">IF(AND(F1135="Bilbo",E1135&lt;&gt;"",G1135&lt;&gt;"",H1135&lt;&gt;""),E1135&amp;"|"&amp;G1135&amp;"|"&amp;H1135,"")</f>
        <v/>
      </c>
      <c r="Y1135" s="21" t="str">
        <f aca="false">IF(B1135="","",IF(B1135&lt;&gt;B1134,1,0))</f>
        <v/>
      </c>
    </row>
    <row r="1136" customFormat="false" ht="15" hidden="false" customHeight="true" outlineLevel="0" collapsed="false">
      <c r="A1136" s="21" t="str">
        <f aca="false">IF(B1136="","",ROW()-4)</f>
        <v/>
      </c>
      <c r="B1136" s="22"/>
      <c r="C1136" s="21" t="str">
        <f aca="false">IF(B1136="","",CHOOSE(WEEKDAY(B1136,2),"LUNES","MARTES","MIÉRCOLES","JUEVES","VIERNES","SÁBADO","DOMINGO"))</f>
        <v/>
      </c>
      <c r="M1136" s="23"/>
      <c r="Q1136" s="21" t="str">
        <f aca="false">IF(OR(K1136="",N1136=""),"",K1136-N1136)</f>
        <v/>
      </c>
      <c r="R1136" s="21" t="str">
        <f aca="false">IF(OR(J1136="",K1136=""),"",J1136*K1136)</f>
        <v/>
      </c>
      <c r="S1136" s="21" t="str">
        <f aca="false">IF(AND(ISNUMBER(J1136),ISNUMBER(K1136),F1136&lt;&gt;"Calentamiento",F1136&lt;&gt;"Bilbo"),IF(AND(K1136&gt;0,K1136&lt;=12),ROUND(J1136*(1+(K1136+IF(ISNUMBER(L1136),L1136,0))/30),1),""),"")</f>
        <v/>
      </c>
      <c r="T1136" s="21" t="str">
        <f aca="false">IF(AND(F1136="Bilbo",ISNUMBER(J1136),ISNUMBER(K1136)),ROUND(J1136*(1+K1136/30),1),"")</f>
        <v/>
      </c>
      <c r="W1136" s="22"/>
      <c r="X1136" s="21" t="str">
        <f aca="false">IF(AND(F1136="Bilbo",E1136&lt;&gt;"",G1136&lt;&gt;"",H1136&lt;&gt;""),E1136&amp;"|"&amp;G1136&amp;"|"&amp;H1136,"")</f>
        <v/>
      </c>
      <c r="Y1136" s="21" t="str">
        <f aca="false">IF(B1136="","",IF(B1136&lt;&gt;B1135,1,0))</f>
        <v/>
      </c>
    </row>
    <row r="1137" customFormat="false" ht="15" hidden="false" customHeight="true" outlineLevel="0" collapsed="false">
      <c r="A1137" s="21" t="str">
        <f aca="false">IF(B1137="","",ROW()-4)</f>
        <v/>
      </c>
      <c r="B1137" s="22"/>
      <c r="C1137" s="21" t="str">
        <f aca="false">IF(B1137="","",CHOOSE(WEEKDAY(B1137,2),"LUNES","MARTES","MIÉRCOLES","JUEVES","VIERNES","SÁBADO","DOMINGO"))</f>
        <v/>
      </c>
      <c r="M1137" s="23"/>
      <c r="Q1137" s="21" t="str">
        <f aca="false">IF(OR(K1137="",N1137=""),"",K1137-N1137)</f>
        <v/>
      </c>
      <c r="R1137" s="21" t="str">
        <f aca="false">IF(OR(J1137="",K1137=""),"",J1137*K1137)</f>
        <v/>
      </c>
      <c r="S1137" s="21" t="str">
        <f aca="false">IF(AND(ISNUMBER(J1137),ISNUMBER(K1137),F1137&lt;&gt;"Calentamiento",F1137&lt;&gt;"Bilbo"),IF(AND(K1137&gt;0,K1137&lt;=12),ROUND(J1137*(1+(K1137+IF(ISNUMBER(L1137),L1137,0))/30),1),""),"")</f>
        <v/>
      </c>
      <c r="T1137" s="21" t="str">
        <f aca="false">IF(AND(F1137="Bilbo",ISNUMBER(J1137),ISNUMBER(K1137)),ROUND(J1137*(1+K1137/30),1),"")</f>
        <v/>
      </c>
      <c r="W1137" s="22"/>
      <c r="X1137" s="21" t="str">
        <f aca="false">IF(AND(F1137="Bilbo",E1137&lt;&gt;"",G1137&lt;&gt;"",H1137&lt;&gt;""),E1137&amp;"|"&amp;G1137&amp;"|"&amp;H1137,"")</f>
        <v/>
      </c>
      <c r="Y1137" s="21" t="str">
        <f aca="false">IF(B1137="","",IF(B1137&lt;&gt;B1136,1,0))</f>
        <v/>
      </c>
    </row>
    <row r="1138" customFormat="false" ht="15" hidden="false" customHeight="true" outlineLevel="0" collapsed="false">
      <c r="A1138" s="21" t="str">
        <f aca="false">IF(B1138="","",ROW()-4)</f>
        <v/>
      </c>
      <c r="B1138" s="22"/>
      <c r="C1138" s="21" t="str">
        <f aca="false">IF(B1138="","",CHOOSE(WEEKDAY(B1138,2),"LUNES","MARTES","MIÉRCOLES","JUEVES","VIERNES","SÁBADO","DOMINGO"))</f>
        <v/>
      </c>
      <c r="M1138" s="23"/>
      <c r="Q1138" s="21" t="str">
        <f aca="false">IF(OR(K1138="",N1138=""),"",K1138-N1138)</f>
        <v/>
      </c>
      <c r="R1138" s="21" t="str">
        <f aca="false">IF(OR(J1138="",K1138=""),"",J1138*K1138)</f>
        <v/>
      </c>
      <c r="S1138" s="21" t="str">
        <f aca="false">IF(AND(ISNUMBER(J1138),ISNUMBER(K1138),F1138&lt;&gt;"Calentamiento",F1138&lt;&gt;"Bilbo"),IF(AND(K1138&gt;0,K1138&lt;=12),ROUND(J1138*(1+(K1138+IF(ISNUMBER(L1138),L1138,0))/30),1),""),"")</f>
        <v/>
      </c>
      <c r="T1138" s="21" t="str">
        <f aca="false">IF(AND(F1138="Bilbo",ISNUMBER(J1138),ISNUMBER(K1138)),ROUND(J1138*(1+K1138/30),1),"")</f>
        <v/>
      </c>
      <c r="W1138" s="22"/>
      <c r="X1138" s="21" t="str">
        <f aca="false">IF(AND(F1138="Bilbo",E1138&lt;&gt;"",G1138&lt;&gt;"",H1138&lt;&gt;""),E1138&amp;"|"&amp;G1138&amp;"|"&amp;H1138,"")</f>
        <v/>
      </c>
      <c r="Y1138" s="21" t="str">
        <f aca="false">IF(B1138="","",IF(B1138&lt;&gt;B1137,1,0))</f>
        <v/>
      </c>
    </row>
    <row r="1139" customFormat="false" ht="15" hidden="false" customHeight="true" outlineLevel="0" collapsed="false">
      <c r="A1139" s="21" t="str">
        <f aca="false">IF(B1139="","",ROW()-4)</f>
        <v/>
      </c>
      <c r="B1139" s="22"/>
      <c r="C1139" s="21" t="str">
        <f aca="false">IF(B1139="","",CHOOSE(WEEKDAY(B1139,2),"LUNES","MARTES","MIÉRCOLES","JUEVES","VIERNES","SÁBADO","DOMINGO"))</f>
        <v/>
      </c>
      <c r="M1139" s="23"/>
      <c r="Q1139" s="21" t="str">
        <f aca="false">IF(OR(K1139="",N1139=""),"",K1139-N1139)</f>
        <v/>
      </c>
      <c r="R1139" s="21" t="str">
        <f aca="false">IF(OR(J1139="",K1139=""),"",J1139*K1139)</f>
        <v/>
      </c>
      <c r="S1139" s="21" t="str">
        <f aca="false">IF(AND(ISNUMBER(J1139),ISNUMBER(K1139),F1139&lt;&gt;"Calentamiento",F1139&lt;&gt;"Bilbo"),IF(AND(K1139&gt;0,K1139&lt;=12),ROUND(J1139*(1+(K1139+IF(ISNUMBER(L1139),L1139,0))/30),1),""),"")</f>
        <v/>
      </c>
      <c r="T1139" s="21" t="str">
        <f aca="false">IF(AND(F1139="Bilbo",ISNUMBER(J1139),ISNUMBER(K1139)),ROUND(J1139*(1+K1139/30),1),"")</f>
        <v/>
      </c>
      <c r="W1139" s="22"/>
      <c r="X1139" s="21" t="str">
        <f aca="false">IF(AND(F1139="Bilbo",E1139&lt;&gt;"",G1139&lt;&gt;"",H1139&lt;&gt;""),E1139&amp;"|"&amp;G1139&amp;"|"&amp;H1139,"")</f>
        <v/>
      </c>
      <c r="Y1139" s="21" t="str">
        <f aca="false">IF(B1139="","",IF(B1139&lt;&gt;B1138,1,0))</f>
        <v/>
      </c>
    </row>
    <row r="1140" customFormat="false" ht="15" hidden="false" customHeight="true" outlineLevel="0" collapsed="false">
      <c r="A1140" s="21" t="str">
        <f aca="false">IF(B1140="","",ROW()-4)</f>
        <v/>
      </c>
      <c r="B1140" s="22"/>
      <c r="C1140" s="21" t="str">
        <f aca="false">IF(B1140="","",CHOOSE(WEEKDAY(B1140,2),"LUNES","MARTES","MIÉRCOLES","JUEVES","VIERNES","SÁBADO","DOMINGO"))</f>
        <v/>
      </c>
      <c r="M1140" s="23"/>
      <c r="Q1140" s="21" t="str">
        <f aca="false">IF(OR(K1140="",N1140=""),"",K1140-N1140)</f>
        <v/>
      </c>
      <c r="R1140" s="21" t="str">
        <f aca="false">IF(OR(J1140="",K1140=""),"",J1140*K1140)</f>
        <v/>
      </c>
      <c r="S1140" s="21" t="str">
        <f aca="false">IF(AND(ISNUMBER(J1140),ISNUMBER(K1140),F1140&lt;&gt;"Calentamiento",F1140&lt;&gt;"Bilbo"),IF(AND(K1140&gt;0,K1140&lt;=12),ROUND(J1140*(1+(K1140+IF(ISNUMBER(L1140),L1140,0))/30),1),""),"")</f>
        <v/>
      </c>
      <c r="T1140" s="21" t="str">
        <f aca="false">IF(AND(F1140="Bilbo",ISNUMBER(J1140),ISNUMBER(K1140)),ROUND(J1140*(1+K1140/30),1),"")</f>
        <v/>
      </c>
      <c r="W1140" s="22"/>
      <c r="X1140" s="21" t="str">
        <f aca="false">IF(AND(F1140="Bilbo",E1140&lt;&gt;"",G1140&lt;&gt;"",H1140&lt;&gt;""),E1140&amp;"|"&amp;G1140&amp;"|"&amp;H1140,"")</f>
        <v/>
      </c>
      <c r="Y1140" s="21" t="str">
        <f aca="false">IF(B1140="","",IF(B1140&lt;&gt;B1139,1,0))</f>
        <v/>
      </c>
    </row>
    <row r="1141" customFormat="false" ht="15" hidden="false" customHeight="true" outlineLevel="0" collapsed="false">
      <c r="A1141" s="21" t="str">
        <f aca="false">IF(B1141="","",ROW()-4)</f>
        <v/>
      </c>
      <c r="B1141" s="22"/>
      <c r="C1141" s="21" t="str">
        <f aca="false">IF(B1141="","",CHOOSE(WEEKDAY(B1141,2),"LUNES","MARTES","MIÉRCOLES","JUEVES","VIERNES","SÁBADO","DOMINGO"))</f>
        <v/>
      </c>
      <c r="M1141" s="23"/>
      <c r="Q1141" s="21" t="str">
        <f aca="false">IF(OR(K1141="",N1141=""),"",K1141-N1141)</f>
        <v/>
      </c>
      <c r="R1141" s="21" t="str">
        <f aca="false">IF(OR(J1141="",K1141=""),"",J1141*K1141)</f>
        <v/>
      </c>
      <c r="S1141" s="21" t="str">
        <f aca="false">IF(AND(ISNUMBER(J1141),ISNUMBER(K1141),F1141&lt;&gt;"Calentamiento",F1141&lt;&gt;"Bilbo"),IF(AND(K1141&gt;0,K1141&lt;=12),ROUND(J1141*(1+(K1141+IF(ISNUMBER(L1141),L1141,0))/30),1),""),"")</f>
        <v/>
      </c>
      <c r="T1141" s="21" t="str">
        <f aca="false">IF(AND(F1141="Bilbo",ISNUMBER(J1141),ISNUMBER(K1141)),ROUND(J1141*(1+K1141/30),1),"")</f>
        <v/>
      </c>
      <c r="W1141" s="22"/>
      <c r="X1141" s="21" t="str">
        <f aca="false">IF(AND(F1141="Bilbo",E1141&lt;&gt;"",G1141&lt;&gt;"",H1141&lt;&gt;""),E1141&amp;"|"&amp;G1141&amp;"|"&amp;H1141,"")</f>
        <v/>
      </c>
      <c r="Y1141" s="21" t="str">
        <f aca="false">IF(B1141="","",IF(B1141&lt;&gt;B1140,1,0))</f>
        <v/>
      </c>
    </row>
    <row r="1142" customFormat="false" ht="15" hidden="false" customHeight="true" outlineLevel="0" collapsed="false">
      <c r="A1142" s="21" t="str">
        <f aca="false">IF(B1142="","",ROW()-4)</f>
        <v/>
      </c>
      <c r="B1142" s="22"/>
      <c r="C1142" s="21" t="str">
        <f aca="false">IF(B1142="","",CHOOSE(WEEKDAY(B1142,2),"LUNES","MARTES","MIÉRCOLES","JUEVES","VIERNES","SÁBADO","DOMINGO"))</f>
        <v/>
      </c>
      <c r="M1142" s="23"/>
      <c r="Q1142" s="21" t="str">
        <f aca="false">IF(OR(K1142="",N1142=""),"",K1142-N1142)</f>
        <v/>
      </c>
      <c r="R1142" s="21" t="str">
        <f aca="false">IF(OR(J1142="",K1142=""),"",J1142*K1142)</f>
        <v/>
      </c>
      <c r="S1142" s="21" t="str">
        <f aca="false">IF(AND(ISNUMBER(J1142),ISNUMBER(K1142),F1142&lt;&gt;"Calentamiento",F1142&lt;&gt;"Bilbo"),IF(AND(K1142&gt;0,K1142&lt;=12),ROUND(J1142*(1+(K1142+IF(ISNUMBER(L1142),L1142,0))/30),1),""),"")</f>
        <v/>
      </c>
      <c r="T1142" s="21" t="str">
        <f aca="false">IF(AND(F1142="Bilbo",ISNUMBER(J1142),ISNUMBER(K1142)),ROUND(J1142*(1+K1142/30),1),"")</f>
        <v/>
      </c>
      <c r="W1142" s="22"/>
      <c r="X1142" s="21" t="str">
        <f aca="false">IF(AND(F1142="Bilbo",E1142&lt;&gt;"",G1142&lt;&gt;"",H1142&lt;&gt;""),E1142&amp;"|"&amp;G1142&amp;"|"&amp;H1142,"")</f>
        <v/>
      </c>
      <c r="Y1142" s="21" t="str">
        <f aca="false">IF(B1142="","",IF(B1142&lt;&gt;B1141,1,0))</f>
        <v/>
      </c>
    </row>
    <row r="1143" customFormat="false" ht="15" hidden="false" customHeight="true" outlineLevel="0" collapsed="false">
      <c r="A1143" s="21" t="str">
        <f aca="false">IF(B1143="","",ROW()-4)</f>
        <v/>
      </c>
      <c r="B1143" s="22"/>
      <c r="C1143" s="21" t="str">
        <f aca="false">IF(B1143="","",CHOOSE(WEEKDAY(B1143,2),"LUNES","MARTES","MIÉRCOLES","JUEVES","VIERNES","SÁBADO","DOMINGO"))</f>
        <v/>
      </c>
      <c r="M1143" s="23"/>
      <c r="Q1143" s="21" t="str">
        <f aca="false">IF(OR(K1143="",N1143=""),"",K1143-N1143)</f>
        <v/>
      </c>
      <c r="R1143" s="21" t="str">
        <f aca="false">IF(OR(J1143="",K1143=""),"",J1143*K1143)</f>
        <v/>
      </c>
      <c r="S1143" s="21" t="str">
        <f aca="false">IF(AND(ISNUMBER(J1143),ISNUMBER(K1143),F1143&lt;&gt;"Calentamiento",F1143&lt;&gt;"Bilbo"),IF(AND(K1143&gt;0,K1143&lt;=12),ROUND(J1143*(1+(K1143+IF(ISNUMBER(L1143),L1143,0))/30),1),""),"")</f>
        <v/>
      </c>
      <c r="T1143" s="21" t="str">
        <f aca="false">IF(AND(F1143="Bilbo",ISNUMBER(J1143),ISNUMBER(K1143)),ROUND(J1143*(1+K1143/30),1),"")</f>
        <v/>
      </c>
      <c r="W1143" s="22"/>
      <c r="X1143" s="21" t="str">
        <f aca="false">IF(AND(F1143="Bilbo",E1143&lt;&gt;"",G1143&lt;&gt;"",H1143&lt;&gt;""),E1143&amp;"|"&amp;G1143&amp;"|"&amp;H1143,"")</f>
        <v/>
      </c>
      <c r="Y1143" s="21" t="str">
        <f aca="false">IF(B1143="","",IF(B1143&lt;&gt;B1142,1,0))</f>
        <v/>
      </c>
    </row>
    <row r="1144" customFormat="false" ht="15" hidden="false" customHeight="true" outlineLevel="0" collapsed="false">
      <c r="A1144" s="21" t="str">
        <f aca="false">IF(B1144="","",ROW()-4)</f>
        <v/>
      </c>
      <c r="B1144" s="22"/>
      <c r="C1144" s="21" t="str">
        <f aca="false">IF(B1144="","",CHOOSE(WEEKDAY(B1144,2),"LUNES","MARTES","MIÉRCOLES","JUEVES","VIERNES","SÁBADO","DOMINGO"))</f>
        <v/>
      </c>
      <c r="M1144" s="23"/>
      <c r="Q1144" s="21" t="str">
        <f aca="false">IF(OR(K1144="",N1144=""),"",K1144-N1144)</f>
        <v/>
      </c>
      <c r="R1144" s="21" t="str">
        <f aca="false">IF(OR(J1144="",K1144=""),"",J1144*K1144)</f>
        <v/>
      </c>
      <c r="S1144" s="21" t="str">
        <f aca="false">IF(AND(ISNUMBER(J1144),ISNUMBER(K1144),F1144&lt;&gt;"Calentamiento",F1144&lt;&gt;"Bilbo"),IF(AND(K1144&gt;0,K1144&lt;=12),ROUND(J1144*(1+(K1144+IF(ISNUMBER(L1144),L1144,0))/30),1),""),"")</f>
        <v/>
      </c>
      <c r="T1144" s="21" t="str">
        <f aca="false">IF(AND(F1144="Bilbo",ISNUMBER(J1144),ISNUMBER(K1144)),ROUND(J1144*(1+K1144/30),1),"")</f>
        <v/>
      </c>
      <c r="W1144" s="22"/>
      <c r="X1144" s="21" t="str">
        <f aca="false">IF(AND(F1144="Bilbo",E1144&lt;&gt;"",G1144&lt;&gt;"",H1144&lt;&gt;""),E1144&amp;"|"&amp;G1144&amp;"|"&amp;H1144,"")</f>
        <v/>
      </c>
      <c r="Y1144" s="21" t="str">
        <f aca="false">IF(B1144="","",IF(B1144&lt;&gt;B1143,1,0))</f>
        <v/>
      </c>
    </row>
    <row r="1145" customFormat="false" ht="15" hidden="false" customHeight="true" outlineLevel="0" collapsed="false">
      <c r="A1145" s="21" t="str">
        <f aca="false">IF(B1145="","",ROW()-4)</f>
        <v/>
      </c>
      <c r="B1145" s="22"/>
      <c r="C1145" s="21" t="str">
        <f aca="false">IF(B1145="","",CHOOSE(WEEKDAY(B1145,2),"LUNES","MARTES","MIÉRCOLES","JUEVES","VIERNES","SÁBADO","DOMINGO"))</f>
        <v/>
      </c>
      <c r="M1145" s="23"/>
      <c r="Q1145" s="21" t="str">
        <f aca="false">IF(OR(K1145="",N1145=""),"",K1145-N1145)</f>
        <v/>
      </c>
      <c r="R1145" s="21" t="str">
        <f aca="false">IF(OR(J1145="",K1145=""),"",J1145*K1145)</f>
        <v/>
      </c>
      <c r="S1145" s="21" t="str">
        <f aca="false">IF(AND(ISNUMBER(J1145),ISNUMBER(K1145),F1145&lt;&gt;"Calentamiento",F1145&lt;&gt;"Bilbo"),IF(AND(K1145&gt;0,K1145&lt;=12),ROUND(J1145*(1+(K1145+IF(ISNUMBER(L1145),L1145,0))/30),1),""),"")</f>
        <v/>
      </c>
      <c r="T1145" s="21" t="str">
        <f aca="false">IF(AND(F1145="Bilbo",ISNUMBER(J1145),ISNUMBER(K1145)),ROUND(J1145*(1+K1145/30),1),"")</f>
        <v/>
      </c>
      <c r="W1145" s="22"/>
      <c r="X1145" s="21" t="str">
        <f aca="false">IF(AND(F1145="Bilbo",E1145&lt;&gt;"",G1145&lt;&gt;"",H1145&lt;&gt;""),E1145&amp;"|"&amp;G1145&amp;"|"&amp;H1145,"")</f>
        <v/>
      </c>
      <c r="Y1145" s="21" t="str">
        <f aca="false">IF(B1145="","",IF(B1145&lt;&gt;B1144,1,0))</f>
        <v/>
      </c>
    </row>
    <row r="1146" customFormat="false" ht="15" hidden="false" customHeight="true" outlineLevel="0" collapsed="false">
      <c r="A1146" s="21" t="str">
        <f aca="false">IF(B1146="","",ROW()-4)</f>
        <v/>
      </c>
      <c r="B1146" s="22"/>
      <c r="C1146" s="21" t="str">
        <f aca="false">IF(B1146="","",CHOOSE(WEEKDAY(B1146,2),"LUNES","MARTES","MIÉRCOLES","JUEVES","VIERNES","SÁBADO","DOMINGO"))</f>
        <v/>
      </c>
      <c r="M1146" s="23"/>
      <c r="Q1146" s="21" t="str">
        <f aca="false">IF(OR(K1146="",N1146=""),"",K1146-N1146)</f>
        <v/>
      </c>
      <c r="R1146" s="21" t="str">
        <f aca="false">IF(OR(J1146="",K1146=""),"",J1146*K1146)</f>
        <v/>
      </c>
      <c r="S1146" s="21" t="str">
        <f aca="false">IF(AND(ISNUMBER(J1146),ISNUMBER(K1146),F1146&lt;&gt;"Calentamiento",F1146&lt;&gt;"Bilbo"),IF(AND(K1146&gt;0,K1146&lt;=12),ROUND(J1146*(1+(K1146+IF(ISNUMBER(L1146),L1146,0))/30),1),""),"")</f>
        <v/>
      </c>
      <c r="T1146" s="21" t="str">
        <f aca="false">IF(AND(F1146="Bilbo",ISNUMBER(J1146),ISNUMBER(K1146)),ROUND(J1146*(1+K1146/30),1),"")</f>
        <v/>
      </c>
      <c r="W1146" s="22"/>
      <c r="X1146" s="21" t="str">
        <f aca="false">IF(AND(F1146="Bilbo",E1146&lt;&gt;"",G1146&lt;&gt;"",H1146&lt;&gt;""),E1146&amp;"|"&amp;G1146&amp;"|"&amp;H1146,"")</f>
        <v/>
      </c>
      <c r="Y1146" s="21" t="str">
        <f aca="false">IF(B1146="","",IF(B1146&lt;&gt;B1145,1,0))</f>
        <v/>
      </c>
    </row>
    <row r="1147" customFormat="false" ht="15" hidden="false" customHeight="true" outlineLevel="0" collapsed="false">
      <c r="A1147" s="21" t="str">
        <f aca="false">IF(B1147="","",ROW()-4)</f>
        <v/>
      </c>
      <c r="B1147" s="22"/>
      <c r="C1147" s="21" t="str">
        <f aca="false">IF(B1147="","",CHOOSE(WEEKDAY(B1147,2),"LUNES","MARTES","MIÉRCOLES","JUEVES","VIERNES","SÁBADO","DOMINGO"))</f>
        <v/>
      </c>
      <c r="M1147" s="23"/>
      <c r="Q1147" s="21" t="str">
        <f aca="false">IF(OR(K1147="",N1147=""),"",K1147-N1147)</f>
        <v/>
      </c>
      <c r="R1147" s="21" t="str">
        <f aca="false">IF(OR(J1147="",K1147=""),"",J1147*K1147)</f>
        <v/>
      </c>
      <c r="S1147" s="21" t="str">
        <f aca="false">IF(AND(ISNUMBER(J1147),ISNUMBER(K1147),F1147&lt;&gt;"Calentamiento",F1147&lt;&gt;"Bilbo"),IF(AND(K1147&gt;0,K1147&lt;=12),ROUND(J1147*(1+(K1147+IF(ISNUMBER(L1147),L1147,0))/30),1),""),"")</f>
        <v/>
      </c>
      <c r="T1147" s="21" t="str">
        <f aca="false">IF(AND(F1147="Bilbo",ISNUMBER(J1147),ISNUMBER(K1147)),ROUND(J1147*(1+K1147/30),1),"")</f>
        <v/>
      </c>
      <c r="W1147" s="22"/>
      <c r="X1147" s="21" t="str">
        <f aca="false">IF(AND(F1147="Bilbo",E1147&lt;&gt;"",G1147&lt;&gt;"",H1147&lt;&gt;""),E1147&amp;"|"&amp;G1147&amp;"|"&amp;H1147,"")</f>
        <v/>
      </c>
      <c r="Y1147" s="21" t="str">
        <f aca="false">IF(B1147="","",IF(B1147&lt;&gt;B1146,1,0))</f>
        <v/>
      </c>
    </row>
    <row r="1148" customFormat="false" ht="15" hidden="false" customHeight="true" outlineLevel="0" collapsed="false">
      <c r="A1148" s="21" t="str">
        <f aca="false">IF(B1148="","",ROW()-4)</f>
        <v/>
      </c>
      <c r="B1148" s="22"/>
      <c r="C1148" s="21" t="str">
        <f aca="false">IF(B1148="","",CHOOSE(WEEKDAY(B1148,2),"LUNES","MARTES","MIÉRCOLES","JUEVES","VIERNES","SÁBADO","DOMINGO"))</f>
        <v/>
      </c>
      <c r="M1148" s="23"/>
      <c r="Q1148" s="21" t="str">
        <f aca="false">IF(OR(K1148="",N1148=""),"",K1148-N1148)</f>
        <v/>
      </c>
      <c r="R1148" s="21" t="str">
        <f aca="false">IF(OR(J1148="",K1148=""),"",J1148*K1148)</f>
        <v/>
      </c>
      <c r="S1148" s="21" t="str">
        <f aca="false">IF(AND(ISNUMBER(J1148),ISNUMBER(K1148),F1148&lt;&gt;"Calentamiento",F1148&lt;&gt;"Bilbo"),IF(AND(K1148&gt;0,K1148&lt;=12),ROUND(J1148*(1+(K1148+IF(ISNUMBER(L1148),L1148,0))/30),1),""),"")</f>
        <v/>
      </c>
      <c r="T1148" s="21" t="str">
        <f aca="false">IF(AND(F1148="Bilbo",ISNUMBER(J1148),ISNUMBER(K1148)),ROUND(J1148*(1+K1148/30),1),"")</f>
        <v/>
      </c>
      <c r="W1148" s="22"/>
      <c r="X1148" s="21" t="str">
        <f aca="false">IF(AND(F1148="Bilbo",E1148&lt;&gt;"",G1148&lt;&gt;"",H1148&lt;&gt;""),E1148&amp;"|"&amp;G1148&amp;"|"&amp;H1148,"")</f>
        <v/>
      </c>
      <c r="Y1148" s="21" t="str">
        <f aca="false">IF(B1148="","",IF(B1148&lt;&gt;B1147,1,0))</f>
        <v/>
      </c>
    </row>
    <row r="1149" customFormat="false" ht="15" hidden="false" customHeight="true" outlineLevel="0" collapsed="false">
      <c r="A1149" s="21" t="str">
        <f aca="false">IF(B1149="","",ROW()-4)</f>
        <v/>
      </c>
      <c r="B1149" s="22"/>
      <c r="C1149" s="21" t="str">
        <f aca="false">IF(B1149="","",CHOOSE(WEEKDAY(B1149,2),"LUNES","MARTES","MIÉRCOLES","JUEVES","VIERNES","SÁBADO","DOMINGO"))</f>
        <v/>
      </c>
      <c r="M1149" s="23"/>
      <c r="Q1149" s="21" t="str">
        <f aca="false">IF(OR(K1149="",N1149=""),"",K1149-N1149)</f>
        <v/>
      </c>
      <c r="R1149" s="21" t="str">
        <f aca="false">IF(OR(J1149="",K1149=""),"",J1149*K1149)</f>
        <v/>
      </c>
      <c r="S1149" s="21" t="str">
        <f aca="false">IF(AND(ISNUMBER(J1149),ISNUMBER(K1149),F1149&lt;&gt;"Calentamiento",F1149&lt;&gt;"Bilbo"),IF(AND(K1149&gt;0,K1149&lt;=12),ROUND(J1149*(1+(K1149+IF(ISNUMBER(L1149),L1149,0))/30),1),""),"")</f>
        <v/>
      </c>
      <c r="T1149" s="21" t="str">
        <f aca="false">IF(AND(F1149="Bilbo",ISNUMBER(J1149),ISNUMBER(K1149)),ROUND(J1149*(1+K1149/30),1),"")</f>
        <v/>
      </c>
      <c r="W1149" s="22"/>
      <c r="X1149" s="21" t="str">
        <f aca="false">IF(AND(F1149="Bilbo",E1149&lt;&gt;"",G1149&lt;&gt;"",H1149&lt;&gt;""),E1149&amp;"|"&amp;G1149&amp;"|"&amp;H1149,"")</f>
        <v/>
      </c>
      <c r="Y1149" s="21" t="str">
        <f aca="false">IF(B1149="","",IF(B1149&lt;&gt;B1148,1,0))</f>
        <v/>
      </c>
    </row>
    <row r="1150" customFormat="false" ht="15" hidden="false" customHeight="true" outlineLevel="0" collapsed="false">
      <c r="A1150" s="21" t="str">
        <f aca="false">IF(B1150="","",ROW()-4)</f>
        <v/>
      </c>
      <c r="B1150" s="22"/>
      <c r="C1150" s="21" t="str">
        <f aca="false">IF(B1150="","",CHOOSE(WEEKDAY(B1150,2),"LUNES","MARTES","MIÉRCOLES","JUEVES","VIERNES","SÁBADO","DOMINGO"))</f>
        <v/>
      </c>
      <c r="M1150" s="23"/>
      <c r="Q1150" s="21" t="str">
        <f aca="false">IF(OR(K1150="",N1150=""),"",K1150-N1150)</f>
        <v/>
      </c>
      <c r="R1150" s="21" t="str">
        <f aca="false">IF(OR(J1150="",K1150=""),"",J1150*K1150)</f>
        <v/>
      </c>
      <c r="S1150" s="21" t="str">
        <f aca="false">IF(AND(ISNUMBER(J1150),ISNUMBER(K1150),F1150&lt;&gt;"Calentamiento",F1150&lt;&gt;"Bilbo"),IF(AND(K1150&gt;0,K1150&lt;=12),ROUND(J1150*(1+(K1150+IF(ISNUMBER(L1150),L1150,0))/30),1),""),"")</f>
        <v/>
      </c>
      <c r="T1150" s="21" t="str">
        <f aca="false">IF(AND(F1150="Bilbo",ISNUMBER(J1150),ISNUMBER(K1150)),ROUND(J1150*(1+K1150/30),1),"")</f>
        <v/>
      </c>
      <c r="W1150" s="22"/>
      <c r="X1150" s="21" t="str">
        <f aca="false">IF(AND(F1150="Bilbo",E1150&lt;&gt;"",G1150&lt;&gt;"",H1150&lt;&gt;""),E1150&amp;"|"&amp;G1150&amp;"|"&amp;H1150,"")</f>
        <v/>
      </c>
      <c r="Y1150" s="21" t="str">
        <f aca="false">IF(B1150="","",IF(B1150&lt;&gt;B1149,1,0))</f>
        <v/>
      </c>
    </row>
    <row r="1151" customFormat="false" ht="15" hidden="false" customHeight="true" outlineLevel="0" collapsed="false">
      <c r="A1151" s="21" t="str">
        <f aca="false">IF(B1151="","",ROW()-4)</f>
        <v/>
      </c>
      <c r="B1151" s="22"/>
      <c r="C1151" s="21" t="str">
        <f aca="false">IF(B1151="","",CHOOSE(WEEKDAY(B1151,2),"LUNES","MARTES","MIÉRCOLES","JUEVES","VIERNES","SÁBADO","DOMINGO"))</f>
        <v/>
      </c>
      <c r="M1151" s="23"/>
      <c r="Q1151" s="21" t="str">
        <f aca="false">IF(OR(K1151="",N1151=""),"",K1151-N1151)</f>
        <v/>
      </c>
      <c r="R1151" s="21" t="str">
        <f aca="false">IF(OR(J1151="",K1151=""),"",J1151*K1151)</f>
        <v/>
      </c>
      <c r="S1151" s="21" t="str">
        <f aca="false">IF(AND(ISNUMBER(J1151),ISNUMBER(K1151),F1151&lt;&gt;"Calentamiento",F1151&lt;&gt;"Bilbo"),IF(AND(K1151&gt;0,K1151&lt;=12),ROUND(J1151*(1+(K1151+IF(ISNUMBER(L1151),L1151,0))/30),1),""),"")</f>
        <v/>
      </c>
      <c r="T1151" s="21" t="str">
        <f aca="false">IF(AND(F1151="Bilbo",ISNUMBER(J1151),ISNUMBER(K1151)),ROUND(J1151*(1+K1151/30),1),"")</f>
        <v/>
      </c>
      <c r="W1151" s="22"/>
      <c r="X1151" s="21" t="str">
        <f aca="false">IF(AND(F1151="Bilbo",E1151&lt;&gt;"",G1151&lt;&gt;"",H1151&lt;&gt;""),E1151&amp;"|"&amp;G1151&amp;"|"&amp;H1151,"")</f>
        <v/>
      </c>
      <c r="Y1151" s="21" t="str">
        <f aca="false">IF(B1151="","",IF(B1151&lt;&gt;B1150,1,0))</f>
        <v/>
      </c>
    </row>
    <row r="1152" customFormat="false" ht="15" hidden="false" customHeight="true" outlineLevel="0" collapsed="false">
      <c r="A1152" s="21" t="str">
        <f aca="false">IF(B1152="","",ROW()-4)</f>
        <v/>
      </c>
      <c r="B1152" s="22"/>
      <c r="C1152" s="21" t="str">
        <f aca="false">IF(B1152="","",CHOOSE(WEEKDAY(B1152,2),"LUNES","MARTES","MIÉRCOLES","JUEVES","VIERNES","SÁBADO","DOMINGO"))</f>
        <v/>
      </c>
      <c r="M1152" s="23"/>
      <c r="Q1152" s="21" t="str">
        <f aca="false">IF(OR(K1152="",N1152=""),"",K1152-N1152)</f>
        <v/>
      </c>
      <c r="R1152" s="21" t="str">
        <f aca="false">IF(OR(J1152="",K1152=""),"",J1152*K1152)</f>
        <v/>
      </c>
      <c r="S1152" s="21" t="str">
        <f aca="false">IF(AND(ISNUMBER(J1152),ISNUMBER(K1152),F1152&lt;&gt;"Calentamiento",F1152&lt;&gt;"Bilbo"),IF(AND(K1152&gt;0,K1152&lt;=12),ROUND(J1152*(1+(K1152+IF(ISNUMBER(L1152),L1152,0))/30),1),""),"")</f>
        <v/>
      </c>
      <c r="T1152" s="21" t="str">
        <f aca="false">IF(AND(F1152="Bilbo",ISNUMBER(J1152),ISNUMBER(K1152)),ROUND(J1152*(1+K1152/30),1),"")</f>
        <v/>
      </c>
      <c r="W1152" s="22"/>
      <c r="X1152" s="21" t="str">
        <f aca="false">IF(AND(F1152="Bilbo",E1152&lt;&gt;"",G1152&lt;&gt;"",H1152&lt;&gt;""),E1152&amp;"|"&amp;G1152&amp;"|"&amp;H1152,"")</f>
        <v/>
      </c>
      <c r="Y1152" s="21" t="str">
        <f aca="false">IF(B1152="","",IF(B1152&lt;&gt;B1151,1,0))</f>
        <v/>
      </c>
    </row>
    <row r="1153" customFormat="false" ht="15" hidden="false" customHeight="true" outlineLevel="0" collapsed="false">
      <c r="A1153" s="21" t="str">
        <f aca="false">IF(B1153="","",ROW()-4)</f>
        <v/>
      </c>
      <c r="B1153" s="22"/>
      <c r="C1153" s="21" t="str">
        <f aca="false">IF(B1153="","",CHOOSE(WEEKDAY(B1153,2),"LUNES","MARTES","MIÉRCOLES","JUEVES","VIERNES","SÁBADO","DOMINGO"))</f>
        <v/>
      </c>
      <c r="M1153" s="23"/>
      <c r="Q1153" s="21" t="str">
        <f aca="false">IF(OR(K1153="",N1153=""),"",K1153-N1153)</f>
        <v/>
      </c>
      <c r="R1153" s="21" t="str">
        <f aca="false">IF(OR(J1153="",K1153=""),"",J1153*K1153)</f>
        <v/>
      </c>
      <c r="S1153" s="21" t="str">
        <f aca="false">IF(AND(ISNUMBER(J1153),ISNUMBER(K1153),F1153&lt;&gt;"Calentamiento",F1153&lt;&gt;"Bilbo"),IF(AND(K1153&gt;0,K1153&lt;=12),ROUND(J1153*(1+(K1153+IF(ISNUMBER(L1153),L1153,0))/30),1),""),"")</f>
        <v/>
      </c>
      <c r="T1153" s="21" t="str">
        <f aca="false">IF(AND(F1153="Bilbo",ISNUMBER(J1153),ISNUMBER(K1153)),ROUND(J1153*(1+K1153/30),1),"")</f>
        <v/>
      </c>
      <c r="W1153" s="22"/>
      <c r="X1153" s="21" t="str">
        <f aca="false">IF(AND(F1153="Bilbo",E1153&lt;&gt;"",G1153&lt;&gt;"",H1153&lt;&gt;""),E1153&amp;"|"&amp;G1153&amp;"|"&amp;H1153,"")</f>
        <v/>
      </c>
      <c r="Y1153" s="21" t="str">
        <f aca="false">IF(B1153="","",IF(B1153&lt;&gt;B1152,1,0))</f>
        <v/>
      </c>
    </row>
    <row r="1154" customFormat="false" ht="15" hidden="false" customHeight="true" outlineLevel="0" collapsed="false">
      <c r="A1154" s="21" t="str">
        <f aca="false">IF(B1154="","",ROW()-4)</f>
        <v/>
      </c>
      <c r="B1154" s="22"/>
      <c r="C1154" s="21" t="str">
        <f aca="false">IF(B1154="","",CHOOSE(WEEKDAY(B1154,2),"LUNES","MARTES","MIÉRCOLES","JUEVES","VIERNES","SÁBADO","DOMINGO"))</f>
        <v/>
      </c>
      <c r="M1154" s="23"/>
      <c r="Q1154" s="21" t="str">
        <f aca="false">IF(OR(K1154="",N1154=""),"",K1154-N1154)</f>
        <v/>
      </c>
      <c r="R1154" s="21" t="str">
        <f aca="false">IF(OR(J1154="",K1154=""),"",J1154*K1154)</f>
        <v/>
      </c>
      <c r="S1154" s="21" t="str">
        <f aca="false">IF(AND(ISNUMBER(J1154),ISNUMBER(K1154),F1154&lt;&gt;"Calentamiento",F1154&lt;&gt;"Bilbo"),IF(AND(K1154&gt;0,K1154&lt;=12),ROUND(J1154*(1+(K1154+IF(ISNUMBER(L1154),L1154,0))/30),1),""),"")</f>
        <v/>
      </c>
      <c r="T1154" s="21" t="str">
        <f aca="false">IF(AND(F1154="Bilbo",ISNUMBER(J1154),ISNUMBER(K1154)),ROUND(J1154*(1+K1154/30),1),"")</f>
        <v/>
      </c>
      <c r="W1154" s="22"/>
      <c r="X1154" s="21" t="str">
        <f aca="false">IF(AND(F1154="Bilbo",E1154&lt;&gt;"",G1154&lt;&gt;"",H1154&lt;&gt;""),E1154&amp;"|"&amp;G1154&amp;"|"&amp;H1154,"")</f>
        <v/>
      </c>
      <c r="Y1154" s="21" t="str">
        <f aca="false">IF(B1154="","",IF(B1154&lt;&gt;B1153,1,0))</f>
        <v/>
      </c>
    </row>
    <row r="1155" customFormat="false" ht="15" hidden="false" customHeight="true" outlineLevel="0" collapsed="false">
      <c r="A1155" s="21" t="str">
        <f aca="false">IF(B1155="","",ROW()-4)</f>
        <v/>
      </c>
      <c r="B1155" s="22"/>
      <c r="C1155" s="21" t="str">
        <f aca="false">IF(B1155="","",CHOOSE(WEEKDAY(B1155,2),"LUNES","MARTES","MIÉRCOLES","JUEVES","VIERNES","SÁBADO","DOMINGO"))</f>
        <v/>
      </c>
      <c r="M1155" s="23"/>
      <c r="Q1155" s="21" t="str">
        <f aca="false">IF(OR(K1155="",N1155=""),"",K1155-N1155)</f>
        <v/>
      </c>
      <c r="R1155" s="21" t="str">
        <f aca="false">IF(OR(J1155="",K1155=""),"",J1155*K1155)</f>
        <v/>
      </c>
      <c r="S1155" s="21" t="str">
        <f aca="false">IF(AND(ISNUMBER(J1155),ISNUMBER(K1155),F1155&lt;&gt;"Calentamiento",F1155&lt;&gt;"Bilbo"),IF(AND(K1155&gt;0,K1155&lt;=12),ROUND(J1155*(1+(K1155+IF(ISNUMBER(L1155),L1155,0))/30),1),""),"")</f>
        <v/>
      </c>
      <c r="T1155" s="21" t="str">
        <f aca="false">IF(AND(F1155="Bilbo",ISNUMBER(J1155),ISNUMBER(K1155)),ROUND(J1155*(1+K1155/30),1),"")</f>
        <v/>
      </c>
      <c r="W1155" s="22"/>
      <c r="X1155" s="21" t="str">
        <f aca="false">IF(AND(F1155="Bilbo",E1155&lt;&gt;"",G1155&lt;&gt;"",H1155&lt;&gt;""),E1155&amp;"|"&amp;G1155&amp;"|"&amp;H1155,"")</f>
        <v/>
      </c>
      <c r="Y1155" s="21" t="str">
        <f aca="false">IF(B1155="","",IF(B1155&lt;&gt;B1154,1,0))</f>
        <v/>
      </c>
    </row>
    <row r="1156" customFormat="false" ht="15" hidden="false" customHeight="true" outlineLevel="0" collapsed="false">
      <c r="A1156" s="21" t="str">
        <f aca="false">IF(B1156="","",ROW()-4)</f>
        <v/>
      </c>
      <c r="B1156" s="22"/>
      <c r="C1156" s="21" t="str">
        <f aca="false">IF(B1156="","",CHOOSE(WEEKDAY(B1156,2),"LUNES","MARTES","MIÉRCOLES","JUEVES","VIERNES","SÁBADO","DOMINGO"))</f>
        <v/>
      </c>
      <c r="M1156" s="23"/>
      <c r="Q1156" s="21" t="str">
        <f aca="false">IF(OR(K1156="",N1156=""),"",K1156-N1156)</f>
        <v/>
      </c>
      <c r="R1156" s="21" t="str">
        <f aca="false">IF(OR(J1156="",K1156=""),"",J1156*K1156)</f>
        <v/>
      </c>
      <c r="S1156" s="21" t="str">
        <f aca="false">IF(AND(ISNUMBER(J1156),ISNUMBER(K1156),F1156&lt;&gt;"Calentamiento",F1156&lt;&gt;"Bilbo"),IF(AND(K1156&gt;0,K1156&lt;=12),ROUND(J1156*(1+(K1156+IF(ISNUMBER(L1156),L1156,0))/30),1),""),"")</f>
        <v/>
      </c>
      <c r="T1156" s="21" t="str">
        <f aca="false">IF(AND(F1156="Bilbo",ISNUMBER(J1156),ISNUMBER(K1156)),ROUND(J1156*(1+K1156/30),1),"")</f>
        <v/>
      </c>
      <c r="W1156" s="22"/>
      <c r="X1156" s="21" t="str">
        <f aca="false">IF(AND(F1156="Bilbo",E1156&lt;&gt;"",G1156&lt;&gt;"",H1156&lt;&gt;""),E1156&amp;"|"&amp;G1156&amp;"|"&amp;H1156,"")</f>
        <v/>
      </c>
      <c r="Y1156" s="21" t="str">
        <f aca="false">IF(B1156="","",IF(B1156&lt;&gt;B1155,1,0))</f>
        <v/>
      </c>
    </row>
    <row r="1157" customFormat="false" ht="15" hidden="false" customHeight="true" outlineLevel="0" collapsed="false">
      <c r="A1157" s="21" t="str">
        <f aca="false">IF(B1157="","",ROW()-4)</f>
        <v/>
      </c>
      <c r="B1157" s="22"/>
      <c r="C1157" s="21" t="str">
        <f aca="false">IF(B1157="","",CHOOSE(WEEKDAY(B1157,2),"LUNES","MARTES","MIÉRCOLES","JUEVES","VIERNES","SÁBADO","DOMINGO"))</f>
        <v/>
      </c>
      <c r="M1157" s="23"/>
      <c r="Q1157" s="21" t="str">
        <f aca="false">IF(OR(K1157="",N1157=""),"",K1157-N1157)</f>
        <v/>
      </c>
      <c r="R1157" s="21" t="str">
        <f aca="false">IF(OR(J1157="",K1157=""),"",J1157*K1157)</f>
        <v/>
      </c>
      <c r="S1157" s="21" t="str">
        <f aca="false">IF(AND(ISNUMBER(J1157),ISNUMBER(K1157),F1157&lt;&gt;"Calentamiento",F1157&lt;&gt;"Bilbo"),IF(AND(K1157&gt;0,K1157&lt;=12),ROUND(J1157*(1+(K1157+IF(ISNUMBER(L1157),L1157,0))/30),1),""),"")</f>
        <v/>
      </c>
      <c r="T1157" s="21" t="str">
        <f aca="false">IF(AND(F1157="Bilbo",ISNUMBER(J1157),ISNUMBER(K1157)),ROUND(J1157*(1+K1157/30),1),"")</f>
        <v/>
      </c>
      <c r="W1157" s="22"/>
      <c r="X1157" s="21" t="str">
        <f aca="false">IF(AND(F1157="Bilbo",E1157&lt;&gt;"",G1157&lt;&gt;"",H1157&lt;&gt;""),E1157&amp;"|"&amp;G1157&amp;"|"&amp;H1157,"")</f>
        <v/>
      </c>
      <c r="Y1157" s="21" t="str">
        <f aca="false">IF(B1157="","",IF(B1157&lt;&gt;B1156,1,0))</f>
        <v/>
      </c>
    </row>
    <row r="1158" customFormat="false" ht="15" hidden="false" customHeight="true" outlineLevel="0" collapsed="false">
      <c r="A1158" s="21" t="str">
        <f aca="false">IF(B1158="","",ROW()-4)</f>
        <v/>
      </c>
      <c r="B1158" s="22"/>
      <c r="C1158" s="21" t="str">
        <f aca="false">IF(B1158="","",CHOOSE(WEEKDAY(B1158,2),"LUNES","MARTES","MIÉRCOLES","JUEVES","VIERNES","SÁBADO","DOMINGO"))</f>
        <v/>
      </c>
      <c r="M1158" s="23"/>
      <c r="Q1158" s="21" t="str">
        <f aca="false">IF(OR(K1158="",N1158=""),"",K1158-N1158)</f>
        <v/>
      </c>
      <c r="R1158" s="21" t="str">
        <f aca="false">IF(OR(J1158="",K1158=""),"",J1158*K1158)</f>
        <v/>
      </c>
      <c r="S1158" s="21" t="str">
        <f aca="false">IF(AND(ISNUMBER(J1158),ISNUMBER(K1158),F1158&lt;&gt;"Calentamiento",F1158&lt;&gt;"Bilbo"),IF(AND(K1158&gt;0,K1158&lt;=12),ROUND(J1158*(1+(K1158+IF(ISNUMBER(L1158),L1158,0))/30),1),""),"")</f>
        <v/>
      </c>
      <c r="T1158" s="21" t="str">
        <f aca="false">IF(AND(F1158="Bilbo",ISNUMBER(J1158),ISNUMBER(K1158)),ROUND(J1158*(1+K1158/30),1),"")</f>
        <v/>
      </c>
      <c r="W1158" s="22"/>
      <c r="X1158" s="21" t="str">
        <f aca="false">IF(AND(F1158="Bilbo",E1158&lt;&gt;"",G1158&lt;&gt;"",H1158&lt;&gt;""),E1158&amp;"|"&amp;G1158&amp;"|"&amp;H1158,"")</f>
        <v/>
      </c>
      <c r="Y1158" s="21" t="str">
        <f aca="false">IF(B1158="","",IF(B1158&lt;&gt;B1157,1,0))</f>
        <v/>
      </c>
    </row>
    <row r="1159" customFormat="false" ht="15" hidden="false" customHeight="true" outlineLevel="0" collapsed="false">
      <c r="A1159" s="21" t="str">
        <f aca="false">IF(B1159="","",ROW()-4)</f>
        <v/>
      </c>
      <c r="B1159" s="22"/>
      <c r="C1159" s="21" t="str">
        <f aca="false">IF(B1159="","",CHOOSE(WEEKDAY(B1159,2),"LUNES","MARTES","MIÉRCOLES","JUEVES","VIERNES","SÁBADO","DOMINGO"))</f>
        <v/>
      </c>
      <c r="M1159" s="23"/>
      <c r="Q1159" s="21" t="str">
        <f aca="false">IF(OR(K1159="",N1159=""),"",K1159-N1159)</f>
        <v/>
      </c>
      <c r="R1159" s="21" t="str">
        <f aca="false">IF(OR(J1159="",K1159=""),"",J1159*K1159)</f>
        <v/>
      </c>
      <c r="S1159" s="21" t="str">
        <f aca="false">IF(AND(ISNUMBER(J1159),ISNUMBER(K1159),F1159&lt;&gt;"Calentamiento",F1159&lt;&gt;"Bilbo"),IF(AND(K1159&gt;0,K1159&lt;=12),ROUND(J1159*(1+(K1159+IF(ISNUMBER(L1159),L1159,0))/30),1),""),"")</f>
        <v/>
      </c>
      <c r="T1159" s="21" t="str">
        <f aca="false">IF(AND(F1159="Bilbo",ISNUMBER(J1159),ISNUMBER(K1159)),ROUND(J1159*(1+K1159/30),1),"")</f>
        <v/>
      </c>
      <c r="W1159" s="22"/>
      <c r="X1159" s="21" t="str">
        <f aca="false">IF(AND(F1159="Bilbo",E1159&lt;&gt;"",G1159&lt;&gt;"",H1159&lt;&gt;""),E1159&amp;"|"&amp;G1159&amp;"|"&amp;H1159,"")</f>
        <v/>
      </c>
      <c r="Y1159" s="21" t="str">
        <f aca="false">IF(B1159="","",IF(B1159&lt;&gt;B1158,1,0))</f>
        <v/>
      </c>
    </row>
    <row r="1160" customFormat="false" ht="15" hidden="false" customHeight="true" outlineLevel="0" collapsed="false">
      <c r="A1160" s="21" t="str">
        <f aca="false">IF(B1160="","",ROW()-4)</f>
        <v/>
      </c>
      <c r="B1160" s="22"/>
      <c r="C1160" s="21" t="str">
        <f aca="false">IF(B1160="","",CHOOSE(WEEKDAY(B1160,2),"LUNES","MARTES","MIÉRCOLES","JUEVES","VIERNES","SÁBADO","DOMINGO"))</f>
        <v/>
      </c>
      <c r="M1160" s="23"/>
      <c r="Q1160" s="21" t="str">
        <f aca="false">IF(OR(K1160="",N1160=""),"",K1160-N1160)</f>
        <v/>
      </c>
      <c r="R1160" s="21" t="str">
        <f aca="false">IF(OR(J1160="",K1160=""),"",J1160*K1160)</f>
        <v/>
      </c>
      <c r="S1160" s="21" t="str">
        <f aca="false">IF(AND(ISNUMBER(J1160),ISNUMBER(K1160),F1160&lt;&gt;"Calentamiento",F1160&lt;&gt;"Bilbo"),IF(AND(K1160&gt;0,K1160&lt;=12),ROUND(J1160*(1+(K1160+IF(ISNUMBER(L1160),L1160,0))/30),1),""),"")</f>
        <v/>
      </c>
      <c r="T1160" s="21" t="str">
        <f aca="false">IF(AND(F1160="Bilbo",ISNUMBER(J1160),ISNUMBER(K1160)),ROUND(J1160*(1+K1160/30),1),"")</f>
        <v/>
      </c>
      <c r="W1160" s="22"/>
      <c r="X1160" s="21" t="str">
        <f aca="false">IF(AND(F1160="Bilbo",E1160&lt;&gt;"",G1160&lt;&gt;"",H1160&lt;&gt;""),E1160&amp;"|"&amp;G1160&amp;"|"&amp;H1160,"")</f>
        <v/>
      </c>
      <c r="Y1160" s="21" t="str">
        <f aca="false">IF(B1160="","",IF(B1160&lt;&gt;B1159,1,0))</f>
        <v/>
      </c>
    </row>
    <row r="1161" customFormat="false" ht="15" hidden="false" customHeight="true" outlineLevel="0" collapsed="false">
      <c r="A1161" s="21" t="str">
        <f aca="false">IF(B1161="","",ROW()-4)</f>
        <v/>
      </c>
      <c r="B1161" s="22"/>
      <c r="C1161" s="21" t="str">
        <f aca="false">IF(B1161="","",CHOOSE(WEEKDAY(B1161,2),"LUNES","MARTES","MIÉRCOLES","JUEVES","VIERNES","SÁBADO","DOMINGO"))</f>
        <v/>
      </c>
      <c r="M1161" s="23"/>
      <c r="Q1161" s="21" t="str">
        <f aca="false">IF(OR(K1161="",N1161=""),"",K1161-N1161)</f>
        <v/>
      </c>
      <c r="R1161" s="21" t="str">
        <f aca="false">IF(OR(J1161="",K1161=""),"",J1161*K1161)</f>
        <v/>
      </c>
      <c r="S1161" s="21" t="str">
        <f aca="false">IF(AND(ISNUMBER(J1161),ISNUMBER(K1161),F1161&lt;&gt;"Calentamiento",F1161&lt;&gt;"Bilbo"),IF(AND(K1161&gt;0,K1161&lt;=12),ROUND(J1161*(1+(K1161+IF(ISNUMBER(L1161),L1161,0))/30),1),""),"")</f>
        <v/>
      </c>
      <c r="T1161" s="21" t="str">
        <f aca="false">IF(AND(F1161="Bilbo",ISNUMBER(J1161),ISNUMBER(K1161)),ROUND(J1161*(1+K1161/30),1),"")</f>
        <v/>
      </c>
      <c r="W1161" s="22"/>
      <c r="X1161" s="21" t="str">
        <f aca="false">IF(AND(F1161="Bilbo",E1161&lt;&gt;"",G1161&lt;&gt;"",H1161&lt;&gt;""),E1161&amp;"|"&amp;G1161&amp;"|"&amp;H1161,"")</f>
        <v/>
      </c>
      <c r="Y1161" s="21" t="str">
        <f aca="false">IF(B1161="","",IF(B1161&lt;&gt;B1160,1,0))</f>
        <v/>
      </c>
    </row>
    <row r="1162" customFormat="false" ht="15" hidden="false" customHeight="true" outlineLevel="0" collapsed="false">
      <c r="A1162" s="21" t="str">
        <f aca="false">IF(B1162="","",ROW()-4)</f>
        <v/>
      </c>
      <c r="B1162" s="22"/>
      <c r="C1162" s="21" t="str">
        <f aca="false">IF(B1162="","",CHOOSE(WEEKDAY(B1162,2),"LUNES","MARTES","MIÉRCOLES","JUEVES","VIERNES","SÁBADO","DOMINGO"))</f>
        <v/>
      </c>
      <c r="M1162" s="23"/>
      <c r="Q1162" s="21" t="str">
        <f aca="false">IF(OR(K1162="",N1162=""),"",K1162-N1162)</f>
        <v/>
      </c>
      <c r="R1162" s="21" t="str">
        <f aca="false">IF(OR(J1162="",K1162=""),"",J1162*K1162)</f>
        <v/>
      </c>
      <c r="S1162" s="21" t="str">
        <f aca="false">IF(AND(ISNUMBER(J1162),ISNUMBER(K1162),F1162&lt;&gt;"Calentamiento",F1162&lt;&gt;"Bilbo"),IF(AND(K1162&gt;0,K1162&lt;=12),ROUND(J1162*(1+(K1162+IF(ISNUMBER(L1162),L1162,0))/30),1),""),"")</f>
        <v/>
      </c>
      <c r="T1162" s="21" t="str">
        <f aca="false">IF(AND(F1162="Bilbo",ISNUMBER(J1162),ISNUMBER(K1162)),ROUND(J1162*(1+K1162/30),1),"")</f>
        <v/>
      </c>
      <c r="W1162" s="22"/>
      <c r="X1162" s="21" t="str">
        <f aca="false">IF(AND(F1162="Bilbo",E1162&lt;&gt;"",G1162&lt;&gt;"",H1162&lt;&gt;""),E1162&amp;"|"&amp;G1162&amp;"|"&amp;H1162,"")</f>
        <v/>
      </c>
      <c r="Y1162" s="21" t="str">
        <f aca="false">IF(B1162="","",IF(B1162&lt;&gt;B1161,1,0))</f>
        <v/>
      </c>
    </row>
    <row r="1163" customFormat="false" ht="15" hidden="false" customHeight="true" outlineLevel="0" collapsed="false">
      <c r="A1163" s="21" t="str">
        <f aca="false">IF(B1163="","",ROW()-4)</f>
        <v/>
      </c>
      <c r="B1163" s="22"/>
      <c r="C1163" s="21" t="str">
        <f aca="false">IF(B1163="","",CHOOSE(WEEKDAY(B1163,2),"LUNES","MARTES","MIÉRCOLES","JUEVES","VIERNES","SÁBADO","DOMINGO"))</f>
        <v/>
      </c>
      <c r="M1163" s="23"/>
      <c r="Q1163" s="21" t="str">
        <f aca="false">IF(OR(K1163="",N1163=""),"",K1163-N1163)</f>
        <v/>
      </c>
      <c r="R1163" s="21" t="str">
        <f aca="false">IF(OR(J1163="",K1163=""),"",J1163*K1163)</f>
        <v/>
      </c>
      <c r="S1163" s="21" t="str">
        <f aca="false">IF(AND(ISNUMBER(J1163),ISNUMBER(K1163),F1163&lt;&gt;"Calentamiento",F1163&lt;&gt;"Bilbo"),IF(AND(K1163&gt;0,K1163&lt;=12),ROUND(J1163*(1+(K1163+IF(ISNUMBER(L1163),L1163,0))/30),1),""),"")</f>
        <v/>
      </c>
      <c r="T1163" s="21" t="str">
        <f aca="false">IF(AND(F1163="Bilbo",ISNUMBER(J1163),ISNUMBER(K1163)),ROUND(J1163*(1+K1163/30),1),"")</f>
        <v/>
      </c>
      <c r="W1163" s="22"/>
      <c r="X1163" s="21" t="str">
        <f aca="false">IF(AND(F1163="Bilbo",E1163&lt;&gt;"",G1163&lt;&gt;"",H1163&lt;&gt;""),E1163&amp;"|"&amp;G1163&amp;"|"&amp;H1163,"")</f>
        <v/>
      </c>
      <c r="Y1163" s="21" t="str">
        <f aca="false">IF(B1163="","",IF(B1163&lt;&gt;B1162,1,0))</f>
        <v/>
      </c>
    </row>
    <row r="1164" customFormat="false" ht="15" hidden="false" customHeight="true" outlineLevel="0" collapsed="false">
      <c r="A1164" s="21" t="str">
        <f aca="false">IF(B1164="","",ROW()-4)</f>
        <v/>
      </c>
      <c r="B1164" s="22"/>
      <c r="C1164" s="21" t="str">
        <f aca="false">IF(B1164="","",CHOOSE(WEEKDAY(B1164,2),"LUNES","MARTES","MIÉRCOLES","JUEVES","VIERNES","SÁBADO","DOMINGO"))</f>
        <v/>
      </c>
      <c r="M1164" s="23"/>
      <c r="Q1164" s="21" t="str">
        <f aca="false">IF(OR(K1164="",N1164=""),"",K1164-N1164)</f>
        <v/>
      </c>
      <c r="R1164" s="21" t="str">
        <f aca="false">IF(OR(J1164="",K1164=""),"",J1164*K1164)</f>
        <v/>
      </c>
      <c r="S1164" s="21" t="str">
        <f aca="false">IF(AND(ISNUMBER(J1164),ISNUMBER(K1164),F1164&lt;&gt;"Calentamiento",F1164&lt;&gt;"Bilbo"),IF(AND(K1164&gt;0,K1164&lt;=12),ROUND(J1164*(1+(K1164+IF(ISNUMBER(L1164),L1164,0))/30),1),""),"")</f>
        <v/>
      </c>
      <c r="T1164" s="21" t="str">
        <f aca="false">IF(AND(F1164="Bilbo",ISNUMBER(J1164),ISNUMBER(K1164)),ROUND(J1164*(1+K1164/30),1),"")</f>
        <v/>
      </c>
      <c r="W1164" s="22"/>
      <c r="X1164" s="21" t="str">
        <f aca="false">IF(AND(F1164="Bilbo",E1164&lt;&gt;"",G1164&lt;&gt;"",H1164&lt;&gt;""),E1164&amp;"|"&amp;G1164&amp;"|"&amp;H1164,"")</f>
        <v/>
      </c>
      <c r="Y1164" s="21" t="str">
        <f aca="false">IF(B1164="","",IF(B1164&lt;&gt;B1163,1,0))</f>
        <v/>
      </c>
    </row>
    <row r="1165" customFormat="false" ht="15" hidden="false" customHeight="true" outlineLevel="0" collapsed="false">
      <c r="A1165" s="21" t="str">
        <f aca="false">IF(B1165="","",ROW()-4)</f>
        <v/>
      </c>
      <c r="B1165" s="22"/>
      <c r="C1165" s="21" t="str">
        <f aca="false">IF(B1165="","",CHOOSE(WEEKDAY(B1165,2),"LUNES","MARTES","MIÉRCOLES","JUEVES","VIERNES","SÁBADO","DOMINGO"))</f>
        <v/>
      </c>
      <c r="M1165" s="23"/>
      <c r="Q1165" s="21" t="str">
        <f aca="false">IF(OR(K1165="",N1165=""),"",K1165-N1165)</f>
        <v/>
      </c>
      <c r="R1165" s="21" t="str">
        <f aca="false">IF(OR(J1165="",K1165=""),"",J1165*K1165)</f>
        <v/>
      </c>
      <c r="S1165" s="21" t="str">
        <f aca="false">IF(AND(ISNUMBER(J1165),ISNUMBER(K1165),F1165&lt;&gt;"Calentamiento",F1165&lt;&gt;"Bilbo"),IF(AND(K1165&gt;0,K1165&lt;=12),ROUND(J1165*(1+(K1165+IF(ISNUMBER(L1165),L1165,0))/30),1),""),"")</f>
        <v/>
      </c>
      <c r="T1165" s="21" t="str">
        <f aca="false">IF(AND(F1165="Bilbo",ISNUMBER(J1165),ISNUMBER(K1165)),ROUND(J1165*(1+K1165/30),1),"")</f>
        <v/>
      </c>
      <c r="W1165" s="22"/>
      <c r="X1165" s="21" t="str">
        <f aca="false">IF(AND(F1165="Bilbo",E1165&lt;&gt;"",G1165&lt;&gt;"",H1165&lt;&gt;""),E1165&amp;"|"&amp;G1165&amp;"|"&amp;H1165,"")</f>
        <v/>
      </c>
      <c r="Y1165" s="21" t="str">
        <f aca="false">IF(B1165="","",IF(B1165&lt;&gt;B1164,1,0))</f>
        <v/>
      </c>
    </row>
    <row r="1166" customFormat="false" ht="15" hidden="false" customHeight="true" outlineLevel="0" collapsed="false">
      <c r="A1166" s="21" t="str">
        <f aca="false">IF(B1166="","",ROW()-4)</f>
        <v/>
      </c>
      <c r="B1166" s="22"/>
      <c r="C1166" s="21" t="str">
        <f aca="false">IF(B1166="","",CHOOSE(WEEKDAY(B1166,2),"LUNES","MARTES","MIÉRCOLES","JUEVES","VIERNES","SÁBADO","DOMINGO"))</f>
        <v/>
      </c>
      <c r="M1166" s="23"/>
      <c r="Q1166" s="21" t="str">
        <f aca="false">IF(OR(K1166="",N1166=""),"",K1166-N1166)</f>
        <v/>
      </c>
      <c r="R1166" s="21" t="str">
        <f aca="false">IF(OR(J1166="",K1166=""),"",J1166*K1166)</f>
        <v/>
      </c>
      <c r="S1166" s="21" t="str">
        <f aca="false">IF(AND(ISNUMBER(J1166),ISNUMBER(K1166),F1166&lt;&gt;"Calentamiento",F1166&lt;&gt;"Bilbo"),IF(AND(K1166&gt;0,K1166&lt;=12),ROUND(J1166*(1+(K1166+IF(ISNUMBER(L1166),L1166,0))/30),1),""),"")</f>
        <v/>
      </c>
      <c r="T1166" s="21" t="str">
        <f aca="false">IF(AND(F1166="Bilbo",ISNUMBER(J1166),ISNUMBER(K1166)),ROUND(J1166*(1+K1166/30),1),"")</f>
        <v/>
      </c>
      <c r="W1166" s="22"/>
      <c r="X1166" s="21" t="str">
        <f aca="false">IF(AND(F1166="Bilbo",E1166&lt;&gt;"",G1166&lt;&gt;"",H1166&lt;&gt;""),E1166&amp;"|"&amp;G1166&amp;"|"&amp;H1166,"")</f>
        <v/>
      </c>
      <c r="Y1166" s="21" t="str">
        <f aca="false">IF(B1166="","",IF(B1166&lt;&gt;B1165,1,0))</f>
        <v/>
      </c>
    </row>
    <row r="1167" customFormat="false" ht="15" hidden="false" customHeight="true" outlineLevel="0" collapsed="false">
      <c r="A1167" s="21" t="str">
        <f aca="false">IF(B1167="","",ROW()-4)</f>
        <v/>
      </c>
      <c r="B1167" s="22"/>
      <c r="C1167" s="21" t="str">
        <f aca="false">IF(B1167="","",CHOOSE(WEEKDAY(B1167,2),"LUNES","MARTES","MIÉRCOLES","JUEVES","VIERNES","SÁBADO","DOMINGO"))</f>
        <v/>
      </c>
      <c r="M1167" s="23"/>
      <c r="Q1167" s="21" t="str">
        <f aca="false">IF(OR(K1167="",N1167=""),"",K1167-N1167)</f>
        <v/>
      </c>
      <c r="R1167" s="21" t="str">
        <f aca="false">IF(OR(J1167="",K1167=""),"",J1167*K1167)</f>
        <v/>
      </c>
      <c r="S1167" s="21" t="str">
        <f aca="false">IF(AND(ISNUMBER(J1167),ISNUMBER(K1167),F1167&lt;&gt;"Calentamiento",F1167&lt;&gt;"Bilbo"),IF(AND(K1167&gt;0,K1167&lt;=12),ROUND(J1167*(1+(K1167+IF(ISNUMBER(L1167),L1167,0))/30),1),""),"")</f>
        <v/>
      </c>
      <c r="T1167" s="21" t="str">
        <f aca="false">IF(AND(F1167="Bilbo",ISNUMBER(J1167),ISNUMBER(K1167)),ROUND(J1167*(1+K1167/30),1),"")</f>
        <v/>
      </c>
      <c r="W1167" s="22"/>
      <c r="X1167" s="21" t="str">
        <f aca="false">IF(AND(F1167="Bilbo",E1167&lt;&gt;"",G1167&lt;&gt;"",H1167&lt;&gt;""),E1167&amp;"|"&amp;G1167&amp;"|"&amp;H1167,"")</f>
        <v/>
      </c>
      <c r="Y1167" s="21" t="str">
        <f aca="false">IF(B1167="","",IF(B1167&lt;&gt;B1166,1,0))</f>
        <v/>
      </c>
    </row>
    <row r="1168" customFormat="false" ht="15" hidden="false" customHeight="true" outlineLevel="0" collapsed="false">
      <c r="A1168" s="21" t="str">
        <f aca="false">IF(B1168="","",ROW()-4)</f>
        <v/>
      </c>
      <c r="B1168" s="22"/>
      <c r="C1168" s="21" t="str">
        <f aca="false">IF(B1168="","",CHOOSE(WEEKDAY(B1168,2),"LUNES","MARTES","MIÉRCOLES","JUEVES","VIERNES","SÁBADO","DOMINGO"))</f>
        <v/>
      </c>
      <c r="M1168" s="23"/>
      <c r="Q1168" s="21" t="str">
        <f aca="false">IF(OR(K1168="",N1168=""),"",K1168-N1168)</f>
        <v/>
      </c>
      <c r="R1168" s="21" t="str">
        <f aca="false">IF(OR(J1168="",K1168=""),"",J1168*K1168)</f>
        <v/>
      </c>
      <c r="S1168" s="21" t="str">
        <f aca="false">IF(AND(ISNUMBER(J1168),ISNUMBER(K1168),F1168&lt;&gt;"Calentamiento",F1168&lt;&gt;"Bilbo"),IF(AND(K1168&gt;0,K1168&lt;=12),ROUND(J1168*(1+(K1168+IF(ISNUMBER(L1168),L1168,0))/30),1),""),"")</f>
        <v/>
      </c>
      <c r="T1168" s="21" t="str">
        <f aca="false">IF(AND(F1168="Bilbo",ISNUMBER(J1168),ISNUMBER(K1168)),ROUND(J1168*(1+K1168/30),1),"")</f>
        <v/>
      </c>
      <c r="W1168" s="22"/>
      <c r="X1168" s="21" t="str">
        <f aca="false">IF(AND(F1168="Bilbo",E1168&lt;&gt;"",G1168&lt;&gt;"",H1168&lt;&gt;""),E1168&amp;"|"&amp;G1168&amp;"|"&amp;H1168,"")</f>
        <v/>
      </c>
      <c r="Y1168" s="21" t="str">
        <f aca="false">IF(B1168="","",IF(B1168&lt;&gt;B1167,1,0))</f>
        <v/>
      </c>
    </row>
    <row r="1169" customFormat="false" ht="15" hidden="false" customHeight="true" outlineLevel="0" collapsed="false">
      <c r="A1169" s="21" t="str">
        <f aca="false">IF(B1169="","",ROW()-4)</f>
        <v/>
      </c>
      <c r="B1169" s="22"/>
      <c r="C1169" s="21" t="str">
        <f aca="false">IF(B1169="","",CHOOSE(WEEKDAY(B1169,2),"LUNES","MARTES","MIÉRCOLES","JUEVES","VIERNES","SÁBADO","DOMINGO"))</f>
        <v/>
      </c>
      <c r="M1169" s="23"/>
      <c r="Q1169" s="21" t="str">
        <f aca="false">IF(OR(K1169="",N1169=""),"",K1169-N1169)</f>
        <v/>
      </c>
      <c r="R1169" s="21" t="str">
        <f aca="false">IF(OR(J1169="",K1169=""),"",J1169*K1169)</f>
        <v/>
      </c>
      <c r="S1169" s="21" t="str">
        <f aca="false">IF(AND(ISNUMBER(J1169),ISNUMBER(K1169),F1169&lt;&gt;"Calentamiento",F1169&lt;&gt;"Bilbo"),IF(AND(K1169&gt;0,K1169&lt;=12),ROUND(J1169*(1+(K1169+IF(ISNUMBER(L1169),L1169,0))/30),1),""),"")</f>
        <v/>
      </c>
      <c r="T1169" s="21" t="str">
        <f aca="false">IF(AND(F1169="Bilbo",ISNUMBER(J1169),ISNUMBER(K1169)),ROUND(J1169*(1+K1169/30),1),"")</f>
        <v/>
      </c>
      <c r="W1169" s="22"/>
      <c r="X1169" s="21" t="str">
        <f aca="false">IF(AND(F1169="Bilbo",E1169&lt;&gt;"",G1169&lt;&gt;"",H1169&lt;&gt;""),E1169&amp;"|"&amp;G1169&amp;"|"&amp;H1169,"")</f>
        <v/>
      </c>
      <c r="Y1169" s="21" t="str">
        <f aca="false">IF(B1169="","",IF(B1169&lt;&gt;B1168,1,0))</f>
        <v/>
      </c>
    </row>
    <row r="1170" customFormat="false" ht="15" hidden="false" customHeight="true" outlineLevel="0" collapsed="false">
      <c r="A1170" s="21" t="str">
        <f aca="false">IF(B1170="","",ROW()-4)</f>
        <v/>
      </c>
      <c r="B1170" s="22"/>
      <c r="C1170" s="21" t="str">
        <f aca="false">IF(B1170="","",CHOOSE(WEEKDAY(B1170,2),"LUNES","MARTES","MIÉRCOLES","JUEVES","VIERNES","SÁBADO","DOMINGO"))</f>
        <v/>
      </c>
      <c r="M1170" s="23"/>
      <c r="Q1170" s="21" t="str">
        <f aca="false">IF(OR(K1170="",N1170=""),"",K1170-N1170)</f>
        <v/>
      </c>
      <c r="R1170" s="21" t="str">
        <f aca="false">IF(OR(J1170="",K1170=""),"",J1170*K1170)</f>
        <v/>
      </c>
      <c r="S1170" s="21" t="str">
        <f aca="false">IF(AND(ISNUMBER(J1170),ISNUMBER(K1170),F1170&lt;&gt;"Calentamiento",F1170&lt;&gt;"Bilbo"),IF(AND(K1170&gt;0,K1170&lt;=12),ROUND(J1170*(1+(K1170+IF(ISNUMBER(L1170),L1170,0))/30),1),""),"")</f>
        <v/>
      </c>
      <c r="T1170" s="21" t="str">
        <f aca="false">IF(AND(F1170="Bilbo",ISNUMBER(J1170),ISNUMBER(K1170)),ROUND(J1170*(1+K1170/30),1),"")</f>
        <v/>
      </c>
      <c r="W1170" s="22"/>
      <c r="X1170" s="21" t="str">
        <f aca="false">IF(AND(F1170="Bilbo",E1170&lt;&gt;"",G1170&lt;&gt;"",H1170&lt;&gt;""),E1170&amp;"|"&amp;G1170&amp;"|"&amp;H1170,"")</f>
        <v/>
      </c>
      <c r="Y1170" s="21" t="str">
        <f aca="false">IF(B1170="","",IF(B1170&lt;&gt;B1169,1,0))</f>
        <v/>
      </c>
    </row>
    <row r="1171" customFormat="false" ht="15" hidden="false" customHeight="true" outlineLevel="0" collapsed="false">
      <c r="A1171" s="21" t="str">
        <f aca="false">IF(B1171="","",ROW()-4)</f>
        <v/>
      </c>
      <c r="B1171" s="22"/>
      <c r="C1171" s="21" t="str">
        <f aca="false">IF(B1171="","",CHOOSE(WEEKDAY(B1171,2),"LUNES","MARTES","MIÉRCOLES","JUEVES","VIERNES","SÁBADO","DOMINGO"))</f>
        <v/>
      </c>
      <c r="M1171" s="23"/>
      <c r="Q1171" s="21" t="str">
        <f aca="false">IF(OR(K1171="",N1171=""),"",K1171-N1171)</f>
        <v/>
      </c>
      <c r="R1171" s="21" t="str">
        <f aca="false">IF(OR(J1171="",K1171=""),"",J1171*K1171)</f>
        <v/>
      </c>
      <c r="S1171" s="21" t="str">
        <f aca="false">IF(AND(ISNUMBER(J1171),ISNUMBER(K1171),F1171&lt;&gt;"Calentamiento",F1171&lt;&gt;"Bilbo"),IF(AND(K1171&gt;0,K1171&lt;=12),ROUND(J1171*(1+(K1171+IF(ISNUMBER(L1171),L1171,0))/30),1),""),"")</f>
        <v/>
      </c>
      <c r="T1171" s="21" t="str">
        <f aca="false">IF(AND(F1171="Bilbo",ISNUMBER(J1171),ISNUMBER(K1171)),ROUND(J1171*(1+K1171/30),1),"")</f>
        <v/>
      </c>
      <c r="W1171" s="22"/>
      <c r="X1171" s="21" t="str">
        <f aca="false">IF(AND(F1171="Bilbo",E1171&lt;&gt;"",G1171&lt;&gt;"",H1171&lt;&gt;""),E1171&amp;"|"&amp;G1171&amp;"|"&amp;H1171,"")</f>
        <v/>
      </c>
      <c r="Y1171" s="21" t="str">
        <f aca="false">IF(B1171="","",IF(B1171&lt;&gt;B1170,1,0))</f>
        <v/>
      </c>
    </row>
    <row r="1172" customFormat="false" ht="15" hidden="false" customHeight="true" outlineLevel="0" collapsed="false">
      <c r="A1172" s="21" t="str">
        <f aca="false">IF(B1172="","",ROW()-4)</f>
        <v/>
      </c>
      <c r="B1172" s="22"/>
      <c r="C1172" s="21" t="str">
        <f aca="false">IF(B1172="","",CHOOSE(WEEKDAY(B1172,2),"LUNES","MARTES","MIÉRCOLES","JUEVES","VIERNES","SÁBADO","DOMINGO"))</f>
        <v/>
      </c>
      <c r="M1172" s="23"/>
      <c r="Q1172" s="21" t="str">
        <f aca="false">IF(OR(K1172="",N1172=""),"",K1172-N1172)</f>
        <v/>
      </c>
      <c r="R1172" s="21" t="str">
        <f aca="false">IF(OR(J1172="",K1172=""),"",J1172*K1172)</f>
        <v/>
      </c>
      <c r="S1172" s="21" t="str">
        <f aca="false">IF(AND(ISNUMBER(J1172),ISNUMBER(K1172),F1172&lt;&gt;"Calentamiento",F1172&lt;&gt;"Bilbo"),IF(AND(K1172&gt;0,K1172&lt;=12),ROUND(J1172*(1+(K1172+IF(ISNUMBER(L1172),L1172,0))/30),1),""),"")</f>
        <v/>
      </c>
      <c r="T1172" s="21" t="str">
        <f aca="false">IF(AND(F1172="Bilbo",ISNUMBER(J1172),ISNUMBER(K1172)),ROUND(J1172*(1+K1172/30),1),"")</f>
        <v/>
      </c>
      <c r="W1172" s="22"/>
      <c r="X1172" s="21" t="str">
        <f aca="false">IF(AND(F1172="Bilbo",E1172&lt;&gt;"",G1172&lt;&gt;"",H1172&lt;&gt;""),E1172&amp;"|"&amp;G1172&amp;"|"&amp;H1172,"")</f>
        <v/>
      </c>
      <c r="Y1172" s="21" t="str">
        <f aca="false">IF(B1172="","",IF(B1172&lt;&gt;B1171,1,0))</f>
        <v/>
      </c>
    </row>
    <row r="1173" customFormat="false" ht="15" hidden="false" customHeight="true" outlineLevel="0" collapsed="false">
      <c r="A1173" s="21" t="str">
        <f aca="false">IF(B1173="","",ROW()-4)</f>
        <v/>
      </c>
      <c r="B1173" s="22"/>
      <c r="C1173" s="21" t="str">
        <f aca="false">IF(B1173="","",CHOOSE(WEEKDAY(B1173,2),"LUNES","MARTES","MIÉRCOLES","JUEVES","VIERNES","SÁBADO","DOMINGO"))</f>
        <v/>
      </c>
      <c r="M1173" s="23"/>
      <c r="Q1173" s="21" t="str">
        <f aca="false">IF(OR(K1173="",N1173=""),"",K1173-N1173)</f>
        <v/>
      </c>
      <c r="R1173" s="21" t="str">
        <f aca="false">IF(OR(J1173="",K1173=""),"",J1173*K1173)</f>
        <v/>
      </c>
      <c r="S1173" s="21" t="str">
        <f aca="false">IF(AND(ISNUMBER(J1173),ISNUMBER(K1173),F1173&lt;&gt;"Calentamiento",F1173&lt;&gt;"Bilbo"),IF(AND(K1173&gt;0,K1173&lt;=12),ROUND(J1173*(1+(K1173+IF(ISNUMBER(L1173),L1173,0))/30),1),""),"")</f>
        <v/>
      </c>
      <c r="T1173" s="21" t="str">
        <f aca="false">IF(AND(F1173="Bilbo",ISNUMBER(J1173),ISNUMBER(K1173)),ROUND(J1173*(1+K1173/30),1),"")</f>
        <v/>
      </c>
      <c r="W1173" s="22"/>
      <c r="X1173" s="21" t="str">
        <f aca="false">IF(AND(F1173="Bilbo",E1173&lt;&gt;"",G1173&lt;&gt;"",H1173&lt;&gt;""),E1173&amp;"|"&amp;G1173&amp;"|"&amp;H1173,"")</f>
        <v/>
      </c>
      <c r="Y1173" s="21" t="str">
        <f aca="false">IF(B1173="","",IF(B1173&lt;&gt;B1172,1,0))</f>
        <v/>
      </c>
    </row>
    <row r="1174" customFormat="false" ht="15" hidden="false" customHeight="true" outlineLevel="0" collapsed="false">
      <c r="A1174" s="21" t="str">
        <f aca="false">IF(B1174="","",ROW()-4)</f>
        <v/>
      </c>
      <c r="B1174" s="22"/>
      <c r="C1174" s="21" t="str">
        <f aca="false">IF(B1174="","",CHOOSE(WEEKDAY(B1174,2),"LUNES","MARTES","MIÉRCOLES","JUEVES","VIERNES","SÁBADO","DOMINGO"))</f>
        <v/>
      </c>
      <c r="M1174" s="23"/>
      <c r="Q1174" s="21" t="str">
        <f aca="false">IF(OR(K1174="",N1174=""),"",K1174-N1174)</f>
        <v/>
      </c>
      <c r="R1174" s="21" t="str">
        <f aca="false">IF(OR(J1174="",K1174=""),"",J1174*K1174)</f>
        <v/>
      </c>
      <c r="S1174" s="21" t="str">
        <f aca="false">IF(AND(ISNUMBER(J1174),ISNUMBER(K1174),F1174&lt;&gt;"Calentamiento",F1174&lt;&gt;"Bilbo"),IF(AND(K1174&gt;0,K1174&lt;=12),ROUND(J1174*(1+(K1174+IF(ISNUMBER(L1174),L1174,0))/30),1),""),"")</f>
        <v/>
      </c>
      <c r="T1174" s="21" t="str">
        <f aca="false">IF(AND(F1174="Bilbo",ISNUMBER(J1174),ISNUMBER(K1174)),ROUND(J1174*(1+K1174/30),1),"")</f>
        <v/>
      </c>
      <c r="W1174" s="22"/>
      <c r="X1174" s="21" t="str">
        <f aca="false">IF(AND(F1174="Bilbo",E1174&lt;&gt;"",G1174&lt;&gt;"",H1174&lt;&gt;""),E1174&amp;"|"&amp;G1174&amp;"|"&amp;H1174,"")</f>
        <v/>
      </c>
      <c r="Y1174" s="21" t="str">
        <f aca="false">IF(B1174="","",IF(B1174&lt;&gt;B1173,1,0))</f>
        <v/>
      </c>
    </row>
    <row r="1175" customFormat="false" ht="15" hidden="false" customHeight="true" outlineLevel="0" collapsed="false">
      <c r="A1175" s="21" t="str">
        <f aca="false">IF(B1175="","",ROW()-4)</f>
        <v/>
      </c>
      <c r="B1175" s="22"/>
      <c r="C1175" s="21" t="str">
        <f aca="false">IF(B1175="","",CHOOSE(WEEKDAY(B1175,2),"LUNES","MARTES","MIÉRCOLES","JUEVES","VIERNES","SÁBADO","DOMINGO"))</f>
        <v/>
      </c>
      <c r="M1175" s="23"/>
      <c r="Q1175" s="21" t="str">
        <f aca="false">IF(OR(K1175="",N1175=""),"",K1175-N1175)</f>
        <v/>
      </c>
      <c r="R1175" s="21" t="str">
        <f aca="false">IF(OR(J1175="",K1175=""),"",J1175*K1175)</f>
        <v/>
      </c>
      <c r="S1175" s="21" t="str">
        <f aca="false">IF(AND(ISNUMBER(J1175),ISNUMBER(K1175),F1175&lt;&gt;"Calentamiento",F1175&lt;&gt;"Bilbo"),IF(AND(K1175&gt;0,K1175&lt;=12),ROUND(J1175*(1+(K1175+IF(ISNUMBER(L1175),L1175,0))/30),1),""),"")</f>
        <v/>
      </c>
      <c r="T1175" s="21" t="str">
        <f aca="false">IF(AND(F1175="Bilbo",ISNUMBER(J1175),ISNUMBER(K1175)),ROUND(J1175*(1+K1175/30),1),"")</f>
        <v/>
      </c>
      <c r="W1175" s="22"/>
      <c r="X1175" s="21" t="str">
        <f aca="false">IF(AND(F1175="Bilbo",E1175&lt;&gt;"",G1175&lt;&gt;"",H1175&lt;&gt;""),E1175&amp;"|"&amp;G1175&amp;"|"&amp;H1175,"")</f>
        <v/>
      </c>
      <c r="Y1175" s="21" t="str">
        <f aca="false">IF(B1175="","",IF(B1175&lt;&gt;B1174,1,0))</f>
        <v/>
      </c>
    </row>
    <row r="1176" customFormat="false" ht="15" hidden="false" customHeight="true" outlineLevel="0" collapsed="false">
      <c r="A1176" s="21" t="str">
        <f aca="false">IF(B1176="","",ROW()-4)</f>
        <v/>
      </c>
      <c r="B1176" s="22"/>
      <c r="C1176" s="21" t="str">
        <f aca="false">IF(B1176="","",CHOOSE(WEEKDAY(B1176,2),"LUNES","MARTES","MIÉRCOLES","JUEVES","VIERNES","SÁBADO","DOMINGO"))</f>
        <v/>
      </c>
      <c r="M1176" s="23"/>
      <c r="Q1176" s="21" t="str">
        <f aca="false">IF(OR(K1176="",N1176=""),"",K1176-N1176)</f>
        <v/>
      </c>
      <c r="R1176" s="21" t="str">
        <f aca="false">IF(OR(J1176="",K1176=""),"",J1176*K1176)</f>
        <v/>
      </c>
      <c r="S1176" s="21" t="str">
        <f aca="false">IF(AND(ISNUMBER(J1176),ISNUMBER(K1176),F1176&lt;&gt;"Calentamiento",F1176&lt;&gt;"Bilbo"),IF(AND(K1176&gt;0,K1176&lt;=12),ROUND(J1176*(1+(K1176+IF(ISNUMBER(L1176),L1176,0))/30),1),""),"")</f>
        <v/>
      </c>
      <c r="T1176" s="21" t="str">
        <f aca="false">IF(AND(F1176="Bilbo",ISNUMBER(J1176),ISNUMBER(K1176)),ROUND(J1176*(1+K1176/30),1),"")</f>
        <v/>
      </c>
      <c r="W1176" s="22"/>
      <c r="X1176" s="21" t="str">
        <f aca="false">IF(AND(F1176="Bilbo",E1176&lt;&gt;"",G1176&lt;&gt;"",H1176&lt;&gt;""),E1176&amp;"|"&amp;G1176&amp;"|"&amp;H1176,"")</f>
        <v/>
      </c>
      <c r="Y1176" s="21" t="str">
        <f aca="false">IF(B1176="","",IF(B1176&lt;&gt;B1175,1,0))</f>
        <v/>
      </c>
    </row>
    <row r="1177" customFormat="false" ht="15" hidden="false" customHeight="true" outlineLevel="0" collapsed="false">
      <c r="A1177" s="21" t="str">
        <f aca="false">IF(B1177="","",ROW()-4)</f>
        <v/>
      </c>
      <c r="B1177" s="22"/>
      <c r="C1177" s="21" t="str">
        <f aca="false">IF(B1177="","",CHOOSE(WEEKDAY(B1177,2),"LUNES","MARTES","MIÉRCOLES","JUEVES","VIERNES","SÁBADO","DOMINGO"))</f>
        <v/>
      </c>
      <c r="M1177" s="23"/>
      <c r="Q1177" s="21" t="str">
        <f aca="false">IF(OR(K1177="",N1177=""),"",K1177-N1177)</f>
        <v/>
      </c>
      <c r="R1177" s="21" t="str">
        <f aca="false">IF(OR(J1177="",K1177=""),"",J1177*K1177)</f>
        <v/>
      </c>
      <c r="S1177" s="21" t="str">
        <f aca="false">IF(AND(ISNUMBER(J1177),ISNUMBER(K1177),F1177&lt;&gt;"Calentamiento",F1177&lt;&gt;"Bilbo"),IF(AND(K1177&gt;0,K1177&lt;=12),ROUND(J1177*(1+(K1177+IF(ISNUMBER(L1177),L1177,0))/30),1),""),"")</f>
        <v/>
      </c>
      <c r="T1177" s="21" t="str">
        <f aca="false">IF(AND(F1177="Bilbo",ISNUMBER(J1177),ISNUMBER(K1177)),ROUND(J1177*(1+K1177/30),1),"")</f>
        <v/>
      </c>
      <c r="W1177" s="22"/>
      <c r="X1177" s="21" t="str">
        <f aca="false">IF(AND(F1177="Bilbo",E1177&lt;&gt;"",G1177&lt;&gt;"",H1177&lt;&gt;""),E1177&amp;"|"&amp;G1177&amp;"|"&amp;H1177,"")</f>
        <v/>
      </c>
      <c r="Y1177" s="21" t="str">
        <f aca="false">IF(B1177="","",IF(B1177&lt;&gt;B1176,1,0))</f>
        <v/>
      </c>
    </row>
    <row r="1178" customFormat="false" ht="15" hidden="false" customHeight="true" outlineLevel="0" collapsed="false">
      <c r="A1178" s="21" t="str">
        <f aca="false">IF(B1178="","",ROW()-4)</f>
        <v/>
      </c>
      <c r="B1178" s="22"/>
      <c r="C1178" s="21" t="str">
        <f aca="false">IF(B1178="","",CHOOSE(WEEKDAY(B1178,2),"LUNES","MARTES","MIÉRCOLES","JUEVES","VIERNES","SÁBADO","DOMINGO"))</f>
        <v/>
      </c>
      <c r="M1178" s="23"/>
      <c r="Q1178" s="21" t="str">
        <f aca="false">IF(OR(K1178="",N1178=""),"",K1178-N1178)</f>
        <v/>
      </c>
      <c r="R1178" s="21" t="str">
        <f aca="false">IF(OR(J1178="",K1178=""),"",J1178*K1178)</f>
        <v/>
      </c>
      <c r="S1178" s="21" t="str">
        <f aca="false">IF(AND(ISNUMBER(J1178),ISNUMBER(K1178),F1178&lt;&gt;"Calentamiento",F1178&lt;&gt;"Bilbo"),IF(AND(K1178&gt;0,K1178&lt;=12),ROUND(J1178*(1+(K1178+IF(ISNUMBER(L1178),L1178,0))/30),1),""),"")</f>
        <v/>
      </c>
      <c r="T1178" s="21" t="str">
        <f aca="false">IF(AND(F1178="Bilbo",ISNUMBER(J1178),ISNUMBER(K1178)),ROUND(J1178*(1+K1178/30),1),"")</f>
        <v/>
      </c>
      <c r="W1178" s="22"/>
      <c r="X1178" s="21" t="str">
        <f aca="false">IF(AND(F1178="Bilbo",E1178&lt;&gt;"",G1178&lt;&gt;"",H1178&lt;&gt;""),E1178&amp;"|"&amp;G1178&amp;"|"&amp;H1178,"")</f>
        <v/>
      </c>
      <c r="Y1178" s="21" t="str">
        <f aca="false">IF(B1178="","",IF(B1178&lt;&gt;B1177,1,0))</f>
        <v/>
      </c>
    </row>
    <row r="1179" customFormat="false" ht="15" hidden="false" customHeight="true" outlineLevel="0" collapsed="false">
      <c r="A1179" s="21" t="str">
        <f aca="false">IF(B1179="","",ROW()-4)</f>
        <v/>
      </c>
      <c r="B1179" s="22"/>
      <c r="C1179" s="21" t="str">
        <f aca="false">IF(B1179="","",CHOOSE(WEEKDAY(B1179,2),"LUNES","MARTES","MIÉRCOLES","JUEVES","VIERNES","SÁBADO","DOMINGO"))</f>
        <v/>
      </c>
      <c r="M1179" s="23"/>
      <c r="Q1179" s="21" t="str">
        <f aca="false">IF(OR(K1179="",N1179=""),"",K1179-N1179)</f>
        <v/>
      </c>
      <c r="R1179" s="21" t="str">
        <f aca="false">IF(OR(J1179="",K1179=""),"",J1179*K1179)</f>
        <v/>
      </c>
      <c r="S1179" s="21" t="str">
        <f aca="false">IF(AND(ISNUMBER(J1179),ISNUMBER(K1179),F1179&lt;&gt;"Calentamiento",F1179&lt;&gt;"Bilbo"),IF(AND(K1179&gt;0,K1179&lt;=12),ROUND(J1179*(1+(K1179+IF(ISNUMBER(L1179),L1179,0))/30),1),""),"")</f>
        <v/>
      </c>
      <c r="T1179" s="21" t="str">
        <f aca="false">IF(AND(F1179="Bilbo",ISNUMBER(J1179),ISNUMBER(K1179)),ROUND(J1179*(1+K1179/30),1),"")</f>
        <v/>
      </c>
      <c r="W1179" s="22"/>
      <c r="X1179" s="21" t="str">
        <f aca="false">IF(AND(F1179="Bilbo",E1179&lt;&gt;"",G1179&lt;&gt;"",H1179&lt;&gt;""),E1179&amp;"|"&amp;G1179&amp;"|"&amp;H1179,"")</f>
        <v/>
      </c>
      <c r="Y1179" s="21" t="str">
        <f aca="false">IF(B1179="","",IF(B1179&lt;&gt;B1178,1,0))</f>
        <v/>
      </c>
    </row>
    <row r="1180" customFormat="false" ht="15" hidden="false" customHeight="true" outlineLevel="0" collapsed="false">
      <c r="A1180" s="21" t="str">
        <f aca="false">IF(B1180="","",ROW()-4)</f>
        <v/>
      </c>
      <c r="B1180" s="22"/>
      <c r="C1180" s="21" t="str">
        <f aca="false">IF(B1180="","",CHOOSE(WEEKDAY(B1180,2),"LUNES","MARTES","MIÉRCOLES","JUEVES","VIERNES","SÁBADO","DOMINGO"))</f>
        <v/>
      </c>
      <c r="M1180" s="23"/>
      <c r="Q1180" s="21" t="str">
        <f aca="false">IF(OR(K1180="",N1180=""),"",K1180-N1180)</f>
        <v/>
      </c>
      <c r="R1180" s="21" t="str">
        <f aca="false">IF(OR(J1180="",K1180=""),"",J1180*K1180)</f>
        <v/>
      </c>
      <c r="S1180" s="21" t="str">
        <f aca="false">IF(AND(ISNUMBER(J1180),ISNUMBER(K1180),F1180&lt;&gt;"Calentamiento",F1180&lt;&gt;"Bilbo"),IF(AND(K1180&gt;0,K1180&lt;=12),ROUND(J1180*(1+(K1180+IF(ISNUMBER(L1180),L1180,0))/30),1),""),"")</f>
        <v/>
      </c>
      <c r="T1180" s="21" t="str">
        <f aca="false">IF(AND(F1180="Bilbo",ISNUMBER(J1180),ISNUMBER(K1180)),ROUND(J1180*(1+K1180/30),1),"")</f>
        <v/>
      </c>
      <c r="W1180" s="22"/>
      <c r="X1180" s="21" t="str">
        <f aca="false">IF(AND(F1180="Bilbo",E1180&lt;&gt;"",G1180&lt;&gt;"",H1180&lt;&gt;""),E1180&amp;"|"&amp;G1180&amp;"|"&amp;H1180,"")</f>
        <v/>
      </c>
      <c r="Y1180" s="21" t="str">
        <f aca="false">IF(B1180="","",IF(B1180&lt;&gt;B1179,1,0))</f>
        <v/>
      </c>
    </row>
    <row r="1181" customFormat="false" ht="15" hidden="false" customHeight="true" outlineLevel="0" collapsed="false">
      <c r="A1181" s="21" t="str">
        <f aca="false">IF(B1181="","",ROW()-4)</f>
        <v/>
      </c>
      <c r="B1181" s="22"/>
      <c r="C1181" s="21" t="str">
        <f aca="false">IF(B1181="","",CHOOSE(WEEKDAY(B1181,2),"LUNES","MARTES","MIÉRCOLES","JUEVES","VIERNES","SÁBADO","DOMINGO"))</f>
        <v/>
      </c>
      <c r="M1181" s="23"/>
      <c r="Q1181" s="21" t="str">
        <f aca="false">IF(OR(K1181="",N1181=""),"",K1181-N1181)</f>
        <v/>
      </c>
      <c r="R1181" s="21" t="str">
        <f aca="false">IF(OR(J1181="",K1181=""),"",J1181*K1181)</f>
        <v/>
      </c>
      <c r="S1181" s="21" t="str">
        <f aca="false">IF(AND(ISNUMBER(J1181),ISNUMBER(K1181),F1181&lt;&gt;"Calentamiento",F1181&lt;&gt;"Bilbo"),IF(AND(K1181&gt;0,K1181&lt;=12),ROUND(J1181*(1+(K1181+IF(ISNUMBER(L1181),L1181,0))/30),1),""),"")</f>
        <v/>
      </c>
      <c r="T1181" s="21" t="str">
        <f aca="false">IF(AND(F1181="Bilbo",ISNUMBER(J1181),ISNUMBER(K1181)),ROUND(J1181*(1+K1181/30),1),"")</f>
        <v/>
      </c>
      <c r="W1181" s="22"/>
      <c r="X1181" s="21" t="str">
        <f aca="false">IF(AND(F1181="Bilbo",E1181&lt;&gt;"",G1181&lt;&gt;"",H1181&lt;&gt;""),E1181&amp;"|"&amp;G1181&amp;"|"&amp;H1181,"")</f>
        <v/>
      </c>
      <c r="Y1181" s="21" t="str">
        <f aca="false">IF(B1181="","",IF(B1181&lt;&gt;B1180,1,0))</f>
        <v/>
      </c>
    </row>
    <row r="1182" customFormat="false" ht="15" hidden="false" customHeight="true" outlineLevel="0" collapsed="false">
      <c r="A1182" s="21" t="str">
        <f aca="false">IF(B1182="","",ROW()-4)</f>
        <v/>
      </c>
      <c r="B1182" s="22"/>
      <c r="C1182" s="21" t="str">
        <f aca="false">IF(B1182="","",CHOOSE(WEEKDAY(B1182,2),"LUNES","MARTES","MIÉRCOLES","JUEVES","VIERNES","SÁBADO","DOMINGO"))</f>
        <v/>
      </c>
      <c r="M1182" s="23"/>
      <c r="Q1182" s="21" t="str">
        <f aca="false">IF(OR(K1182="",N1182=""),"",K1182-N1182)</f>
        <v/>
      </c>
      <c r="R1182" s="21" t="str">
        <f aca="false">IF(OR(J1182="",K1182=""),"",J1182*K1182)</f>
        <v/>
      </c>
      <c r="S1182" s="21" t="str">
        <f aca="false">IF(AND(ISNUMBER(J1182),ISNUMBER(K1182),F1182&lt;&gt;"Calentamiento",F1182&lt;&gt;"Bilbo"),IF(AND(K1182&gt;0,K1182&lt;=12),ROUND(J1182*(1+(K1182+IF(ISNUMBER(L1182),L1182,0))/30),1),""),"")</f>
        <v/>
      </c>
      <c r="T1182" s="21" t="str">
        <f aca="false">IF(AND(F1182="Bilbo",ISNUMBER(J1182),ISNUMBER(K1182)),ROUND(J1182*(1+K1182/30),1),"")</f>
        <v/>
      </c>
      <c r="W1182" s="22"/>
      <c r="X1182" s="21" t="str">
        <f aca="false">IF(AND(F1182="Bilbo",E1182&lt;&gt;"",G1182&lt;&gt;"",H1182&lt;&gt;""),E1182&amp;"|"&amp;G1182&amp;"|"&amp;H1182,"")</f>
        <v/>
      </c>
      <c r="Y1182" s="21" t="str">
        <f aca="false">IF(B1182="","",IF(B1182&lt;&gt;B1181,1,0))</f>
        <v/>
      </c>
    </row>
    <row r="1183" customFormat="false" ht="15" hidden="false" customHeight="true" outlineLevel="0" collapsed="false">
      <c r="A1183" s="21" t="str">
        <f aca="false">IF(B1183="","",ROW()-4)</f>
        <v/>
      </c>
      <c r="B1183" s="22"/>
      <c r="C1183" s="21" t="str">
        <f aca="false">IF(B1183="","",CHOOSE(WEEKDAY(B1183,2),"LUNES","MARTES","MIÉRCOLES","JUEVES","VIERNES","SÁBADO","DOMINGO"))</f>
        <v/>
      </c>
      <c r="M1183" s="23"/>
      <c r="Q1183" s="21" t="str">
        <f aca="false">IF(OR(K1183="",N1183=""),"",K1183-N1183)</f>
        <v/>
      </c>
      <c r="R1183" s="21" t="str">
        <f aca="false">IF(OR(J1183="",K1183=""),"",J1183*K1183)</f>
        <v/>
      </c>
      <c r="S1183" s="21" t="str">
        <f aca="false">IF(AND(ISNUMBER(J1183),ISNUMBER(K1183),F1183&lt;&gt;"Calentamiento",F1183&lt;&gt;"Bilbo"),IF(AND(K1183&gt;0,K1183&lt;=12),ROUND(J1183*(1+(K1183+IF(ISNUMBER(L1183),L1183,0))/30),1),""),"")</f>
        <v/>
      </c>
      <c r="T1183" s="21" t="str">
        <f aca="false">IF(AND(F1183="Bilbo",ISNUMBER(J1183),ISNUMBER(K1183)),ROUND(J1183*(1+K1183/30),1),"")</f>
        <v/>
      </c>
      <c r="W1183" s="22"/>
      <c r="X1183" s="21" t="str">
        <f aca="false">IF(AND(F1183="Bilbo",E1183&lt;&gt;"",G1183&lt;&gt;"",H1183&lt;&gt;""),E1183&amp;"|"&amp;G1183&amp;"|"&amp;H1183,"")</f>
        <v/>
      </c>
      <c r="Y1183" s="21" t="str">
        <f aca="false">IF(B1183="","",IF(B1183&lt;&gt;B1182,1,0))</f>
        <v/>
      </c>
    </row>
    <row r="1184" customFormat="false" ht="15" hidden="false" customHeight="true" outlineLevel="0" collapsed="false">
      <c r="A1184" s="21" t="str">
        <f aca="false">IF(B1184="","",ROW()-4)</f>
        <v/>
      </c>
      <c r="B1184" s="22"/>
      <c r="C1184" s="21" t="str">
        <f aca="false">IF(B1184="","",CHOOSE(WEEKDAY(B1184,2),"LUNES","MARTES","MIÉRCOLES","JUEVES","VIERNES","SÁBADO","DOMINGO"))</f>
        <v/>
      </c>
      <c r="M1184" s="23"/>
      <c r="Q1184" s="21" t="str">
        <f aca="false">IF(OR(K1184="",N1184=""),"",K1184-N1184)</f>
        <v/>
      </c>
      <c r="R1184" s="21" t="str">
        <f aca="false">IF(OR(J1184="",K1184=""),"",J1184*K1184)</f>
        <v/>
      </c>
      <c r="S1184" s="21" t="str">
        <f aca="false">IF(AND(ISNUMBER(J1184),ISNUMBER(K1184),F1184&lt;&gt;"Calentamiento",F1184&lt;&gt;"Bilbo"),IF(AND(K1184&gt;0,K1184&lt;=12),ROUND(J1184*(1+(K1184+IF(ISNUMBER(L1184),L1184,0))/30),1),""),"")</f>
        <v/>
      </c>
      <c r="T1184" s="21" t="str">
        <f aca="false">IF(AND(F1184="Bilbo",ISNUMBER(J1184),ISNUMBER(K1184)),ROUND(J1184*(1+K1184/30),1),"")</f>
        <v/>
      </c>
      <c r="W1184" s="22"/>
      <c r="X1184" s="21" t="str">
        <f aca="false">IF(AND(F1184="Bilbo",E1184&lt;&gt;"",G1184&lt;&gt;"",H1184&lt;&gt;""),E1184&amp;"|"&amp;G1184&amp;"|"&amp;H1184,"")</f>
        <v/>
      </c>
      <c r="Y1184" s="21" t="str">
        <f aca="false">IF(B1184="","",IF(B1184&lt;&gt;B1183,1,0))</f>
        <v/>
      </c>
    </row>
    <row r="1185" customFormat="false" ht="15" hidden="false" customHeight="true" outlineLevel="0" collapsed="false">
      <c r="A1185" s="21" t="str">
        <f aca="false">IF(B1185="","",ROW()-4)</f>
        <v/>
      </c>
      <c r="B1185" s="22"/>
      <c r="C1185" s="21" t="str">
        <f aca="false">IF(B1185="","",CHOOSE(WEEKDAY(B1185,2),"LUNES","MARTES","MIÉRCOLES","JUEVES","VIERNES","SÁBADO","DOMINGO"))</f>
        <v/>
      </c>
      <c r="M1185" s="23"/>
      <c r="Q1185" s="21" t="str">
        <f aca="false">IF(OR(K1185="",N1185=""),"",K1185-N1185)</f>
        <v/>
      </c>
      <c r="R1185" s="21" t="str">
        <f aca="false">IF(OR(J1185="",K1185=""),"",J1185*K1185)</f>
        <v/>
      </c>
      <c r="S1185" s="21" t="str">
        <f aca="false">IF(AND(ISNUMBER(J1185),ISNUMBER(K1185),F1185&lt;&gt;"Calentamiento",F1185&lt;&gt;"Bilbo"),IF(AND(K1185&gt;0,K1185&lt;=12),ROUND(J1185*(1+(K1185+IF(ISNUMBER(L1185),L1185,0))/30),1),""),"")</f>
        <v/>
      </c>
      <c r="T1185" s="21" t="str">
        <f aca="false">IF(AND(F1185="Bilbo",ISNUMBER(J1185),ISNUMBER(K1185)),ROUND(J1185*(1+K1185/30),1),"")</f>
        <v/>
      </c>
      <c r="W1185" s="22"/>
      <c r="X1185" s="21" t="str">
        <f aca="false">IF(AND(F1185="Bilbo",E1185&lt;&gt;"",G1185&lt;&gt;"",H1185&lt;&gt;""),E1185&amp;"|"&amp;G1185&amp;"|"&amp;H1185,"")</f>
        <v/>
      </c>
      <c r="Y1185" s="21" t="str">
        <f aca="false">IF(B1185="","",IF(B1185&lt;&gt;B1184,1,0))</f>
        <v/>
      </c>
    </row>
    <row r="1186" customFormat="false" ht="15" hidden="false" customHeight="true" outlineLevel="0" collapsed="false">
      <c r="A1186" s="21" t="str">
        <f aca="false">IF(B1186="","",ROW()-4)</f>
        <v/>
      </c>
      <c r="B1186" s="22"/>
      <c r="C1186" s="21" t="str">
        <f aca="false">IF(B1186="","",CHOOSE(WEEKDAY(B1186,2),"LUNES","MARTES","MIÉRCOLES","JUEVES","VIERNES","SÁBADO","DOMINGO"))</f>
        <v/>
      </c>
      <c r="M1186" s="23"/>
      <c r="Q1186" s="21" t="str">
        <f aca="false">IF(OR(K1186="",N1186=""),"",K1186-N1186)</f>
        <v/>
      </c>
      <c r="R1186" s="21" t="str">
        <f aca="false">IF(OR(J1186="",K1186=""),"",J1186*K1186)</f>
        <v/>
      </c>
      <c r="S1186" s="21" t="str">
        <f aca="false">IF(AND(ISNUMBER(J1186),ISNUMBER(K1186),F1186&lt;&gt;"Calentamiento",F1186&lt;&gt;"Bilbo"),IF(AND(K1186&gt;0,K1186&lt;=12),ROUND(J1186*(1+(K1186+IF(ISNUMBER(L1186),L1186,0))/30),1),""),"")</f>
        <v/>
      </c>
      <c r="T1186" s="21" t="str">
        <f aca="false">IF(AND(F1186="Bilbo",ISNUMBER(J1186),ISNUMBER(K1186)),ROUND(J1186*(1+K1186/30),1),"")</f>
        <v/>
      </c>
      <c r="W1186" s="22"/>
      <c r="X1186" s="21" t="str">
        <f aca="false">IF(AND(F1186="Bilbo",E1186&lt;&gt;"",G1186&lt;&gt;"",H1186&lt;&gt;""),E1186&amp;"|"&amp;G1186&amp;"|"&amp;H1186,"")</f>
        <v/>
      </c>
      <c r="Y1186" s="21" t="str">
        <f aca="false">IF(B1186="","",IF(B1186&lt;&gt;B1185,1,0))</f>
        <v/>
      </c>
    </row>
    <row r="1187" customFormat="false" ht="15" hidden="false" customHeight="true" outlineLevel="0" collapsed="false">
      <c r="A1187" s="21" t="str">
        <f aca="false">IF(B1187="","",ROW()-4)</f>
        <v/>
      </c>
      <c r="B1187" s="22"/>
      <c r="C1187" s="21" t="str">
        <f aca="false">IF(B1187="","",CHOOSE(WEEKDAY(B1187,2),"LUNES","MARTES","MIÉRCOLES","JUEVES","VIERNES","SÁBADO","DOMINGO"))</f>
        <v/>
      </c>
      <c r="M1187" s="23"/>
      <c r="Q1187" s="21" t="str">
        <f aca="false">IF(OR(K1187="",N1187=""),"",K1187-N1187)</f>
        <v/>
      </c>
      <c r="R1187" s="21" t="str">
        <f aca="false">IF(OR(J1187="",K1187=""),"",J1187*K1187)</f>
        <v/>
      </c>
      <c r="S1187" s="21" t="str">
        <f aca="false">IF(AND(ISNUMBER(J1187),ISNUMBER(K1187),F1187&lt;&gt;"Calentamiento",F1187&lt;&gt;"Bilbo"),IF(AND(K1187&gt;0,K1187&lt;=12),ROUND(J1187*(1+(K1187+IF(ISNUMBER(L1187),L1187,0))/30),1),""),"")</f>
        <v/>
      </c>
      <c r="T1187" s="21" t="str">
        <f aca="false">IF(AND(F1187="Bilbo",ISNUMBER(J1187),ISNUMBER(K1187)),ROUND(J1187*(1+K1187/30),1),"")</f>
        <v/>
      </c>
      <c r="W1187" s="22"/>
      <c r="X1187" s="21" t="str">
        <f aca="false">IF(AND(F1187="Bilbo",E1187&lt;&gt;"",G1187&lt;&gt;"",H1187&lt;&gt;""),E1187&amp;"|"&amp;G1187&amp;"|"&amp;H1187,"")</f>
        <v/>
      </c>
      <c r="Y1187" s="21" t="str">
        <f aca="false">IF(B1187="","",IF(B1187&lt;&gt;B1186,1,0))</f>
        <v/>
      </c>
    </row>
    <row r="1188" customFormat="false" ht="15" hidden="false" customHeight="true" outlineLevel="0" collapsed="false">
      <c r="A1188" s="21" t="str">
        <f aca="false">IF(B1188="","",ROW()-4)</f>
        <v/>
      </c>
      <c r="B1188" s="22"/>
      <c r="C1188" s="21" t="str">
        <f aca="false">IF(B1188="","",CHOOSE(WEEKDAY(B1188,2),"LUNES","MARTES","MIÉRCOLES","JUEVES","VIERNES","SÁBADO","DOMINGO"))</f>
        <v/>
      </c>
      <c r="M1188" s="23"/>
      <c r="Q1188" s="21" t="str">
        <f aca="false">IF(OR(K1188="",N1188=""),"",K1188-N1188)</f>
        <v/>
      </c>
      <c r="R1188" s="21" t="str">
        <f aca="false">IF(OR(J1188="",K1188=""),"",J1188*K1188)</f>
        <v/>
      </c>
      <c r="S1188" s="21" t="str">
        <f aca="false">IF(AND(ISNUMBER(J1188),ISNUMBER(K1188),F1188&lt;&gt;"Calentamiento",F1188&lt;&gt;"Bilbo"),IF(AND(K1188&gt;0,K1188&lt;=12),ROUND(J1188*(1+(K1188+IF(ISNUMBER(L1188),L1188,0))/30),1),""),"")</f>
        <v/>
      </c>
      <c r="T1188" s="21" t="str">
        <f aca="false">IF(AND(F1188="Bilbo",ISNUMBER(J1188),ISNUMBER(K1188)),ROUND(J1188*(1+K1188/30),1),"")</f>
        <v/>
      </c>
      <c r="W1188" s="22"/>
      <c r="X1188" s="21" t="str">
        <f aca="false">IF(AND(F1188="Bilbo",E1188&lt;&gt;"",G1188&lt;&gt;"",H1188&lt;&gt;""),E1188&amp;"|"&amp;G1188&amp;"|"&amp;H1188,"")</f>
        <v/>
      </c>
      <c r="Y1188" s="21" t="str">
        <f aca="false">IF(B1188="","",IF(B1188&lt;&gt;B1187,1,0))</f>
        <v/>
      </c>
    </row>
    <row r="1189" customFormat="false" ht="15" hidden="false" customHeight="true" outlineLevel="0" collapsed="false">
      <c r="A1189" s="21" t="str">
        <f aca="false">IF(B1189="","",ROW()-4)</f>
        <v/>
      </c>
      <c r="B1189" s="22"/>
      <c r="C1189" s="21" t="str">
        <f aca="false">IF(B1189="","",CHOOSE(WEEKDAY(B1189,2),"LUNES","MARTES","MIÉRCOLES","JUEVES","VIERNES","SÁBADO","DOMINGO"))</f>
        <v/>
      </c>
      <c r="M1189" s="23"/>
      <c r="Q1189" s="21" t="str">
        <f aca="false">IF(OR(K1189="",N1189=""),"",K1189-N1189)</f>
        <v/>
      </c>
      <c r="R1189" s="21" t="str">
        <f aca="false">IF(OR(J1189="",K1189=""),"",J1189*K1189)</f>
        <v/>
      </c>
      <c r="S1189" s="21" t="str">
        <f aca="false">IF(AND(ISNUMBER(J1189),ISNUMBER(K1189),F1189&lt;&gt;"Calentamiento",F1189&lt;&gt;"Bilbo"),IF(AND(K1189&gt;0,K1189&lt;=12),ROUND(J1189*(1+(K1189+IF(ISNUMBER(L1189),L1189,0))/30),1),""),"")</f>
        <v/>
      </c>
      <c r="T1189" s="21" t="str">
        <f aca="false">IF(AND(F1189="Bilbo",ISNUMBER(J1189),ISNUMBER(K1189)),ROUND(J1189*(1+K1189/30),1),"")</f>
        <v/>
      </c>
      <c r="W1189" s="22"/>
      <c r="X1189" s="21" t="str">
        <f aca="false">IF(AND(F1189="Bilbo",E1189&lt;&gt;"",G1189&lt;&gt;"",H1189&lt;&gt;""),E1189&amp;"|"&amp;G1189&amp;"|"&amp;H1189,"")</f>
        <v/>
      </c>
      <c r="Y1189" s="21" t="str">
        <f aca="false">IF(B1189="","",IF(B1189&lt;&gt;B1188,1,0))</f>
        <v/>
      </c>
    </row>
    <row r="1190" customFormat="false" ht="15" hidden="false" customHeight="true" outlineLevel="0" collapsed="false">
      <c r="A1190" s="21" t="str">
        <f aca="false">IF(B1190="","",ROW()-4)</f>
        <v/>
      </c>
      <c r="B1190" s="22"/>
      <c r="C1190" s="21" t="str">
        <f aca="false">IF(B1190="","",CHOOSE(WEEKDAY(B1190,2),"LUNES","MARTES","MIÉRCOLES","JUEVES","VIERNES","SÁBADO","DOMINGO"))</f>
        <v/>
      </c>
      <c r="M1190" s="23"/>
      <c r="Q1190" s="21" t="str">
        <f aca="false">IF(OR(K1190="",N1190=""),"",K1190-N1190)</f>
        <v/>
      </c>
      <c r="R1190" s="21" t="str">
        <f aca="false">IF(OR(J1190="",K1190=""),"",J1190*K1190)</f>
        <v/>
      </c>
      <c r="S1190" s="21" t="str">
        <f aca="false">IF(AND(ISNUMBER(J1190),ISNUMBER(K1190),F1190&lt;&gt;"Calentamiento",F1190&lt;&gt;"Bilbo"),IF(AND(K1190&gt;0,K1190&lt;=12),ROUND(J1190*(1+(K1190+IF(ISNUMBER(L1190),L1190,0))/30),1),""),"")</f>
        <v/>
      </c>
      <c r="T1190" s="21" t="str">
        <f aca="false">IF(AND(F1190="Bilbo",ISNUMBER(J1190),ISNUMBER(K1190)),ROUND(J1190*(1+K1190/30),1),"")</f>
        <v/>
      </c>
      <c r="W1190" s="22"/>
      <c r="X1190" s="21" t="str">
        <f aca="false">IF(AND(F1190="Bilbo",E1190&lt;&gt;"",G1190&lt;&gt;"",H1190&lt;&gt;""),E1190&amp;"|"&amp;G1190&amp;"|"&amp;H1190,"")</f>
        <v/>
      </c>
      <c r="Y1190" s="21" t="str">
        <f aca="false">IF(B1190="","",IF(B1190&lt;&gt;B1189,1,0))</f>
        <v/>
      </c>
    </row>
    <row r="1191" customFormat="false" ht="15" hidden="false" customHeight="true" outlineLevel="0" collapsed="false">
      <c r="A1191" s="21" t="str">
        <f aca="false">IF(B1191="","",ROW()-4)</f>
        <v/>
      </c>
      <c r="B1191" s="22"/>
      <c r="C1191" s="21" t="str">
        <f aca="false">IF(B1191="","",CHOOSE(WEEKDAY(B1191,2),"LUNES","MARTES","MIÉRCOLES","JUEVES","VIERNES","SÁBADO","DOMINGO"))</f>
        <v/>
      </c>
      <c r="M1191" s="23"/>
      <c r="Q1191" s="21" t="str">
        <f aca="false">IF(OR(K1191="",N1191=""),"",K1191-N1191)</f>
        <v/>
      </c>
      <c r="R1191" s="21" t="str">
        <f aca="false">IF(OR(J1191="",K1191=""),"",J1191*K1191)</f>
        <v/>
      </c>
      <c r="S1191" s="21" t="str">
        <f aca="false">IF(AND(ISNUMBER(J1191),ISNUMBER(K1191),F1191&lt;&gt;"Calentamiento",F1191&lt;&gt;"Bilbo"),IF(AND(K1191&gt;0,K1191&lt;=12),ROUND(J1191*(1+(K1191+IF(ISNUMBER(L1191),L1191,0))/30),1),""),"")</f>
        <v/>
      </c>
      <c r="T1191" s="21" t="str">
        <f aca="false">IF(AND(F1191="Bilbo",ISNUMBER(J1191),ISNUMBER(K1191)),ROUND(J1191*(1+K1191/30),1),"")</f>
        <v/>
      </c>
      <c r="W1191" s="22"/>
      <c r="X1191" s="21" t="str">
        <f aca="false">IF(AND(F1191="Bilbo",E1191&lt;&gt;"",G1191&lt;&gt;"",H1191&lt;&gt;""),E1191&amp;"|"&amp;G1191&amp;"|"&amp;H1191,"")</f>
        <v/>
      </c>
      <c r="Y1191" s="21" t="str">
        <f aca="false">IF(B1191="","",IF(B1191&lt;&gt;B1190,1,0))</f>
        <v/>
      </c>
    </row>
    <row r="1192" customFormat="false" ht="15" hidden="false" customHeight="true" outlineLevel="0" collapsed="false">
      <c r="A1192" s="21" t="str">
        <f aca="false">IF(B1192="","",ROW()-4)</f>
        <v/>
      </c>
      <c r="B1192" s="22"/>
      <c r="C1192" s="21" t="str">
        <f aca="false">IF(B1192="","",CHOOSE(WEEKDAY(B1192,2),"LUNES","MARTES","MIÉRCOLES","JUEVES","VIERNES","SÁBADO","DOMINGO"))</f>
        <v/>
      </c>
      <c r="M1192" s="23"/>
      <c r="Q1192" s="21" t="str">
        <f aca="false">IF(OR(K1192="",N1192=""),"",K1192-N1192)</f>
        <v/>
      </c>
      <c r="R1192" s="21" t="str">
        <f aca="false">IF(OR(J1192="",K1192=""),"",J1192*K1192)</f>
        <v/>
      </c>
      <c r="S1192" s="21" t="str">
        <f aca="false">IF(AND(ISNUMBER(J1192),ISNUMBER(K1192),F1192&lt;&gt;"Calentamiento",F1192&lt;&gt;"Bilbo"),IF(AND(K1192&gt;0,K1192&lt;=12),ROUND(J1192*(1+(K1192+IF(ISNUMBER(L1192),L1192,0))/30),1),""),"")</f>
        <v/>
      </c>
      <c r="T1192" s="21" t="str">
        <f aca="false">IF(AND(F1192="Bilbo",ISNUMBER(J1192),ISNUMBER(K1192)),ROUND(J1192*(1+K1192/30),1),"")</f>
        <v/>
      </c>
      <c r="W1192" s="22"/>
      <c r="X1192" s="21" t="str">
        <f aca="false">IF(AND(F1192="Bilbo",E1192&lt;&gt;"",G1192&lt;&gt;"",H1192&lt;&gt;""),E1192&amp;"|"&amp;G1192&amp;"|"&amp;H1192,"")</f>
        <v/>
      </c>
      <c r="Y1192" s="21" t="str">
        <f aca="false">IF(B1192="","",IF(B1192&lt;&gt;B1191,1,0))</f>
        <v/>
      </c>
    </row>
    <row r="1193" customFormat="false" ht="15" hidden="false" customHeight="true" outlineLevel="0" collapsed="false">
      <c r="A1193" s="21" t="str">
        <f aca="false">IF(B1193="","",ROW()-4)</f>
        <v/>
      </c>
      <c r="B1193" s="22"/>
      <c r="C1193" s="21" t="str">
        <f aca="false">IF(B1193="","",CHOOSE(WEEKDAY(B1193,2),"LUNES","MARTES","MIÉRCOLES","JUEVES","VIERNES","SÁBADO","DOMINGO"))</f>
        <v/>
      </c>
      <c r="M1193" s="23"/>
      <c r="Q1193" s="21" t="str">
        <f aca="false">IF(OR(K1193="",N1193=""),"",K1193-N1193)</f>
        <v/>
      </c>
      <c r="R1193" s="21" t="str">
        <f aca="false">IF(OR(J1193="",K1193=""),"",J1193*K1193)</f>
        <v/>
      </c>
      <c r="S1193" s="21" t="str">
        <f aca="false">IF(AND(ISNUMBER(J1193),ISNUMBER(K1193),F1193&lt;&gt;"Calentamiento",F1193&lt;&gt;"Bilbo"),IF(AND(K1193&gt;0,K1193&lt;=12),ROUND(J1193*(1+(K1193+IF(ISNUMBER(L1193),L1193,0))/30),1),""),"")</f>
        <v/>
      </c>
      <c r="T1193" s="21" t="str">
        <f aca="false">IF(AND(F1193="Bilbo",ISNUMBER(J1193),ISNUMBER(K1193)),ROUND(J1193*(1+K1193/30),1),"")</f>
        <v/>
      </c>
      <c r="W1193" s="22"/>
      <c r="X1193" s="21" t="str">
        <f aca="false">IF(AND(F1193="Bilbo",E1193&lt;&gt;"",G1193&lt;&gt;"",H1193&lt;&gt;""),E1193&amp;"|"&amp;G1193&amp;"|"&amp;H1193,"")</f>
        <v/>
      </c>
      <c r="Y1193" s="21" t="str">
        <f aca="false">IF(B1193="","",IF(B1193&lt;&gt;B1192,1,0))</f>
        <v/>
      </c>
    </row>
    <row r="1194" customFormat="false" ht="15" hidden="false" customHeight="true" outlineLevel="0" collapsed="false">
      <c r="A1194" s="21" t="str">
        <f aca="false">IF(B1194="","",ROW()-4)</f>
        <v/>
      </c>
      <c r="B1194" s="22"/>
      <c r="C1194" s="21" t="str">
        <f aca="false">IF(B1194="","",CHOOSE(WEEKDAY(B1194,2),"LUNES","MARTES","MIÉRCOLES","JUEVES","VIERNES","SÁBADO","DOMINGO"))</f>
        <v/>
      </c>
      <c r="M1194" s="23"/>
      <c r="Q1194" s="21" t="str">
        <f aca="false">IF(OR(K1194="",N1194=""),"",K1194-N1194)</f>
        <v/>
      </c>
      <c r="R1194" s="21" t="str">
        <f aca="false">IF(OR(J1194="",K1194=""),"",J1194*K1194)</f>
        <v/>
      </c>
      <c r="S1194" s="21" t="str">
        <f aca="false">IF(AND(ISNUMBER(J1194),ISNUMBER(K1194),F1194&lt;&gt;"Calentamiento",F1194&lt;&gt;"Bilbo"),IF(AND(K1194&gt;0,K1194&lt;=12),ROUND(J1194*(1+(K1194+IF(ISNUMBER(L1194),L1194,0))/30),1),""),"")</f>
        <v/>
      </c>
      <c r="T1194" s="21" t="str">
        <f aca="false">IF(AND(F1194="Bilbo",ISNUMBER(J1194),ISNUMBER(K1194)),ROUND(J1194*(1+K1194/30),1),"")</f>
        <v/>
      </c>
      <c r="W1194" s="22"/>
      <c r="X1194" s="21" t="str">
        <f aca="false">IF(AND(F1194="Bilbo",E1194&lt;&gt;"",G1194&lt;&gt;"",H1194&lt;&gt;""),E1194&amp;"|"&amp;G1194&amp;"|"&amp;H1194,"")</f>
        <v/>
      </c>
      <c r="Y1194" s="21" t="str">
        <f aca="false">IF(B1194="","",IF(B1194&lt;&gt;B1193,1,0))</f>
        <v/>
      </c>
    </row>
    <row r="1195" customFormat="false" ht="15" hidden="false" customHeight="true" outlineLevel="0" collapsed="false">
      <c r="A1195" s="21" t="str">
        <f aca="false">IF(B1195="","",ROW()-4)</f>
        <v/>
      </c>
      <c r="B1195" s="22"/>
      <c r="C1195" s="21" t="str">
        <f aca="false">IF(B1195="","",CHOOSE(WEEKDAY(B1195,2),"LUNES","MARTES","MIÉRCOLES","JUEVES","VIERNES","SÁBADO","DOMINGO"))</f>
        <v/>
      </c>
      <c r="M1195" s="23"/>
      <c r="Q1195" s="21" t="str">
        <f aca="false">IF(OR(K1195="",N1195=""),"",K1195-N1195)</f>
        <v/>
      </c>
      <c r="R1195" s="21" t="str">
        <f aca="false">IF(OR(J1195="",K1195=""),"",J1195*K1195)</f>
        <v/>
      </c>
      <c r="S1195" s="21" t="str">
        <f aca="false">IF(AND(ISNUMBER(J1195),ISNUMBER(K1195),F1195&lt;&gt;"Calentamiento",F1195&lt;&gt;"Bilbo"),IF(AND(K1195&gt;0,K1195&lt;=12),ROUND(J1195*(1+(K1195+IF(ISNUMBER(L1195),L1195,0))/30),1),""),"")</f>
        <v/>
      </c>
      <c r="T1195" s="21" t="str">
        <f aca="false">IF(AND(F1195="Bilbo",ISNUMBER(J1195),ISNUMBER(K1195)),ROUND(J1195*(1+K1195/30),1),"")</f>
        <v/>
      </c>
      <c r="W1195" s="22"/>
      <c r="X1195" s="21" t="str">
        <f aca="false">IF(AND(F1195="Bilbo",E1195&lt;&gt;"",G1195&lt;&gt;"",H1195&lt;&gt;""),E1195&amp;"|"&amp;G1195&amp;"|"&amp;H1195,"")</f>
        <v/>
      </c>
      <c r="Y1195" s="21" t="str">
        <f aca="false">IF(B1195="","",IF(B1195&lt;&gt;B1194,1,0))</f>
        <v/>
      </c>
    </row>
    <row r="1196" customFormat="false" ht="15" hidden="false" customHeight="true" outlineLevel="0" collapsed="false">
      <c r="A1196" s="21" t="str">
        <f aca="false">IF(B1196="","",ROW()-4)</f>
        <v/>
      </c>
      <c r="B1196" s="22"/>
      <c r="C1196" s="21" t="str">
        <f aca="false">IF(B1196="","",CHOOSE(WEEKDAY(B1196,2),"LUNES","MARTES","MIÉRCOLES","JUEVES","VIERNES","SÁBADO","DOMINGO"))</f>
        <v/>
      </c>
      <c r="M1196" s="23"/>
      <c r="Q1196" s="21" t="str">
        <f aca="false">IF(OR(K1196="",N1196=""),"",K1196-N1196)</f>
        <v/>
      </c>
      <c r="R1196" s="21" t="str">
        <f aca="false">IF(OR(J1196="",K1196=""),"",J1196*K1196)</f>
        <v/>
      </c>
      <c r="S1196" s="21" t="str">
        <f aca="false">IF(AND(ISNUMBER(J1196),ISNUMBER(K1196),F1196&lt;&gt;"Calentamiento",F1196&lt;&gt;"Bilbo"),IF(AND(K1196&gt;0,K1196&lt;=12),ROUND(J1196*(1+(K1196+IF(ISNUMBER(L1196),L1196,0))/30),1),""),"")</f>
        <v/>
      </c>
      <c r="T1196" s="21" t="str">
        <f aca="false">IF(AND(F1196="Bilbo",ISNUMBER(J1196),ISNUMBER(K1196)),ROUND(J1196*(1+K1196/30),1),"")</f>
        <v/>
      </c>
      <c r="W1196" s="22"/>
      <c r="X1196" s="21" t="str">
        <f aca="false">IF(AND(F1196="Bilbo",E1196&lt;&gt;"",G1196&lt;&gt;"",H1196&lt;&gt;""),E1196&amp;"|"&amp;G1196&amp;"|"&amp;H1196,"")</f>
        <v/>
      </c>
      <c r="Y1196" s="21" t="str">
        <f aca="false">IF(B1196="","",IF(B1196&lt;&gt;B1195,1,0))</f>
        <v/>
      </c>
    </row>
    <row r="1197" customFormat="false" ht="15" hidden="false" customHeight="true" outlineLevel="0" collapsed="false">
      <c r="A1197" s="21" t="str">
        <f aca="false">IF(B1197="","",ROW()-4)</f>
        <v/>
      </c>
      <c r="B1197" s="22"/>
      <c r="C1197" s="21" t="str">
        <f aca="false">IF(B1197="","",CHOOSE(WEEKDAY(B1197,2),"LUNES","MARTES","MIÉRCOLES","JUEVES","VIERNES","SÁBADO","DOMINGO"))</f>
        <v/>
      </c>
      <c r="M1197" s="23"/>
      <c r="Q1197" s="21" t="str">
        <f aca="false">IF(OR(K1197="",N1197=""),"",K1197-N1197)</f>
        <v/>
      </c>
      <c r="R1197" s="21" t="str">
        <f aca="false">IF(OR(J1197="",K1197=""),"",J1197*K1197)</f>
        <v/>
      </c>
      <c r="S1197" s="21" t="str">
        <f aca="false">IF(AND(ISNUMBER(J1197),ISNUMBER(K1197),F1197&lt;&gt;"Calentamiento",F1197&lt;&gt;"Bilbo"),IF(AND(K1197&gt;0,K1197&lt;=12),ROUND(J1197*(1+(K1197+IF(ISNUMBER(L1197),L1197,0))/30),1),""),"")</f>
        <v/>
      </c>
      <c r="T1197" s="21" t="str">
        <f aca="false">IF(AND(F1197="Bilbo",ISNUMBER(J1197),ISNUMBER(K1197)),ROUND(J1197*(1+K1197/30),1),"")</f>
        <v/>
      </c>
      <c r="W1197" s="22"/>
      <c r="X1197" s="21" t="str">
        <f aca="false">IF(AND(F1197="Bilbo",E1197&lt;&gt;"",G1197&lt;&gt;"",H1197&lt;&gt;""),E1197&amp;"|"&amp;G1197&amp;"|"&amp;H1197,"")</f>
        <v/>
      </c>
      <c r="Y1197" s="21" t="str">
        <f aca="false">IF(B1197="","",IF(B1197&lt;&gt;B1196,1,0))</f>
        <v/>
      </c>
    </row>
    <row r="1198" customFormat="false" ht="15" hidden="false" customHeight="true" outlineLevel="0" collapsed="false">
      <c r="A1198" s="21" t="str">
        <f aca="false">IF(B1198="","",ROW()-4)</f>
        <v/>
      </c>
      <c r="B1198" s="22"/>
      <c r="C1198" s="21" t="str">
        <f aca="false">IF(B1198="","",CHOOSE(WEEKDAY(B1198,2),"LUNES","MARTES","MIÉRCOLES","JUEVES","VIERNES","SÁBADO","DOMINGO"))</f>
        <v/>
      </c>
      <c r="M1198" s="23"/>
      <c r="Q1198" s="21" t="str">
        <f aca="false">IF(OR(K1198="",N1198=""),"",K1198-N1198)</f>
        <v/>
      </c>
      <c r="R1198" s="21" t="str">
        <f aca="false">IF(OR(J1198="",K1198=""),"",J1198*K1198)</f>
        <v/>
      </c>
      <c r="S1198" s="21" t="str">
        <f aca="false">IF(AND(ISNUMBER(J1198),ISNUMBER(K1198),F1198&lt;&gt;"Calentamiento",F1198&lt;&gt;"Bilbo"),IF(AND(K1198&gt;0,K1198&lt;=12),ROUND(J1198*(1+(K1198+IF(ISNUMBER(L1198),L1198,0))/30),1),""),"")</f>
        <v/>
      </c>
      <c r="T1198" s="21" t="str">
        <f aca="false">IF(AND(F1198="Bilbo",ISNUMBER(J1198),ISNUMBER(K1198)),ROUND(J1198*(1+K1198/30),1),"")</f>
        <v/>
      </c>
      <c r="W1198" s="22"/>
      <c r="X1198" s="21" t="str">
        <f aca="false">IF(AND(F1198="Bilbo",E1198&lt;&gt;"",G1198&lt;&gt;"",H1198&lt;&gt;""),E1198&amp;"|"&amp;G1198&amp;"|"&amp;H1198,"")</f>
        <v/>
      </c>
      <c r="Y1198" s="21" t="str">
        <f aca="false">IF(B1198="","",IF(B1198&lt;&gt;B1197,1,0))</f>
        <v/>
      </c>
    </row>
    <row r="1199" customFormat="false" ht="15" hidden="false" customHeight="true" outlineLevel="0" collapsed="false">
      <c r="A1199" s="21" t="str">
        <f aca="false">IF(B1199="","",ROW()-4)</f>
        <v/>
      </c>
      <c r="B1199" s="22"/>
      <c r="C1199" s="21" t="str">
        <f aca="false">IF(B1199="","",CHOOSE(WEEKDAY(B1199,2),"LUNES","MARTES","MIÉRCOLES","JUEVES","VIERNES","SÁBADO","DOMINGO"))</f>
        <v/>
      </c>
      <c r="M1199" s="23"/>
      <c r="Q1199" s="21" t="str">
        <f aca="false">IF(OR(K1199="",N1199=""),"",K1199-N1199)</f>
        <v/>
      </c>
      <c r="R1199" s="21" t="str">
        <f aca="false">IF(OR(J1199="",K1199=""),"",J1199*K1199)</f>
        <v/>
      </c>
      <c r="S1199" s="21" t="str">
        <f aca="false">IF(AND(ISNUMBER(J1199),ISNUMBER(K1199),F1199&lt;&gt;"Calentamiento",F1199&lt;&gt;"Bilbo"),IF(AND(K1199&gt;0,K1199&lt;=12),ROUND(J1199*(1+(K1199+IF(ISNUMBER(L1199),L1199,0))/30),1),""),"")</f>
        <v/>
      </c>
      <c r="T1199" s="21" t="str">
        <f aca="false">IF(AND(F1199="Bilbo",ISNUMBER(J1199),ISNUMBER(K1199)),ROUND(J1199*(1+K1199/30),1),"")</f>
        <v/>
      </c>
      <c r="W1199" s="22"/>
      <c r="X1199" s="21" t="str">
        <f aca="false">IF(AND(F1199="Bilbo",E1199&lt;&gt;"",G1199&lt;&gt;"",H1199&lt;&gt;""),E1199&amp;"|"&amp;G1199&amp;"|"&amp;H1199,"")</f>
        <v/>
      </c>
      <c r="Y1199" s="21" t="str">
        <f aca="false">IF(B1199="","",IF(B1199&lt;&gt;B1198,1,0))</f>
        <v/>
      </c>
    </row>
    <row r="1200" customFormat="false" ht="15" hidden="false" customHeight="true" outlineLevel="0" collapsed="false">
      <c r="A1200" s="21" t="str">
        <f aca="false">IF(B1200="","",ROW()-4)</f>
        <v/>
      </c>
      <c r="B1200" s="22"/>
      <c r="C1200" s="21" t="str">
        <f aca="false">IF(B1200="","",CHOOSE(WEEKDAY(B1200,2),"LUNES","MARTES","MIÉRCOLES","JUEVES","VIERNES","SÁBADO","DOMINGO"))</f>
        <v/>
      </c>
      <c r="M1200" s="23"/>
      <c r="Q1200" s="21" t="str">
        <f aca="false">IF(OR(K1200="",N1200=""),"",K1200-N1200)</f>
        <v/>
      </c>
      <c r="R1200" s="21" t="str">
        <f aca="false">IF(OR(J1200="",K1200=""),"",J1200*K1200)</f>
        <v/>
      </c>
      <c r="S1200" s="21" t="str">
        <f aca="false">IF(AND(ISNUMBER(J1200),ISNUMBER(K1200),F1200&lt;&gt;"Calentamiento",F1200&lt;&gt;"Bilbo"),IF(AND(K1200&gt;0,K1200&lt;=12),ROUND(J1200*(1+(K1200+IF(ISNUMBER(L1200),L1200,0))/30),1),""),"")</f>
        <v/>
      </c>
      <c r="T1200" s="21" t="str">
        <f aca="false">IF(AND(F1200="Bilbo",ISNUMBER(J1200),ISNUMBER(K1200)),ROUND(J1200*(1+K1200/30),1),"")</f>
        <v/>
      </c>
      <c r="W1200" s="22"/>
      <c r="X1200" s="21" t="str">
        <f aca="false">IF(AND(F1200="Bilbo",E1200&lt;&gt;"",G1200&lt;&gt;"",H1200&lt;&gt;""),E1200&amp;"|"&amp;G1200&amp;"|"&amp;H1200,"")</f>
        <v/>
      </c>
      <c r="Y1200" s="21" t="str">
        <f aca="false">IF(B1200="","",IF(B1200&lt;&gt;B1199,1,0))</f>
        <v/>
      </c>
    </row>
    <row r="1201" customFormat="false" ht="15" hidden="false" customHeight="true" outlineLevel="0" collapsed="false">
      <c r="A1201" s="21" t="str">
        <f aca="false">IF(B1201="","",ROW()-4)</f>
        <v/>
      </c>
      <c r="B1201" s="22"/>
      <c r="C1201" s="21" t="str">
        <f aca="false">IF(B1201="","",CHOOSE(WEEKDAY(B1201,2),"LUNES","MARTES","MIÉRCOLES","JUEVES","VIERNES","SÁBADO","DOMINGO"))</f>
        <v/>
      </c>
      <c r="M1201" s="23"/>
      <c r="Q1201" s="21" t="str">
        <f aca="false">IF(OR(K1201="",N1201=""),"",K1201-N1201)</f>
        <v/>
      </c>
      <c r="R1201" s="21" t="str">
        <f aca="false">IF(OR(J1201="",K1201=""),"",J1201*K1201)</f>
        <v/>
      </c>
      <c r="S1201" s="21" t="str">
        <f aca="false">IF(AND(ISNUMBER(J1201),ISNUMBER(K1201),F1201&lt;&gt;"Calentamiento",F1201&lt;&gt;"Bilbo"),IF(AND(K1201&gt;0,K1201&lt;=12),ROUND(J1201*(1+(K1201+IF(ISNUMBER(L1201),L1201,0))/30),1),""),"")</f>
        <v/>
      </c>
      <c r="T1201" s="21" t="str">
        <f aca="false">IF(AND(F1201="Bilbo",ISNUMBER(J1201),ISNUMBER(K1201)),ROUND(J1201*(1+K1201/30),1),"")</f>
        <v/>
      </c>
      <c r="W1201" s="22"/>
      <c r="X1201" s="21" t="str">
        <f aca="false">IF(AND(F1201="Bilbo",E1201&lt;&gt;"",G1201&lt;&gt;"",H1201&lt;&gt;""),E1201&amp;"|"&amp;G1201&amp;"|"&amp;H1201,"")</f>
        <v/>
      </c>
      <c r="Y1201" s="21" t="str">
        <f aca="false">IF(B1201="","",IF(B1201&lt;&gt;B1200,1,0))</f>
        <v/>
      </c>
    </row>
    <row r="1202" customFormat="false" ht="15" hidden="false" customHeight="true" outlineLevel="0" collapsed="false">
      <c r="A1202" s="21" t="str">
        <f aca="false">IF(B1202="","",ROW()-4)</f>
        <v/>
      </c>
      <c r="B1202" s="22"/>
      <c r="C1202" s="21" t="str">
        <f aca="false">IF(B1202="","",CHOOSE(WEEKDAY(B1202,2),"LUNES","MARTES","MIÉRCOLES","JUEVES","VIERNES","SÁBADO","DOMINGO"))</f>
        <v/>
      </c>
      <c r="M1202" s="23"/>
      <c r="Q1202" s="21" t="str">
        <f aca="false">IF(OR(K1202="",N1202=""),"",K1202-N1202)</f>
        <v/>
      </c>
      <c r="R1202" s="21" t="str">
        <f aca="false">IF(OR(J1202="",K1202=""),"",J1202*K1202)</f>
        <v/>
      </c>
      <c r="S1202" s="21" t="str">
        <f aca="false">IF(AND(ISNUMBER(J1202),ISNUMBER(K1202),F1202&lt;&gt;"Calentamiento",F1202&lt;&gt;"Bilbo"),IF(AND(K1202&gt;0,K1202&lt;=12),ROUND(J1202*(1+(K1202+IF(ISNUMBER(L1202),L1202,0))/30),1),""),"")</f>
        <v/>
      </c>
      <c r="T1202" s="21" t="str">
        <f aca="false">IF(AND(F1202="Bilbo",ISNUMBER(J1202),ISNUMBER(K1202)),ROUND(J1202*(1+K1202/30),1),"")</f>
        <v/>
      </c>
      <c r="W1202" s="22"/>
      <c r="X1202" s="21" t="str">
        <f aca="false">IF(AND(F1202="Bilbo",E1202&lt;&gt;"",G1202&lt;&gt;"",H1202&lt;&gt;""),E1202&amp;"|"&amp;G1202&amp;"|"&amp;H1202,"")</f>
        <v/>
      </c>
      <c r="Y1202" s="21" t="str">
        <f aca="false">IF(B1202="","",IF(B1202&lt;&gt;B1201,1,0))</f>
        <v/>
      </c>
    </row>
    <row r="1203" customFormat="false" ht="15" hidden="false" customHeight="true" outlineLevel="0" collapsed="false">
      <c r="A1203" s="21" t="str">
        <f aca="false">IF(B1203="","",ROW()-4)</f>
        <v/>
      </c>
      <c r="B1203" s="22"/>
      <c r="C1203" s="21" t="str">
        <f aca="false">IF(B1203="","",CHOOSE(WEEKDAY(B1203,2),"LUNES","MARTES","MIÉRCOLES","JUEVES","VIERNES","SÁBADO","DOMINGO"))</f>
        <v/>
      </c>
      <c r="M1203" s="23"/>
      <c r="Q1203" s="21" t="str">
        <f aca="false">IF(OR(K1203="",N1203=""),"",K1203-N1203)</f>
        <v/>
      </c>
      <c r="R1203" s="21" t="str">
        <f aca="false">IF(OR(J1203="",K1203=""),"",J1203*K1203)</f>
        <v/>
      </c>
      <c r="S1203" s="21" t="str">
        <f aca="false">IF(AND(ISNUMBER(J1203),ISNUMBER(K1203),F1203&lt;&gt;"Calentamiento",F1203&lt;&gt;"Bilbo"),IF(AND(K1203&gt;0,K1203&lt;=12),ROUND(J1203*(1+(K1203+IF(ISNUMBER(L1203),L1203,0))/30),1),""),"")</f>
        <v/>
      </c>
      <c r="T1203" s="21" t="str">
        <f aca="false">IF(AND(F1203="Bilbo",ISNUMBER(J1203),ISNUMBER(K1203)),ROUND(J1203*(1+K1203/30),1),"")</f>
        <v/>
      </c>
      <c r="W1203" s="22"/>
      <c r="X1203" s="21" t="str">
        <f aca="false">IF(AND(F1203="Bilbo",E1203&lt;&gt;"",G1203&lt;&gt;"",H1203&lt;&gt;""),E1203&amp;"|"&amp;G1203&amp;"|"&amp;H1203,"")</f>
        <v/>
      </c>
      <c r="Y1203" s="21" t="str">
        <f aca="false">IF(B1203="","",IF(B1203&lt;&gt;B1202,1,0))</f>
        <v/>
      </c>
    </row>
    <row r="1204" customFormat="false" ht="15" hidden="false" customHeight="true" outlineLevel="0" collapsed="false">
      <c r="A1204" s="21" t="str">
        <f aca="false">IF(B1204="","",ROW()-4)</f>
        <v/>
      </c>
      <c r="B1204" s="22"/>
      <c r="C1204" s="21" t="str">
        <f aca="false">IF(B1204="","",CHOOSE(WEEKDAY(B1204,2),"LUNES","MARTES","MIÉRCOLES","JUEVES","VIERNES","SÁBADO","DOMINGO"))</f>
        <v/>
      </c>
      <c r="M1204" s="23"/>
      <c r="Q1204" s="21" t="str">
        <f aca="false">IF(OR(K1204="",N1204=""),"",K1204-N1204)</f>
        <v/>
      </c>
      <c r="R1204" s="21" t="str">
        <f aca="false">IF(OR(J1204="",K1204=""),"",J1204*K1204)</f>
        <v/>
      </c>
      <c r="S1204" s="21" t="str">
        <f aca="false">IF(AND(ISNUMBER(J1204),ISNUMBER(K1204),F1204&lt;&gt;"Calentamiento",F1204&lt;&gt;"Bilbo"),IF(AND(K1204&gt;0,K1204&lt;=12),ROUND(J1204*(1+(K1204+IF(ISNUMBER(L1204),L1204,0))/30),1),""),"")</f>
        <v/>
      </c>
      <c r="T1204" s="21" t="str">
        <f aca="false">IF(AND(F1204="Bilbo",ISNUMBER(J1204),ISNUMBER(K1204)),ROUND(J1204*(1+K1204/30),1),"")</f>
        <v/>
      </c>
      <c r="W1204" s="22"/>
      <c r="X1204" s="21" t="str">
        <f aca="false">IF(AND(F1204="Bilbo",E1204&lt;&gt;"",G1204&lt;&gt;"",H1204&lt;&gt;""),E1204&amp;"|"&amp;G1204&amp;"|"&amp;H1204,"")</f>
        <v/>
      </c>
      <c r="Y1204" s="21" t="str">
        <f aca="false">IF(B1204="","",IF(B1204&lt;&gt;B1203,1,0))</f>
        <v/>
      </c>
    </row>
    <row r="1205" customFormat="false" ht="15" hidden="false" customHeight="true" outlineLevel="0" collapsed="false">
      <c r="A1205" s="21" t="str">
        <f aca="false">IF(B1205="","",ROW()-4)</f>
        <v/>
      </c>
      <c r="B1205" s="22"/>
      <c r="C1205" s="21" t="str">
        <f aca="false">IF(B1205="","",CHOOSE(WEEKDAY(B1205,2),"LUNES","MARTES","MIÉRCOLES","JUEVES","VIERNES","SÁBADO","DOMINGO"))</f>
        <v/>
      </c>
      <c r="M1205" s="23"/>
      <c r="Q1205" s="21" t="str">
        <f aca="false">IF(OR(K1205="",N1205=""),"",K1205-N1205)</f>
        <v/>
      </c>
      <c r="R1205" s="21" t="str">
        <f aca="false">IF(OR(J1205="",K1205=""),"",J1205*K1205)</f>
        <v/>
      </c>
      <c r="S1205" s="21" t="str">
        <f aca="false">IF(AND(ISNUMBER(J1205),ISNUMBER(K1205),F1205&lt;&gt;"Calentamiento",F1205&lt;&gt;"Bilbo"),IF(AND(K1205&gt;0,K1205&lt;=12),ROUND(J1205*(1+(K1205+IF(ISNUMBER(L1205),L1205,0))/30),1),""),"")</f>
        <v/>
      </c>
      <c r="T1205" s="21" t="str">
        <f aca="false">IF(AND(F1205="Bilbo",ISNUMBER(J1205),ISNUMBER(K1205)),ROUND(J1205*(1+K1205/30),1),"")</f>
        <v/>
      </c>
      <c r="W1205" s="22"/>
      <c r="X1205" s="21" t="str">
        <f aca="false">IF(AND(F1205="Bilbo",E1205&lt;&gt;"",G1205&lt;&gt;"",H1205&lt;&gt;""),E1205&amp;"|"&amp;G1205&amp;"|"&amp;H1205,"")</f>
        <v/>
      </c>
      <c r="Y1205" s="21" t="str">
        <f aca="false">IF(B1205="","",IF(B1205&lt;&gt;B1204,1,0))</f>
        <v/>
      </c>
    </row>
    <row r="1206" customFormat="false" ht="15" hidden="false" customHeight="true" outlineLevel="0" collapsed="false">
      <c r="A1206" s="21" t="str">
        <f aca="false">IF(B1206="","",ROW()-4)</f>
        <v/>
      </c>
      <c r="B1206" s="22"/>
      <c r="C1206" s="21" t="str">
        <f aca="false">IF(B1206="","",CHOOSE(WEEKDAY(B1206,2),"LUNES","MARTES","MIÉRCOLES","JUEVES","VIERNES","SÁBADO","DOMINGO"))</f>
        <v/>
      </c>
      <c r="M1206" s="23"/>
      <c r="Q1206" s="21" t="str">
        <f aca="false">IF(OR(K1206="",N1206=""),"",K1206-N1206)</f>
        <v/>
      </c>
      <c r="R1206" s="21" t="str">
        <f aca="false">IF(OR(J1206="",K1206=""),"",J1206*K1206)</f>
        <v/>
      </c>
      <c r="S1206" s="21" t="str">
        <f aca="false">IF(AND(ISNUMBER(J1206),ISNUMBER(K1206),F1206&lt;&gt;"Calentamiento",F1206&lt;&gt;"Bilbo"),IF(AND(K1206&gt;0,K1206&lt;=12),ROUND(J1206*(1+(K1206+IF(ISNUMBER(L1206),L1206,0))/30),1),""),"")</f>
        <v/>
      </c>
      <c r="T1206" s="21" t="str">
        <f aca="false">IF(AND(F1206="Bilbo",ISNUMBER(J1206),ISNUMBER(K1206)),ROUND(J1206*(1+K1206/30),1),"")</f>
        <v/>
      </c>
      <c r="W1206" s="22"/>
      <c r="X1206" s="21" t="str">
        <f aca="false">IF(AND(F1206="Bilbo",E1206&lt;&gt;"",G1206&lt;&gt;"",H1206&lt;&gt;""),E1206&amp;"|"&amp;G1206&amp;"|"&amp;H1206,"")</f>
        <v/>
      </c>
      <c r="Y1206" s="21" t="str">
        <f aca="false">IF(B1206="","",IF(B1206&lt;&gt;B1205,1,0))</f>
        <v/>
      </c>
    </row>
    <row r="1207" customFormat="false" ht="15" hidden="false" customHeight="true" outlineLevel="0" collapsed="false">
      <c r="A1207" s="21" t="str">
        <f aca="false">IF(B1207="","",ROW()-4)</f>
        <v/>
      </c>
      <c r="B1207" s="22"/>
      <c r="C1207" s="21" t="str">
        <f aca="false">IF(B1207="","",CHOOSE(WEEKDAY(B1207,2),"LUNES","MARTES","MIÉRCOLES","JUEVES","VIERNES","SÁBADO","DOMINGO"))</f>
        <v/>
      </c>
      <c r="M1207" s="23"/>
      <c r="Q1207" s="21" t="str">
        <f aca="false">IF(OR(K1207="",N1207=""),"",K1207-N1207)</f>
        <v/>
      </c>
      <c r="R1207" s="21" t="str">
        <f aca="false">IF(OR(J1207="",K1207=""),"",J1207*K1207)</f>
        <v/>
      </c>
      <c r="S1207" s="21" t="str">
        <f aca="false">IF(AND(ISNUMBER(J1207),ISNUMBER(K1207),F1207&lt;&gt;"Calentamiento",F1207&lt;&gt;"Bilbo"),IF(AND(K1207&gt;0,K1207&lt;=12),ROUND(J1207*(1+(K1207+IF(ISNUMBER(L1207),L1207,0))/30),1),""),"")</f>
        <v/>
      </c>
      <c r="T1207" s="21" t="str">
        <f aca="false">IF(AND(F1207="Bilbo",ISNUMBER(J1207),ISNUMBER(K1207)),ROUND(J1207*(1+K1207/30),1),"")</f>
        <v/>
      </c>
      <c r="W1207" s="22"/>
      <c r="X1207" s="21" t="str">
        <f aca="false">IF(AND(F1207="Bilbo",E1207&lt;&gt;"",G1207&lt;&gt;"",H1207&lt;&gt;""),E1207&amp;"|"&amp;G1207&amp;"|"&amp;H1207,"")</f>
        <v/>
      </c>
      <c r="Y1207" s="21" t="str">
        <f aca="false">IF(B1207="","",IF(B1207&lt;&gt;B1206,1,0))</f>
        <v/>
      </c>
    </row>
    <row r="1208" customFormat="false" ht="15" hidden="false" customHeight="true" outlineLevel="0" collapsed="false">
      <c r="A1208" s="21" t="str">
        <f aca="false">IF(B1208="","",ROW()-4)</f>
        <v/>
      </c>
      <c r="B1208" s="22"/>
      <c r="C1208" s="21" t="str">
        <f aca="false">IF(B1208="","",CHOOSE(WEEKDAY(B1208,2),"LUNES","MARTES","MIÉRCOLES","JUEVES","VIERNES","SÁBADO","DOMINGO"))</f>
        <v/>
      </c>
      <c r="M1208" s="23"/>
      <c r="Q1208" s="21" t="str">
        <f aca="false">IF(OR(K1208="",N1208=""),"",K1208-N1208)</f>
        <v/>
      </c>
      <c r="R1208" s="21" t="str">
        <f aca="false">IF(OR(J1208="",K1208=""),"",J1208*K1208)</f>
        <v/>
      </c>
      <c r="S1208" s="21" t="str">
        <f aca="false">IF(AND(ISNUMBER(J1208),ISNUMBER(K1208),F1208&lt;&gt;"Calentamiento",F1208&lt;&gt;"Bilbo"),IF(AND(K1208&gt;0,K1208&lt;=12),ROUND(J1208*(1+(K1208+IF(ISNUMBER(L1208),L1208,0))/30),1),""),"")</f>
        <v/>
      </c>
      <c r="T1208" s="21" t="str">
        <f aca="false">IF(AND(F1208="Bilbo",ISNUMBER(J1208),ISNUMBER(K1208)),ROUND(J1208*(1+K1208/30),1),"")</f>
        <v/>
      </c>
      <c r="W1208" s="22"/>
      <c r="X1208" s="21" t="str">
        <f aca="false">IF(AND(F1208="Bilbo",E1208&lt;&gt;"",G1208&lt;&gt;"",H1208&lt;&gt;""),E1208&amp;"|"&amp;G1208&amp;"|"&amp;H1208,"")</f>
        <v/>
      </c>
      <c r="Y1208" s="21" t="str">
        <f aca="false">IF(B1208="","",IF(B1208&lt;&gt;B1207,1,0))</f>
        <v/>
      </c>
    </row>
    <row r="1209" customFormat="false" ht="15" hidden="false" customHeight="true" outlineLevel="0" collapsed="false">
      <c r="A1209" s="21" t="str">
        <f aca="false">IF(B1209="","",ROW()-4)</f>
        <v/>
      </c>
      <c r="B1209" s="22"/>
      <c r="C1209" s="21" t="str">
        <f aca="false">IF(B1209="","",CHOOSE(WEEKDAY(B1209,2),"LUNES","MARTES","MIÉRCOLES","JUEVES","VIERNES","SÁBADO","DOMINGO"))</f>
        <v/>
      </c>
      <c r="M1209" s="23"/>
      <c r="Q1209" s="21" t="str">
        <f aca="false">IF(OR(K1209="",N1209=""),"",K1209-N1209)</f>
        <v/>
      </c>
      <c r="R1209" s="21" t="str">
        <f aca="false">IF(OR(J1209="",K1209=""),"",J1209*K1209)</f>
        <v/>
      </c>
      <c r="S1209" s="21" t="str">
        <f aca="false">IF(AND(ISNUMBER(J1209),ISNUMBER(K1209),F1209&lt;&gt;"Calentamiento",F1209&lt;&gt;"Bilbo"),IF(AND(K1209&gt;0,K1209&lt;=12),ROUND(J1209*(1+(K1209+IF(ISNUMBER(L1209),L1209,0))/30),1),""),"")</f>
        <v/>
      </c>
      <c r="T1209" s="21" t="str">
        <f aca="false">IF(AND(F1209="Bilbo",ISNUMBER(J1209),ISNUMBER(K1209)),ROUND(J1209*(1+K1209/30),1),"")</f>
        <v/>
      </c>
      <c r="W1209" s="22"/>
      <c r="X1209" s="21" t="str">
        <f aca="false">IF(AND(F1209="Bilbo",E1209&lt;&gt;"",G1209&lt;&gt;"",H1209&lt;&gt;""),E1209&amp;"|"&amp;G1209&amp;"|"&amp;H1209,"")</f>
        <v/>
      </c>
      <c r="Y1209" s="21" t="str">
        <f aca="false">IF(B1209="","",IF(B1209&lt;&gt;B1208,1,0))</f>
        <v/>
      </c>
    </row>
    <row r="1210" customFormat="false" ht="15" hidden="false" customHeight="true" outlineLevel="0" collapsed="false">
      <c r="A1210" s="21" t="str">
        <f aca="false">IF(B1210="","",ROW()-4)</f>
        <v/>
      </c>
      <c r="B1210" s="22"/>
      <c r="C1210" s="21" t="str">
        <f aca="false">IF(B1210="","",CHOOSE(WEEKDAY(B1210,2),"LUNES","MARTES","MIÉRCOLES","JUEVES","VIERNES","SÁBADO","DOMINGO"))</f>
        <v/>
      </c>
      <c r="M1210" s="23"/>
      <c r="Q1210" s="21" t="str">
        <f aca="false">IF(OR(K1210="",N1210=""),"",K1210-N1210)</f>
        <v/>
      </c>
      <c r="R1210" s="21" t="str">
        <f aca="false">IF(OR(J1210="",K1210=""),"",J1210*K1210)</f>
        <v/>
      </c>
      <c r="S1210" s="21" t="str">
        <f aca="false">IF(AND(ISNUMBER(J1210),ISNUMBER(K1210),F1210&lt;&gt;"Calentamiento",F1210&lt;&gt;"Bilbo"),IF(AND(K1210&gt;0,K1210&lt;=12),ROUND(J1210*(1+(K1210+IF(ISNUMBER(L1210),L1210,0))/30),1),""),"")</f>
        <v/>
      </c>
      <c r="T1210" s="21" t="str">
        <f aca="false">IF(AND(F1210="Bilbo",ISNUMBER(J1210),ISNUMBER(K1210)),ROUND(J1210*(1+K1210/30),1),"")</f>
        <v/>
      </c>
      <c r="W1210" s="22"/>
      <c r="X1210" s="21" t="str">
        <f aca="false">IF(AND(F1210="Bilbo",E1210&lt;&gt;"",G1210&lt;&gt;"",H1210&lt;&gt;""),E1210&amp;"|"&amp;G1210&amp;"|"&amp;H1210,"")</f>
        <v/>
      </c>
      <c r="Y1210" s="21" t="str">
        <f aca="false">IF(B1210="","",IF(B1210&lt;&gt;B1209,1,0))</f>
        <v/>
      </c>
    </row>
    <row r="1211" customFormat="false" ht="15" hidden="false" customHeight="true" outlineLevel="0" collapsed="false">
      <c r="A1211" s="21" t="str">
        <f aca="false">IF(B1211="","",ROW()-4)</f>
        <v/>
      </c>
      <c r="B1211" s="22"/>
      <c r="C1211" s="21" t="str">
        <f aca="false">IF(B1211="","",CHOOSE(WEEKDAY(B1211,2),"LUNES","MARTES","MIÉRCOLES","JUEVES","VIERNES","SÁBADO","DOMINGO"))</f>
        <v/>
      </c>
      <c r="M1211" s="23"/>
      <c r="Q1211" s="21" t="str">
        <f aca="false">IF(OR(K1211="",N1211=""),"",K1211-N1211)</f>
        <v/>
      </c>
      <c r="R1211" s="21" t="str">
        <f aca="false">IF(OR(J1211="",K1211=""),"",J1211*K1211)</f>
        <v/>
      </c>
      <c r="S1211" s="21" t="str">
        <f aca="false">IF(AND(ISNUMBER(J1211),ISNUMBER(K1211),F1211&lt;&gt;"Calentamiento",F1211&lt;&gt;"Bilbo"),IF(AND(K1211&gt;0,K1211&lt;=12),ROUND(J1211*(1+(K1211+IF(ISNUMBER(L1211),L1211,0))/30),1),""),"")</f>
        <v/>
      </c>
      <c r="T1211" s="21" t="str">
        <f aca="false">IF(AND(F1211="Bilbo",ISNUMBER(J1211),ISNUMBER(K1211)),ROUND(J1211*(1+K1211/30),1),"")</f>
        <v/>
      </c>
      <c r="W1211" s="22"/>
      <c r="X1211" s="21" t="str">
        <f aca="false">IF(AND(F1211="Bilbo",E1211&lt;&gt;"",G1211&lt;&gt;"",H1211&lt;&gt;""),E1211&amp;"|"&amp;G1211&amp;"|"&amp;H1211,"")</f>
        <v/>
      </c>
      <c r="Y1211" s="21" t="str">
        <f aca="false">IF(B1211="","",IF(B1211&lt;&gt;B1210,1,0))</f>
        <v/>
      </c>
    </row>
    <row r="1212" customFormat="false" ht="15" hidden="false" customHeight="true" outlineLevel="0" collapsed="false">
      <c r="A1212" s="21" t="str">
        <f aca="false">IF(B1212="","",ROW()-4)</f>
        <v/>
      </c>
      <c r="B1212" s="22"/>
      <c r="C1212" s="21" t="str">
        <f aca="false">IF(B1212="","",CHOOSE(WEEKDAY(B1212,2),"LUNES","MARTES","MIÉRCOLES","JUEVES","VIERNES","SÁBADO","DOMINGO"))</f>
        <v/>
      </c>
      <c r="M1212" s="23"/>
      <c r="Q1212" s="21" t="str">
        <f aca="false">IF(OR(K1212="",N1212=""),"",K1212-N1212)</f>
        <v/>
      </c>
      <c r="R1212" s="21" t="str">
        <f aca="false">IF(OR(J1212="",K1212=""),"",J1212*K1212)</f>
        <v/>
      </c>
      <c r="S1212" s="21" t="str">
        <f aca="false">IF(AND(ISNUMBER(J1212),ISNUMBER(K1212),F1212&lt;&gt;"Calentamiento",F1212&lt;&gt;"Bilbo"),IF(AND(K1212&gt;0,K1212&lt;=12),ROUND(J1212*(1+(K1212+IF(ISNUMBER(L1212),L1212,0))/30),1),""),"")</f>
        <v/>
      </c>
      <c r="T1212" s="21" t="str">
        <f aca="false">IF(AND(F1212="Bilbo",ISNUMBER(J1212),ISNUMBER(K1212)),ROUND(J1212*(1+K1212/30),1),"")</f>
        <v/>
      </c>
      <c r="W1212" s="22"/>
      <c r="X1212" s="21" t="str">
        <f aca="false">IF(AND(F1212="Bilbo",E1212&lt;&gt;"",G1212&lt;&gt;"",H1212&lt;&gt;""),E1212&amp;"|"&amp;G1212&amp;"|"&amp;H1212,"")</f>
        <v/>
      </c>
      <c r="Y1212" s="21" t="str">
        <f aca="false">IF(B1212="","",IF(B1212&lt;&gt;B1211,1,0))</f>
        <v/>
      </c>
    </row>
    <row r="1213" customFormat="false" ht="15" hidden="false" customHeight="true" outlineLevel="0" collapsed="false">
      <c r="A1213" s="21" t="str">
        <f aca="false">IF(B1213="","",ROW()-4)</f>
        <v/>
      </c>
      <c r="B1213" s="22"/>
      <c r="C1213" s="21" t="str">
        <f aca="false">IF(B1213="","",CHOOSE(WEEKDAY(B1213,2),"LUNES","MARTES","MIÉRCOLES","JUEVES","VIERNES","SÁBADO","DOMINGO"))</f>
        <v/>
      </c>
      <c r="M1213" s="23"/>
      <c r="Q1213" s="21" t="str">
        <f aca="false">IF(OR(K1213="",N1213=""),"",K1213-N1213)</f>
        <v/>
      </c>
      <c r="R1213" s="21" t="str">
        <f aca="false">IF(OR(J1213="",K1213=""),"",J1213*K1213)</f>
        <v/>
      </c>
      <c r="S1213" s="21" t="str">
        <f aca="false">IF(AND(ISNUMBER(J1213),ISNUMBER(K1213),F1213&lt;&gt;"Calentamiento",F1213&lt;&gt;"Bilbo"),IF(AND(K1213&gt;0,K1213&lt;=12),ROUND(J1213*(1+(K1213+IF(ISNUMBER(L1213),L1213,0))/30),1),""),"")</f>
        <v/>
      </c>
      <c r="T1213" s="21" t="str">
        <f aca="false">IF(AND(F1213="Bilbo",ISNUMBER(J1213),ISNUMBER(K1213)),ROUND(J1213*(1+K1213/30),1),"")</f>
        <v/>
      </c>
      <c r="W1213" s="22"/>
      <c r="X1213" s="21" t="str">
        <f aca="false">IF(AND(F1213="Bilbo",E1213&lt;&gt;"",G1213&lt;&gt;"",H1213&lt;&gt;""),E1213&amp;"|"&amp;G1213&amp;"|"&amp;H1213,"")</f>
        <v/>
      </c>
      <c r="Y1213" s="21" t="str">
        <f aca="false">IF(B1213="","",IF(B1213&lt;&gt;B1212,1,0))</f>
        <v/>
      </c>
    </row>
    <row r="1214" customFormat="false" ht="15" hidden="false" customHeight="true" outlineLevel="0" collapsed="false">
      <c r="A1214" s="21" t="str">
        <f aca="false">IF(B1214="","",ROW()-4)</f>
        <v/>
      </c>
      <c r="B1214" s="22"/>
      <c r="C1214" s="21" t="str">
        <f aca="false">IF(B1214="","",CHOOSE(WEEKDAY(B1214,2),"LUNES","MARTES","MIÉRCOLES","JUEVES","VIERNES","SÁBADO","DOMINGO"))</f>
        <v/>
      </c>
      <c r="M1214" s="23"/>
      <c r="Q1214" s="21" t="str">
        <f aca="false">IF(OR(K1214="",N1214=""),"",K1214-N1214)</f>
        <v/>
      </c>
      <c r="R1214" s="21" t="str">
        <f aca="false">IF(OR(J1214="",K1214=""),"",J1214*K1214)</f>
        <v/>
      </c>
      <c r="S1214" s="21" t="str">
        <f aca="false">IF(AND(ISNUMBER(J1214),ISNUMBER(K1214),F1214&lt;&gt;"Calentamiento",F1214&lt;&gt;"Bilbo"),IF(AND(K1214&gt;0,K1214&lt;=12),ROUND(J1214*(1+(K1214+IF(ISNUMBER(L1214),L1214,0))/30),1),""),"")</f>
        <v/>
      </c>
      <c r="T1214" s="21" t="str">
        <f aca="false">IF(AND(F1214="Bilbo",ISNUMBER(J1214),ISNUMBER(K1214)),ROUND(J1214*(1+K1214/30),1),"")</f>
        <v/>
      </c>
      <c r="W1214" s="22"/>
      <c r="X1214" s="21" t="str">
        <f aca="false">IF(AND(F1214="Bilbo",E1214&lt;&gt;"",G1214&lt;&gt;"",H1214&lt;&gt;""),E1214&amp;"|"&amp;G1214&amp;"|"&amp;H1214,"")</f>
        <v/>
      </c>
      <c r="Y1214" s="21" t="str">
        <f aca="false">IF(B1214="","",IF(B1214&lt;&gt;B1213,1,0))</f>
        <v/>
      </c>
    </row>
    <row r="1215" customFormat="false" ht="15" hidden="false" customHeight="true" outlineLevel="0" collapsed="false">
      <c r="A1215" s="21" t="str">
        <f aca="false">IF(B1215="","",ROW()-4)</f>
        <v/>
      </c>
      <c r="B1215" s="22"/>
      <c r="C1215" s="21" t="str">
        <f aca="false">IF(B1215="","",CHOOSE(WEEKDAY(B1215,2),"LUNES","MARTES","MIÉRCOLES","JUEVES","VIERNES","SÁBADO","DOMINGO"))</f>
        <v/>
      </c>
      <c r="M1215" s="23"/>
      <c r="Q1215" s="21" t="str">
        <f aca="false">IF(OR(K1215="",N1215=""),"",K1215-N1215)</f>
        <v/>
      </c>
      <c r="R1215" s="21" t="str">
        <f aca="false">IF(OR(J1215="",K1215=""),"",J1215*K1215)</f>
        <v/>
      </c>
      <c r="S1215" s="21" t="str">
        <f aca="false">IF(AND(ISNUMBER(J1215),ISNUMBER(K1215),F1215&lt;&gt;"Calentamiento",F1215&lt;&gt;"Bilbo"),IF(AND(K1215&gt;0,K1215&lt;=12),ROUND(J1215*(1+(K1215+IF(ISNUMBER(L1215),L1215,0))/30),1),""),"")</f>
        <v/>
      </c>
      <c r="T1215" s="21" t="str">
        <f aca="false">IF(AND(F1215="Bilbo",ISNUMBER(J1215),ISNUMBER(K1215)),ROUND(J1215*(1+K1215/30),1),"")</f>
        <v/>
      </c>
      <c r="W1215" s="22"/>
      <c r="X1215" s="21" t="str">
        <f aca="false">IF(AND(F1215="Bilbo",E1215&lt;&gt;"",G1215&lt;&gt;"",H1215&lt;&gt;""),E1215&amp;"|"&amp;G1215&amp;"|"&amp;H1215,"")</f>
        <v/>
      </c>
      <c r="Y1215" s="21" t="str">
        <f aca="false">IF(B1215="","",IF(B1215&lt;&gt;B1214,1,0))</f>
        <v/>
      </c>
    </row>
    <row r="1216" customFormat="false" ht="15" hidden="false" customHeight="true" outlineLevel="0" collapsed="false">
      <c r="A1216" s="21" t="str">
        <f aca="false">IF(B1216="","",ROW()-4)</f>
        <v/>
      </c>
      <c r="B1216" s="22"/>
      <c r="C1216" s="21" t="str">
        <f aca="false">IF(B1216="","",CHOOSE(WEEKDAY(B1216,2),"LUNES","MARTES","MIÉRCOLES","JUEVES","VIERNES","SÁBADO","DOMINGO"))</f>
        <v/>
      </c>
      <c r="M1216" s="23"/>
      <c r="Q1216" s="21" t="str">
        <f aca="false">IF(OR(K1216="",N1216=""),"",K1216-N1216)</f>
        <v/>
      </c>
      <c r="R1216" s="21" t="str">
        <f aca="false">IF(OR(J1216="",K1216=""),"",J1216*K1216)</f>
        <v/>
      </c>
      <c r="S1216" s="21" t="str">
        <f aca="false">IF(AND(ISNUMBER(J1216),ISNUMBER(K1216),F1216&lt;&gt;"Calentamiento",F1216&lt;&gt;"Bilbo"),IF(AND(K1216&gt;0,K1216&lt;=12),ROUND(J1216*(1+(K1216+IF(ISNUMBER(L1216),L1216,0))/30),1),""),"")</f>
        <v/>
      </c>
      <c r="T1216" s="21" t="str">
        <f aca="false">IF(AND(F1216="Bilbo",ISNUMBER(J1216),ISNUMBER(K1216)),ROUND(J1216*(1+K1216/30),1),"")</f>
        <v/>
      </c>
      <c r="W1216" s="22"/>
      <c r="X1216" s="21" t="str">
        <f aca="false">IF(AND(F1216="Bilbo",E1216&lt;&gt;"",G1216&lt;&gt;"",H1216&lt;&gt;""),E1216&amp;"|"&amp;G1216&amp;"|"&amp;H1216,"")</f>
        <v/>
      </c>
      <c r="Y1216" s="21" t="str">
        <f aca="false">IF(B1216="","",IF(B1216&lt;&gt;B1215,1,0))</f>
        <v/>
      </c>
    </row>
    <row r="1217" customFormat="false" ht="15" hidden="false" customHeight="true" outlineLevel="0" collapsed="false">
      <c r="A1217" s="21" t="str">
        <f aca="false">IF(B1217="","",ROW()-4)</f>
        <v/>
      </c>
      <c r="B1217" s="22"/>
      <c r="C1217" s="21" t="str">
        <f aca="false">IF(B1217="","",CHOOSE(WEEKDAY(B1217,2),"LUNES","MARTES","MIÉRCOLES","JUEVES","VIERNES","SÁBADO","DOMINGO"))</f>
        <v/>
      </c>
      <c r="M1217" s="23"/>
      <c r="Q1217" s="21" t="str">
        <f aca="false">IF(OR(K1217="",N1217=""),"",K1217-N1217)</f>
        <v/>
      </c>
      <c r="R1217" s="21" t="str">
        <f aca="false">IF(OR(J1217="",K1217=""),"",J1217*K1217)</f>
        <v/>
      </c>
      <c r="S1217" s="21" t="str">
        <f aca="false">IF(AND(ISNUMBER(J1217),ISNUMBER(K1217),F1217&lt;&gt;"Calentamiento",F1217&lt;&gt;"Bilbo"),IF(AND(K1217&gt;0,K1217&lt;=12),ROUND(J1217*(1+(K1217+IF(ISNUMBER(L1217),L1217,0))/30),1),""),"")</f>
        <v/>
      </c>
      <c r="T1217" s="21" t="str">
        <f aca="false">IF(AND(F1217="Bilbo",ISNUMBER(J1217),ISNUMBER(K1217)),ROUND(J1217*(1+K1217/30),1),"")</f>
        <v/>
      </c>
      <c r="W1217" s="22"/>
      <c r="X1217" s="21" t="str">
        <f aca="false">IF(AND(F1217="Bilbo",E1217&lt;&gt;"",G1217&lt;&gt;"",H1217&lt;&gt;""),E1217&amp;"|"&amp;G1217&amp;"|"&amp;H1217,"")</f>
        <v/>
      </c>
      <c r="Y1217" s="21" t="str">
        <f aca="false">IF(B1217="","",IF(B1217&lt;&gt;B1216,1,0))</f>
        <v/>
      </c>
    </row>
    <row r="1218" customFormat="false" ht="15" hidden="false" customHeight="true" outlineLevel="0" collapsed="false">
      <c r="A1218" s="21" t="str">
        <f aca="false">IF(B1218="","",ROW()-4)</f>
        <v/>
      </c>
      <c r="B1218" s="22"/>
      <c r="C1218" s="21" t="str">
        <f aca="false">IF(B1218="","",CHOOSE(WEEKDAY(B1218,2),"LUNES","MARTES","MIÉRCOLES","JUEVES","VIERNES","SÁBADO","DOMINGO"))</f>
        <v/>
      </c>
      <c r="M1218" s="23"/>
      <c r="Q1218" s="21" t="str">
        <f aca="false">IF(OR(K1218="",N1218=""),"",K1218-N1218)</f>
        <v/>
      </c>
      <c r="R1218" s="21" t="str">
        <f aca="false">IF(OR(J1218="",K1218=""),"",J1218*K1218)</f>
        <v/>
      </c>
      <c r="S1218" s="21" t="str">
        <f aca="false">IF(AND(ISNUMBER(J1218),ISNUMBER(K1218),F1218&lt;&gt;"Calentamiento",F1218&lt;&gt;"Bilbo"),IF(AND(K1218&gt;0,K1218&lt;=12),ROUND(J1218*(1+(K1218+IF(ISNUMBER(L1218),L1218,0))/30),1),""),"")</f>
        <v/>
      </c>
      <c r="T1218" s="21" t="str">
        <f aca="false">IF(AND(F1218="Bilbo",ISNUMBER(J1218),ISNUMBER(K1218)),ROUND(J1218*(1+K1218/30),1),"")</f>
        <v/>
      </c>
      <c r="W1218" s="22"/>
      <c r="X1218" s="21" t="str">
        <f aca="false">IF(AND(F1218="Bilbo",E1218&lt;&gt;"",G1218&lt;&gt;"",H1218&lt;&gt;""),E1218&amp;"|"&amp;G1218&amp;"|"&amp;H1218,"")</f>
        <v/>
      </c>
      <c r="Y1218" s="21" t="str">
        <f aca="false">IF(B1218="","",IF(B1218&lt;&gt;B1217,1,0))</f>
        <v/>
      </c>
    </row>
    <row r="1219" customFormat="false" ht="15" hidden="false" customHeight="true" outlineLevel="0" collapsed="false">
      <c r="A1219" s="21" t="str">
        <f aca="false">IF(B1219="","",ROW()-4)</f>
        <v/>
      </c>
      <c r="B1219" s="22"/>
      <c r="C1219" s="21" t="str">
        <f aca="false">IF(B1219="","",CHOOSE(WEEKDAY(B1219,2),"LUNES","MARTES","MIÉRCOLES","JUEVES","VIERNES","SÁBADO","DOMINGO"))</f>
        <v/>
      </c>
      <c r="M1219" s="23"/>
      <c r="Q1219" s="21" t="str">
        <f aca="false">IF(OR(K1219="",N1219=""),"",K1219-N1219)</f>
        <v/>
      </c>
      <c r="R1219" s="21" t="str">
        <f aca="false">IF(OR(J1219="",K1219=""),"",J1219*K1219)</f>
        <v/>
      </c>
      <c r="S1219" s="21" t="str">
        <f aca="false">IF(AND(ISNUMBER(J1219),ISNUMBER(K1219),F1219&lt;&gt;"Calentamiento",F1219&lt;&gt;"Bilbo"),IF(AND(K1219&gt;0,K1219&lt;=12),ROUND(J1219*(1+(K1219+IF(ISNUMBER(L1219),L1219,0))/30),1),""),"")</f>
        <v/>
      </c>
      <c r="T1219" s="21" t="str">
        <f aca="false">IF(AND(F1219="Bilbo",ISNUMBER(J1219),ISNUMBER(K1219)),ROUND(J1219*(1+K1219/30),1),"")</f>
        <v/>
      </c>
      <c r="W1219" s="22"/>
      <c r="X1219" s="21" t="str">
        <f aca="false">IF(AND(F1219="Bilbo",E1219&lt;&gt;"",G1219&lt;&gt;"",H1219&lt;&gt;""),E1219&amp;"|"&amp;G1219&amp;"|"&amp;H1219,"")</f>
        <v/>
      </c>
      <c r="Y1219" s="21" t="str">
        <f aca="false">IF(B1219="","",IF(B1219&lt;&gt;B1218,1,0))</f>
        <v/>
      </c>
    </row>
    <row r="1220" customFormat="false" ht="15" hidden="false" customHeight="true" outlineLevel="0" collapsed="false">
      <c r="A1220" s="21" t="str">
        <f aca="false">IF(B1220="","",ROW()-4)</f>
        <v/>
      </c>
      <c r="B1220" s="22"/>
      <c r="C1220" s="21" t="str">
        <f aca="false">IF(B1220="","",CHOOSE(WEEKDAY(B1220,2),"LUNES","MARTES","MIÉRCOLES","JUEVES","VIERNES","SÁBADO","DOMINGO"))</f>
        <v/>
      </c>
      <c r="M1220" s="23"/>
      <c r="Q1220" s="21" t="str">
        <f aca="false">IF(OR(K1220="",N1220=""),"",K1220-N1220)</f>
        <v/>
      </c>
      <c r="R1220" s="21" t="str">
        <f aca="false">IF(OR(J1220="",K1220=""),"",J1220*K1220)</f>
        <v/>
      </c>
      <c r="S1220" s="21" t="str">
        <f aca="false">IF(AND(ISNUMBER(J1220),ISNUMBER(K1220),F1220&lt;&gt;"Calentamiento",F1220&lt;&gt;"Bilbo"),IF(AND(K1220&gt;0,K1220&lt;=12),ROUND(J1220*(1+(K1220+IF(ISNUMBER(L1220),L1220,0))/30),1),""),"")</f>
        <v/>
      </c>
      <c r="T1220" s="21" t="str">
        <f aca="false">IF(AND(F1220="Bilbo",ISNUMBER(J1220),ISNUMBER(K1220)),ROUND(J1220*(1+K1220/30),1),"")</f>
        <v/>
      </c>
      <c r="W1220" s="22"/>
      <c r="X1220" s="21" t="str">
        <f aca="false">IF(AND(F1220="Bilbo",E1220&lt;&gt;"",G1220&lt;&gt;"",H1220&lt;&gt;""),E1220&amp;"|"&amp;G1220&amp;"|"&amp;H1220,"")</f>
        <v/>
      </c>
      <c r="Y1220" s="21" t="str">
        <f aca="false">IF(B1220="","",IF(B1220&lt;&gt;B1219,1,0))</f>
        <v/>
      </c>
    </row>
    <row r="1221" customFormat="false" ht="15" hidden="false" customHeight="true" outlineLevel="0" collapsed="false">
      <c r="A1221" s="21" t="str">
        <f aca="false">IF(B1221="","",ROW()-4)</f>
        <v/>
      </c>
      <c r="B1221" s="22"/>
      <c r="C1221" s="21" t="str">
        <f aca="false">IF(B1221="","",CHOOSE(WEEKDAY(B1221,2),"LUNES","MARTES","MIÉRCOLES","JUEVES","VIERNES","SÁBADO","DOMINGO"))</f>
        <v/>
      </c>
      <c r="M1221" s="23"/>
      <c r="Q1221" s="21" t="str">
        <f aca="false">IF(OR(K1221="",N1221=""),"",K1221-N1221)</f>
        <v/>
      </c>
      <c r="R1221" s="21" t="str">
        <f aca="false">IF(OR(J1221="",K1221=""),"",J1221*K1221)</f>
        <v/>
      </c>
      <c r="S1221" s="21" t="str">
        <f aca="false">IF(AND(ISNUMBER(J1221),ISNUMBER(K1221),F1221&lt;&gt;"Calentamiento",F1221&lt;&gt;"Bilbo"),IF(AND(K1221&gt;0,K1221&lt;=12),ROUND(J1221*(1+(K1221+IF(ISNUMBER(L1221),L1221,0))/30),1),""),"")</f>
        <v/>
      </c>
      <c r="T1221" s="21" t="str">
        <f aca="false">IF(AND(F1221="Bilbo",ISNUMBER(J1221),ISNUMBER(K1221)),ROUND(J1221*(1+K1221/30),1),"")</f>
        <v/>
      </c>
      <c r="W1221" s="22"/>
      <c r="X1221" s="21" t="str">
        <f aca="false">IF(AND(F1221="Bilbo",E1221&lt;&gt;"",G1221&lt;&gt;"",H1221&lt;&gt;""),E1221&amp;"|"&amp;G1221&amp;"|"&amp;H1221,"")</f>
        <v/>
      </c>
      <c r="Y1221" s="21" t="str">
        <f aca="false">IF(B1221="","",IF(B1221&lt;&gt;B1220,1,0))</f>
        <v/>
      </c>
    </row>
    <row r="1222" customFormat="false" ht="15" hidden="false" customHeight="true" outlineLevel="0" collapsed="false">
      <c r="A1222" s="21" t="str">
        <f aca="false">IF(B1222="","",ROW()-4)</f>
        <v/>
      </c>
      <c r="B1222" s="22"/>
      <c r="C1222" s="21" t="str">
        <f aca="false">IF(B1222="","",CHOOSE(WEEKDAY(B1222,2),"LUNES","MARTES","MIÉRCOLES","JUEVES","VIERNES","SÁBADO","DOMINGO"))</f>
        <v/>
      </c>
      <c r="M1222" s="23"/>
      <c r="Q1222" s="21" t="str">
        <f aca="false">IF(OR(K1222="",N1222=""),"",K1222-N1222)</f>
        <v/>
      </c>
      <c r="R1222" s="21" t="str">
        <f aca="false">IF(OR(J1222="",K1222=""),"",J1222*K1222)</f>
        <v/>
      </c>
      <c r="S1222" s="21" t="str">
        <f aca="false">IF(AND(ISNUMBER(J1222),ISNUMBER(K1222),F1222&lt;&gt;"Calentamiento",F1222&lt;&gt;"Bilbo"),IF(AND(K1222&gt;0,K1222&lt;=12),ROUND(J1222*(1+(K1222+IF(ISNUMBER(L1222),L1222,0))/30),1),""),"")</f>
        <v/>
      </c>
      <c r="T1222" s="21" t="str">
        <f aca="false">IF(AND(F1222="Bilbo",ISNUMBER(J1222),ISNUMBER(K1222)),ROUND(J1222*(1+K1222/30),1),"")</f>
        <v/>
      </c>
      <c r="W1222" s="22"/>
      <c r="X1222" s="21" t="str">
        <f aca="false">IF(AND(F1222="Bilbo",E1222&lt;&gt;"",G1222&lt;&gt;"",H1222&lt;&gt;""),E1222&amp;"|"&amp;G1222&amp;"|"&amp;H1222,"")</f>
        <v/>
      </c>
      <c r="Y1222" s="21" t="str">
        <f aca="false">IF(B1222="","",IF(B1222&lt;&gt;B1221,1,0))</f>
        <v/>
      </c>
    </row>
    <row r="1223" customFormat="false" ht="15" hidden="false" customHeight="true" outlineLevel="0" collapsed="false">
      <c r="A1223" s="21" t="str">
        <f aca="false">IF(B1223="","",ROW()-4)</f>
        <v/>
      </c>
      <c r="B1223" s="22"/>
      <c r="C1223" s="21" t="str">
        <f aca="false">IF(B1223="","",CHOOSE(WEEKDAY(B1223,2),"LUNES","MARTES","MIÉRCOLES","JUEVES","VIERNES","SÁBADO","DOMINGO"))</f>
        <v/>
      </c>
      <c r="M1223" s="23"/>
      <c r="Q1223" s="21" t="str">
        <f aca="false">IF(OR(K1223="",N1223=""),"",K1223-N1223)</f>
        <v/>
      </c>
      <c r="R1223" s="21" t="str">
        <f aca="false">IF(OR(J1223="",K1223=""),"",J1223*K1223)</f>
        <v/>
      </c>
      <c r="S1223" s="21" t="str">
        <f aca="false">IF(AND(ISNUMBER(J1223),ISNUMBER(K1223),F1223&lt;&gt;"Calentamiento",F1223&lt;&gt;"Bilbo"),IF(AND(K1223&gt;0,K1223&lt;=12),ROUND(J1223*(1+(K1223+IF(ISNUMBER(L1223),L1223,0))/30),1),""),"")</f>
        <v/>
      </c>
      <c r="T1223" s="21" t="str">
        <f aca="false">IF(AND(F1223="Bilbo",ISNUMBER(J1223),ISNUMBER(K1223)),ROUND(J1223*(1+K1223/30),1),"")</f>
        <v/>
      </c>
      <c r="W1223" s="22"/>
      <c r="X1223" s="21" t="str">
        <f aca="false">IF(AND(F1223="Bilbo",E1223&lt;&gt;"",G1223&lt;&gt;"",H1223&lt;&gt;""),E1223&amp;"|"&amp;G1223&amp;"|"&amp;H1223,"")</f>
        <v/>
      </c>
      <c r="Y1223" s="21" t="str">
        <f aca="false">IF(B1223="","",IF(B1223&lt;&gt;B1222,1,0))</f>
        <v/>
      </c>
    </row>
    <row r="1224" customFormat="false" ht="15" hidden="false" customHeight="true" outlineLevel="0" collapsed="false">
      <c r="A1224" s="21" t="str">
        <f aca="false">IF(B1224="","",ROW()-4)</f>
        <v/>
      </c>
      <c r="B1224" s="22"/>
      <c r="C1224" s="21" t="str">
        <f aca="false">IF(B1224="","",CHOOSE(WEEKDAY(B1224,2),"LUNES","MARTES","MIÉRCOLES","JUEVES","VIERNES","SÁBADO","DOMINGO"))</f>
        <v/>
      </c>
      <c r="M1224" s="23"/>
      <c r="Q1224" s="21" t="str">
        <f aca="false">IF(OR(K1224="",N1224=""),"",K1224-N1224)</f>
        <v/>
      </c>
      <c r="R1224" s="21" t="str">
        <f aca="false">IF(OR(J1224="",K1224=""),"",J1224*K1224)</f>
        <v/>
      </c>
      <c r="S1224" s="21" t="str">
        <f aca="false">IF(AND(ISNUMBER(J1224),ISNUMBER(K1224),F1224&lt;&gt;"Calentamiento",F1224&lt;&gt;"Bilbo"),IF(AND(K1224&gt;0,K1224&lt;=12),ROUND(J1224*(1+(K1224+IF(ISNUMBER(L1224),L1224,0))/30),1),""),"")</f>
        <v/>
      </c>
      <c r="T1224" s="21" t="str">
        <f aca="false">IF(AND(F1224="Bilbo",ISNUMBER(J1224),ISNUMBER(K1224)),ROUND(J1224*(1+K1224/30),1),"")</f>
        <v/>
      </c>
      <c r="W1224" s="22"/>
      <c r="X1224" s="21" t="str">
        <f aca="false">IF(AND(F1224="Bilbo",E1224&lt;&gt;"",G1224&lt;&gt;"",H1224&lt;&gt;""),E1224&amp;"|"&amp;G1224&amp;"|"&amp;H1224,"")</f>
        <v/>
      </c>
      <c r="Y1224" s="21" t="str">
        <f aca="false">IF(B1224="","",IF(B1224&lt;&gt;B1223,1,0))</f>
        <v/>
      </c>
    </row>
    <row r="1225" customFormat="false" ht="15" hidden="false" customHeight="true" outlineLevel="0" collapsed="false">
      <c r="A1225" s="21" t="str">
        <f aca="false">IF(B1225="","",ROW()-4)</f>
        <v/>
      </c>
      <c r="B1225" s="22"/>
      <c r="C1225" s="21" t="str">
        <f aca="false">IF(B1225="","",CHOOSE(WEEKDAY(B1225,2),"LUNES","MARTES","MIÉRCOLES","JUEVES","VIERNES","SÁBADO","DOMINGO"))</f>
        <v/>
      </c>
      <c r="M1225" s="23"/>
      <c r="Q1225" s="21" t="str">
        <f aca="false">IF(OR(K1225="",N1225=""),"",K1225-N1225)</f>
        <v/>
      </c>
      <c r="R1225" s="21" t="str">
        <f aca="false">IF(OR(J1225="",K1225=""),"",J1225*K1225)</f>
        <v/>
      </c>
      <c r="S1225" s="21" t="str">
        <f aca="false">IF(AND(ISNUMBER(J1225),ISNUMBER(K1225),F1225&lt;&gt;"Calentamiento",F1225&lt;&gt;"Bilbo"),IF(AND(K1225&gt;0,K1225&lt;=12),ROUND(J1225*(1+(K1225+IF(ISNUMBER(L1225),L1225,0))/30),1),""),"")</f>
        <v/>
      </c>
      <c r="T1225" s="21" t="str">
        <f aca="false">IF(AND(F1225="Bilbo",ISNUMBER(J1225),ISNUMBER(K1225)),ROUND(J1225*(1+K1225/30),1),"")</f>
        <v/>
      </c>
      <c r="W1225" s="22"/>
      <c r="X1225" s="21" t="str">
        <f aca="false">IF(AND(F1225="Bilbo",E1225&lt;&gt;"",G1225&lt;&gt;"",H1225&lt;&gt;""),E1225&amp;"|"&amp;G1225&amp;"|"&amp;H1225,"")</f>
        <v/>
      </c>
      <c r="Y1225" s="21" t="str">
        <f aca="false">IF(B1225="","",IF(B1225&lt;&gt;B1224,1,0))</f>
        <v/>
      </c>
    </row>
    <row r="1226" customFormat="false" ht="15" hidden="false" customHeight="true" outlineLevel="0" collapsed="false">
      <c r="A1226" s="21" t="str">
        <f aca="false">IF(B1226="","",ROW()-4)</f>
        <v/>
      </c>
      <c r="B1226" s="22"/>
      <c r="C1226" s="21" t="str">
        <f aca="false">IF(B1226="","",CHOOSE(WEEKDAY(B1226,2),"LUNES","MARTES","MIÉRCOLES","JUEVES","VIERNES","SÁBADO","DOMINGO"))</f>
        <v/>
      </c>
      <c r="M1226" s="23"/>
      <c r="Q1226" s="21" t="str">
        <f aca="false">IF(OR(K1226="",N1226=""),"",K1226-N1226)</f>
        <v/>
      </c>
      <c r="R1226" s="21" t="str">
        <f aca="false">IF(OR(J1226="",K1226=""),"",J1226*K1226)</f>
        <v/>
      </c>
      <c r="S1226" s="21" t="str">
        <f aca="false">IF(AND(ISNUMBER(J1226),ISNUMBER(K1226),F1226&lt;&gt;"Calentamiento",F1226&lt;&gt;"Bilbo"),IF(AND(K1226&gt;0,K1226&lt;=12),ROUND(J1226*(1+(K1226+IF(ISNUMBER(L1226),L1226,0))/30),1),""),"")</f>
        <v/>
      </c>
      <c r="T1226" s="21" t="str">
        <f aca="false">IF(AND(F1226="Bilbo",ISNUMBER(J1226),ISNUMBER(K1226)),ROUND(J1226*(1+K1226/30),1),"")</f>
        <v/>
      </c>
      <c r="W1226" s="22"/>
      <c r="X1226" s="21" t="str">
        <f aca="false">IF(AND(F1226="Bilbo",E1226&lt;&gt;"",G1226&lt;&gt;"",H1226&lt;&gt;""),E1226&amp;"|"&amp;G1226&amp;"|"&amp;H1226,"")</f>
        <v/>
      </c>
      <c r="Y1226" s="21" t="str">
        <f aca="false">IF(B1226="","",IF(B1226&lt;&gt;B1225,1,0))</f>
        <v/>
      </c>
    </row>
    <row r="1227" customFormat="false" ht="15" hidden="false" customHeight="true" outlineLevel="0" collapsed="false">
      <c r="A1227" s="21" t="str">
        <f aca="false">IF(B1227="","",ROW()-4)</f>
        <v/>
      </c>
      <c r="B1227" s="22"/>
      <c r="C1227" s="21" t="str">
        <f aca="false">IF(B1227="","",CHOOSE(WEEKDAY(B1227,2),"LUNES","MARTES","MIÉRCOLES","JUEVES","VIERNES","SÁBADO","DOMINGO"))</f>
        <v/>
      </c>
      <c r="M1227" s="23"/>
      <c r="Q1227" s="21" t="str">
        <f aca="false">IF(OR(K1227="",N1227=""),"",K1227-N1227)</f>
        <v/>
      </c>
      <c r="R1227" s="21" t="str">
        <f aca="false">IF(OR(J1227="",K1227=""),"",J1227*K1227)</f>
        <v/>
      </c>
      <c r="S1227" s="21" t="str">
        <f aca="false">IF(AND(ISNUMBER(J1227),ISNUMBER(K1227),F1227&lt;&gt;"Calentamiento",F1227&lt;&gt;"Bilbo"),IF(AND(K1227&gt;0,K1227&lt;=12),ROUND(J1227*(1+(K1227+IF(ISNUMBER(L1227),L1227,0))/30),1),""),"")</f>
        <v/>
      </c>
      <c r="T1227" s="21" t="str">
        <f aca="false">IF(AND(F1227="Bilbo",ISNUMBER(J1227),ISNUMBER(K1227)),ROUND(J1227*(1+K1227/30),1),"")</f>
        <v/>
      </c>
      <c r="W1227" s="22"/>
      <c r="X1227" s="21" t="str">
        <f aca="false">IF(AND(F1227="Bilbo",E1227&lt;&gt;"",G1227&lt;&gt;"",H1227&lt;&gt;""),E1227&amp;"|"&amp;G1227&amp;"|"&amp;H1227,"")</f>
        <v/>
      </c>
      <c r="Y1227" s="21" t="str">
        <f aca="false">IF(B1227="","",IF(B1227&lt;&gt;B1226,1,0))</f>
        <v/>
      </c>
    </row>
    <row r="1228" customFormat="false" ht="15" hidden="false" customHeight="true" outlineLevel="0" collapsed="false">
      <c r="A1228" s="21" t="str">
        <f aca="false">IF(B1228="","",ROW()-4)</f>
        <v/>
      </c>
      <c r="B1228" s="22"/>
      <c r="C1228" s="21" t="str">
        <f aca="false">IF(B1228="","",CHOOSE(WEEKDAY(B1228,2),"LUNES","MARTES","MIÉRCOLES","JUEVES","VIERNES","SÁBADO","DOMINGO"))</f>
        <v/>
      </c>
      <c r="M1228" s="23"/>
      <c r="Q1228" s="21" t="str">
        <f aca="false">IF(OR(K1228="",N1228=""),"",K1228-N1228)</f>
        <v/>
      </c>
      <c r="R1228" s="21" t="str">
        <f aca="false">IF(OR(J1228="",K1228=""),"",J1228*K1228)</f>
        <v/>
      </c>
      <c r="S1228" s="21" t="str">
        <f aca="false">IF(AND(ISNUMBER(J1228),ISNUMBER(K1228),F1228&lt;&gt;"Calentamiento",F1228&lt;&gt;"Bilbo"),IF(AND(K1228&gt;0,K1228&lt;=12),ROUND(J1228*(1+(K1228+IF(ISNUMBER(L1228),L1228,0))/30),1),""),"")</f>
        <v/>
      </c>
      <c r="T1228" s="21" t="str">
        <f aca="false">IF(AND(F1228="Bilbo",ISNUMBER(J1228),ISNUMBER(K1228)),ROUND(J1228*(1+K1228/30),1),"")</f>
        <v/>
      </c>
      <c r="W1228" s="22"/>
      <c r="X1228" s="21" t="str">
        <f aca="false">IF(AND(F1228="Bilbo",E1228&lt;&gt;"",G1228&lt;&gt;"",H1228&lt;&gt;""),E1228&amp;"|"&amp;G1228&amp;"|"&amp;H1228,"")</f>
        <v/>
      </c>
      <c r="Y1228" s="21" t="str">
        <f aca="false">IF(B1228="","",IF(B1228&lt;&gt;B1227,1,0))</f>
        <v/>
      </c>
    </row>
    <row r="1229" customFormat="false" ht="15" hidden="false" customHeight="true" outlineLevel="0" collapsed="false">
      <c r="A1229" s="21" t="str">
        <f aca="false">IF(B1229="","",ROW()-4)</f>
        <v/>
      </c>
      <c r="B1229" s="22"/>
      <c r="C1229" s="21" t="str">
        <f aca="false">IF(B1229="","",CHOOSE(WEEKDAY(B1229,2),"LUNES","MARTES","MIÉRCOLES","JUEVES","VIERNES","SÁBADO","DOMINGO"))</f>
        <v/>
      </c>
      <c r="M1229" s="23"/>
      <c r="Q1229" s="21" t="str">
        <f aca="false">IF(OR(K1229="",N1229=""),"",K1229-N1229)</f>
        <v/>
      </c>
      <c r="R1229" s="21" t="str">
        <f aca="false">IF(OR(J1229="",K1229=""),"",J1229*K1229)</f>
        <v/>
      </c>
      <c r="S1229" s="21" t="str">
        <f aca="false">IF(AND(ISNUMBER(J1229),ISNUMBER(K1229),F1229&lt;&gt;"Calentamiento",F1229&lt;&gt;"Bilbo"),IF(AND(K1229&gt;0,K1229&lt;=12),ROUND(J1229*(1+(K1229+IF(ISNUMBER(L1229),L1229,0))/30),1),""),"")</f>
        <v/>
      </c>
      <c r="T1229" s="21" t="str">
        <f aca="false">IF(AND(F1229="Bilbo",ISNUMBER(J1229),ISNUMBER(K1229)),ROUND(J1229*(1+K1229/30),1),"")</f>
        <v/>
      </c>
      <c r="W1229" s="22"/>
      <c r="X1229" s="21" t="str">
        <f aca="false">IF(AND(F1229="Bilbo",E1229&lt;&gt;"",G1229&lt;&gt;"",H1229&lt;&gt;""),E1229&amp;"|"&amp;G1229&amp;"|"&amp;H1229,"")</f>
        <v/>
      </c>
      <c r="Y1229" s="21" t="str">
        <f aca="false">IF(B1229="","",IF(B1229&lt;&gt;B1228,1,0))</f>
        <v/>
      </c>
    </row>
    <row r="1230" customFormat="false" ht="15" hidden="false" customHeight="true" outlineLevel="0" collapsed="false">
      <c r="A1230" s="21" t="str">
        <f aca="false">IF(B1230="","",ROW()-4)</f>
        <v/>
      </c>
      <c r="B1230" s="22"/>
      <c r="C1230" s="21" t="str">
        <f aca="false">IF(B1230="","",CHOOSE(WEEKDAY(B1230,2),"LUNES","MARTES","MIÉRCOLES","JUEVES","VIERNES","SÁBADO","DOMINGO"))</f>
        <v/>
      </c>
      <c r="M1230" s="23"/>
      <c r="Q1230" s="21" t="str">
        <f aca="false">IF(OR(K1230="",N1230=""),"",K1230-N1230)</f>
        <v/>
      </c>
      <c r="R1230" s="21" t="str">
        <f aca="false">IF(OR(J1230="",K1230=""),"",J1230*K1230)</f>
        <v/>
      </c>
      <c r="S1230" s="21" t="str">
        <f aca="false">IF(AND(ISNUMBER(J1230),ISNUMBER(K1230),F1230&lt;&gt;"Calentamiento",F1230&lt;&gt;"Bilbo"),IF(AND(K1230&gt;0,K1230&lt;=12),ROUND(J1230*(1+(K1230+IF(ISNUMBER(L1230),L1230,0))/30),1),""),"")</f>
        <v/>
      </c>
      <c r="T1230" s="21" t="str">
        <f aca="false">IF(AND(F1230="Bilbo",ISNUMBER(J1230),ISNUMBER(K1230)),ROUND(J1230*(1+K1230/30),1),"")</f>
        <v/>
      </c>
      <c r="W1230" s="22"/>
      <c r="X1230" s="21" t="str">
        <f aca="false">IF(AND(F1230="Bilbo",E1230&lt;&gt;"",G1230&lt;&gt;"",H1230&lt;&gt;""),E1230&amp;"|"&amp;G1230&amp;"|"&amp;H1230,"")</f>
        <v/>
      </c>
      <c r="Y1230" s="21" t="str">
        <f aca="false">IF(B1230="","",IF(B1230&lt;&gt;B1229,1,0))</f>
        <v/>
      </c>
    </row>
    <row r="1231" customFormat="false" ht="15" hidden="false" customHeight="true" outlineLevel="0" collapsed="false">
      <c r="A1231" s="21" t="str">
        <f aca="false">IF(B1231="","",ROW()-4)</f>
        <v/>
      </c>
      <c r="B1231" s="22"/>
      <c r="C1231" s="21" t="str">
        <f aca="false">IF(B1231="","",CHOOSE(WEEKDAY(B1231,2),"LUNES","MARTES","MIÉRCOLES","JUEVES","VIERNES","SÁBADO","DOMINGO"))</f>
        <v/>
      </c>
      <c r="M1231" s="23"/>
      <c r="Q1231" s="21" t="str">
        <f aca="false">IF(OR(K1231="",N1231=""),"",K1231-N1231)</f>
        <v/>
      </c>
      <c r="R1231" s="21" t="str">
        <f aca="false">IF(OR(J1231="",K1231=""),"",J1231*K1231)</f>
        <v/>
      </c>
      <c r="S1231" s="21" t="str">
        <f aca="false">IF(AND(ISNUMBER(J1231),ISNUMBER(K1231),F1231&lt;&gt;"Calentamiento",F1231&lt;&gt;"Bilbo"),IF(AND(K1231&gt;0,K1231&lt;=12),ROUND(J1231*(1+(K1231+IF(ISNUMBER(L1231),L1231,0))/30),1),""),"")</f>
        <v/>
      </c>
      <c r="T1231" s="21" t="str">
        <f aca="false">IF(AND(F1231="Bilbo",ISNUMBER(J1231),ISNUMBER(K1231)),ROUND(J1231*(1+K1231/30),1),"")</f>
        <v/>
      </c>
      <c r="W1231" s="22"/>
      <c r="X1231" s="21" t="str">
        <f aca="false">IF(AND(F1231="Bilbo",E1231&lt;&gt;"",G1231&lt;&gt;"",H1231&lt;&gt;""),E1231&amp;"|"&amp;G1231&amp;"|"&amp;H1231,"")</f>
        <v/>
      </c>
      <c r="Y1231" s="21" t="str">
        <f aca="false">IF(B1231="","",IF(B1231&lt;&gt;B1230,1,0))</f>
        <v/>
      </c>
    </row>
    <row r="1232" customFormat="false" ht="15" hidden="false" customHeight="true" outlineLevel="0" collapsed="false">
      <c r="A1232" s="21" t="str">
        <f aca="false">IF(B1232="","",ROW()-4)</f>
        <v/>
      </c>
      <c r="B1232" s="22"/>
      <c r="C1232" s="21" t="str">
        <f aca="false">IF(B1232="","",CHOOSE(WEEKDAY(B1232,2),"LUNES","MARTES","MIÉRCOLES","JUEVES","VIERNES","SÁBADO","DOMINGO"))</f>
        <v/>
      </c>
      <c r="M1232" s="23"/>
      <c r="Q1232" s="21" t="str">
        <f aca="false">IF(OR(K1232="",N1232=""),"",K1232-N1232)</f>
        <v/>
      </c>
      <c r="R1232" s="21" t="str">
        <f aca="false">IF(OR(J1232="",K1232=""),"",J1232*K1232)</f>
        <v/>
      </c>
      <c r="S1232" s="21" t="str">
        <f aca="false">IF(AND(ISNUMBER(J1232),ISNUMBER(K1232),F1232&lt;&gt;"Calentamiento",F1232&lt;&gt;"Bilbo"),IF(AND(K1232&gt;0,K1232&lt;=12),ROUND(J1232*(1+(K1232+IF(ISNUMBER(L1232),L1232,0))/30),1),""),"")</f>
        <v/>
      </c>
      <c r="T1232" s="21" t="str">
        <f aca="false">IF(AND(F1232="Bilbo",ISNUMBER(J1232),ISNUMBER(K1232)),ROUND(J1232*(1+K1232/30),1),"")</f>
        <v/>
      </c>
      <c r="W1232" s="22"/>
      <c r="X1232" s="21" t="str">
        <f aca="false">IF(AND(F1232="Bilbo",E1232&lt;&gt;"",G1232&lt;&gt;"",H1232&lt;&gt;""),E1232&amp;"|"&amp;G1232&amp;"|"&amp;H1232,"")</f>
        <v/>
      </c>
      <c r="Y1232" s="21" t="str">
        <f aca="false">IF(B1232="","",IF(B1232&lt;&gt;B1231,1,0))</f>
        <v/>
      </c>
    </row>
    <row r="1233" customFormat="false" ht="15" hidden="false" customHeight="true" outlineLevel="0" collapsed="false">
      <c r="A1233" s="21" t="str">
        <f aca="false">IF(B1233="","",ROW()-4)</f>
        <v/>
      </c>
      <c r="B1233" s="22"/>
      <c r="C1233" s="21" t="str">
        <f aca="false">IF(B1233="","",CHOOSE(WEEKDAY(B1233,2),"LUNES","MARTES","MIÉRCOLES","JUEVES","VIERNES","SÁBADO","DOMINGO"))</f>
        <v/>
      </c>
      <c r="M1233" s="23"/>
      <c r="Q1233" s="21" t="str">
        <f aca="false">IF(OR(K1233="",N1233=""),"",K1233-N1233)</f>
        <v/>
      </c>
      <c r="R1233" s="21" t="str">
        <f aca="false">IF(OR(J1233="",K1233=""),"",J1233*K1233)</f>
        <v/>
      </c>
      <c r="S1233" s="21" t="str">
        <f aca="false">IF(AND(ISNUMBER(J1233),ISNUMBER(K1233),F1233&lt;&gt;"Calentamiento",F1233&lt;&gt;"Bilbo"),IF(AND(K1233&gt;0,K1233&lt;=12),ROUND(J1233*(1+(K1233+IF(ISNUMBER(L1233),L1233,0))/30),1),""),"")</f>
        <v/>
      </c>
      <c r="T1233" s="21" t="str">
        <f aca="false">IF(AND(F1233="Bilbo",ISNUMBER(J1233),ISNUMBER(K1233)),ROUND(J1233*(1+K1233/30),1),"")</f>
        <v/>
      </c>
      <c r="W1233" s="22"/>
      <c r="X1233" s="21" t="str">
        <f aca="false">IF(AND(F1233="Bilbo",E1233&lt;&gt;"",G1233&lt;&gt;"",H1233&lt;&gt;""),E1233&amp;"|"&amp;G1233&amp;"|"&amp;H1233,"")</f>
        <v/>
      </c>
      <c r="Y1233" s="21" t="str">
        <f aca="false">IF(B1233="","",IF(B1233&lt;&gt;B1232,1,0))</f>
        <v/>
      </c>
    </row>
    <row r="1234" customFormat="false" ht="15" hidden="false" customHeight="true" outlineLevel="0" collapsed="false">
      <c r="A1234" s="21" t="str">
        <f aca="false">IF(B1234="","",ROW()-4)</f>
        <v/>
      </c>
      <c r="B1234" s="22"/>
      <c r="C1234" s="21" t="str">
        <f aca="false">IF(B1234="","",CHOOSE(WEEKDAY(B1234,2),"LUNES","MARTES","MIÉRCOLES","JUEVES","VIERNES","SÁBADO","DOMINGO"))</f>
        <v/>
      </c>
      <c r="M1234" s="23"/>
      <c r="Q1234" s="21" t="str">
        <f aca="false">IF(OR(K1234="",N1234=""),"",K1234-N1234)</f>
        <v/>
      </c>
      <c r="R1234" s="21" t="str">
        <f aca="false">IF(OR(J1234="",K1234=""),"",J1234*K1234)</f>
        <v/>
      </c>
      <c r="S1234" s="21" t="str">
        <f aca="false">IF(AND(ISNUMBER(J1234),ISNUMBER(K1234),F1234&lt;&gt;"Calentamiento",F1234&lt;&gt;"Bilbo"),IF(AND(K1234&gt;0,K1234&lt;=12),ROUND(J1234*(1+(K1234+IF(ISNUMBER(L1234),L1234,0))/30),1),""),"")</f>
        <v/>
      </c>
      <c r="T1234" s="21" t="str">
        <f aca="false">IF(AND(F1234="Bilbo",ISNUMBER(J1234),ISNUMBER(K1234)),ROUND(J1234*(1+K1234/30),1),"")</f>
        <v/>
      </c>
      <c r="W1234" s="22"/>
      <c r="X1234" s="21" t="str">
        <f aca="false">IF(AND(F1234="Bilbo",E1234&lt;&gt;"",G1234&lt;&gt;"",H1234&lt;&gt;""),E1234&amp;"|"&amp;G1234&amp;"|"&amp;H1234,"")</f>
        <v/>
      </c>
      <c r="Y1234" s="21" t="str">
        <f aca="false">IF(B1234="","",IF(B1234&lt;&gt;B1233,1,0))</f>
        <v/>
      </c>
    </row>
    <row r="1235" customFormat="false" ht="15" hidden="false" customHeight="true" outlineLevel="0" collapsed="false">
      <c r="A1235" s="21" t="str">
        <f aca="false">IF(B1235="","",ROW()-4)</f>
        <v/>
      </c>
      <c r="B1235" s="22"/>
      <c r="C1235" s="21" t="str">
        <f aca="false">IF(B1235="","",CHOOSE(WEEKDAY(B1235,2),"LUNES","MARTES","MIÉRCOLES","JUEVES","VIERNES","SÁBADO","DOMINGO"))</f>
        <v/>
      </c>
      <c r="M1235" s="23"/>
      <c r="Q1235" s="21" t="str">
        <f aca="false">IF(OR(K1235="",N1235=""),"",K1235-N1235)</f>
        <v/>
      </c>
      <c r="R1235" s="21" t="str">
        <f aca="false">IF(OR(J1235="",K1235=""),"",J1235*K1235)</f>
        <v/>
      </c>
      <c r="S1235" s="21" t="str">
        <f aca="false">IF(AND(ISNUMBER(J1235),ISNUMBER(K1235),F1235&lt;&gt;"Calentamiento",F1235&lt;&gt;"Bilbo"),IF(AND(K1235&gt;0,K1235&lt;=12),ROUND(J1235*(1+(K1235+IF(ISNUMBER(L1235),L1235,0))/30),1),""),"")</f>
        <v/>
      </c>
      <c r="T1235" s="21" t="str">
        <f aca="false">IF(AND(F1235="Bilbo",ISNUMBER(J1235),ISNUMBER(K1235)),ROUND(J1235*(1+K1235/30),1),"")</f>
        <v/>
      </c>
      <c r="W1235" s="22"/>
      <c r="X1235" s="21" t="str">
        <f aca="false">IF(AND(F1235="Bilbo",E1235&lt;&gt;"",G1235&lt;&gt;"",H1235&lt;&gt;""),E1235&amp;"|"&amp;G1235&amp;"|"&amp;H1235,"")</f>
        <v/>
      </c>
      <c r="Y1235" s="21" t="str">
        <f aca="false">IF(B1235="","",IF(B1235&lt;&gt;B1234,1,0))</f>
        <v/>
      </c>
    </row>
    <row r="1236" customFormat="false" ht="15" hidden="false" customHeight="true" outlineLevel="0" collapsed="false">
      <c r="A1236" s="21" t="str">
        <f aca="false">IF(B1236="","",ROW()-4)</f>
        <v/>
      </c>
      <c r="B1236" s="22"/>
      <c r="C1236" s="21" t="str">
        <f aca="false">IF(B1236="","",CHOOSE(WEEKDAY(B1236,2),"LUNES","MARTES","MIÉRCOLES","JUEVES","VIERNES","SÁBADO","DOMINGO"))</f>
        <v/>
      </c>
      <c r="M1236" s="23"/>
      <c r="Q1236" s="21" t="str">
        <f aca="false">IF(OR(K1236="",N1236=""),"",K1236-N1236)</f>
        <v/>
      </c>
      <c r="R1236" s="21" t="str">
        <f aca="false">IF(OR(J1236="",K1236=""),"",J1236*K1236)</f>
        <v/>
      </c>
      <c r="S1236" s="21" t="str">
        <f aca="false">IF(AND(ISNUMBER(J1236),ISNUMBER(K1236),F1236&lt;&gt;"Calentamiento",F1236&lt;&gt;"Bilbo"),IF(AND(K1236&gt;0,K1236&lt;=12),ROUND(J1236*(1+(K1236+IF(ISNUMBER(L1236),L1236,0))/30),1),""),"")</f>
        <v/>
      </c>
      <c r="T1236" s="21" t="str">
        <f aca="false">IF(AND(F1236="Bilbo",ISNUMBER(J1236),ISNUMBER(K1236)),ROUND(J1236*(1+K1236/30),1),"")</f>
        <v/>
      </c>
      <c r="W1236" s="22"/>
      <c r="X1236" s="21" t="str">
        <f aca="false">IF(AND(F1236="Bilbo",E1236&lt;&gt;"",G1236&lt;&gt;"",H1236&lt;&gt;""),E1236&amp;"|"&amp;G1236&amp;"|"&amp;H1236,"")</f>
        <v/>
      </c>
      <c r="Y1236" s="21" t="str">
        <f aca="false">IF(B1236="","",IF(B1236&lt;&gt;B1235,1,0))</f>
        <v/>
      </c>
    </row>
    <row r="1237" customFormat="false" ht="15" hidden="false" customHeight="true" outlineLevel="0" collapsed="false">
      <c r="A1237" s="21" t="str">
        <f aca="false">IF(B1237="","",ROW()-4)</f>
        <v/>
      </c>
      <c r="B1237" s="22"/>
      <c r="C1237" s="21" t="str">
        <f aca="false">IF(B1237="","",CHOOSE(WEEKDAY(B1237,2),"LUNES","MARTES","MIÉRCOLES","JUEVES","VIERNES","SÁBADO","DOMINGO"))</f>
        <v/>
      </c>
      <c r="M1237" s="23"/>
      <c r="Q1237" s="21" t="str">
        <f aca="false">IF(OR(K1237="",N1237=""),"",K1237-N1237)</f>
        <v/>
      </c>
      <c r="R1237" s="21" t="str">
        <f aca="false">IF(OR(J1237="",K1237=""),"",J1237*K1237)</f>
        <v/>
      </c>
      <c r="S1237" s="21" t="str">
        <f aca="false">IF(AND(ISNUMBER(J1237),ISNUMBER(K1237),F1237&lt;&gt;"Calentamiento",F1237&lt;&gt;"Bilbo"),IF(AND(K1237&gt;0,K1237&lt;=12),ROUND(J1237*(1+(K1237+IF(ISNUMBER(L1237),L1237,0))/30),1),""),"")</f>
        <v/>
      </c>
      <c r="T1237" s="21" t="str">
        <f aca="false">IF(AND(F1237="Bilbo",ISNUMBER(J1237),ISNUMBER(K1237)),ROUND(J1237*(1+K1237/30),1),"")</f>
        <v/>
      </c>
      <c r="W1237" s="22"/>
      <c r="X1237" s="21" t="str">
        <f aca="false">IF(AND(F1237="Bilbo",E1237&lt;&gt;"",G1237&lt;&gt;"",H1237&lt;&gt;""),E1237&amp;"|"&amp;G1237&amp;"|"&amp;H1237,"")</f>
        <v/>
      </c>
      <c r="Y1237" s="21" t="str">
        <f aca="false">IF(B1237="","",IF(B1237&lt;&gt;B1236,1,0))</f>
        <v/>
      </c>
    </row>
    <row r="1238" customFormat="false" ht="15" hidden="false" customHeight="true" outlineLevel="0" collapsed="false">
      <c r="A1238" s="21" t="str">
        <f aca="false">IF(B1238="","",ROW()-4)</f>
        <v/>
      </c>
      <c r="B1238" s="22"/>
      <c r="C1238" s="21" t="str">
        <f aca="false">IF(B1238="","",CHOOSE(WEEKDAY(B1238,2),"LUNES","MARTES","MIÉRCOLES","JUEVES","VIERNES","SÁBADO","DOMINGO"))</f>
        <v/>
      </c>
      <c r="M1238" s="23"/>
      <c r="Q1238" s="21" t="str">
        <f aca="false">IF(OR(K1238="",N1238=""),"",K1238-N1238)</f>
        <v/>
      </c>
      <c r="R1238" s="21" t="str">
        <f aca="false">IF(OR(J1238="",K1238=""),"",J1238*K1238)</f>
        <v/>
      </c>
      <c r="S1238" s="21" t="str">
        <f aca="false">IF(AND(ISNUMBER(J1238),ISNUMBER(K1238),F1238&lt;&gt;"Calentamiento",F1238&lt;&gt;"Bilbo"),IF(AND(K1238&gt;0,K1238&lt;=12),ROUND(J1238*(1+(K1238+IF(ISNUMBER(L1238),L1238,0))/30),1),""),"")</f>
        <v/>
      </c>
      <c r="T1238" s="21" t="str">
        <f aca="false">IF(AND(F1238="Bilbo",ISNUMBER(J1238),ISNUMBER(K1238)),ROUND(J1238*(1+K1238/30),1),"")</f>
        <v/>
      </c>
      <c r="W1238" s="22"/>
      <c r="X1238" s="21" t="str">
        <f aca="false">IF(AND(F1238="Bilbo",E1238&lt;&gt;"",G1238&lt;&gt;"",H1238&lt;&gt;""),E1238&amp;"|"&amp;G1238&amp;"|"&amp;H1238,"")</f>
        <v/>
      </c>
      <c r="Y1238" s="21" t="str">
        <f aca="false">IF(B1238="","",IF(B1238&lt;&gt;B1237,1,0))</f>
        <v/>
      </c>
    </row>
    <row r="1239" customFormat="false" ht="15" hidden="false" customHeight="true" outlineLevel="0" collapsed="false">
      <c r="A1239" s="21" t="str">
        <f aca="false">IF(B1239="","",ROW()-4)</f>
        <v/>
      </c>
      <c r="B1239" s="22"/>
      <c r="C1239" s="21" t="str">
        <f aca="false">IF(B1239="","",CHOOSE(WEEKDAY(B1239,2),"LUNES","MARTES","MIÉRCOLES","JUEVES","VIERNES","SÁBADO","DOMINGO"))</f>
        <v/>
      </c>
      <c r="M1239" s="23"/>
      <c r="Q1239" s="21" t="str">
        <f aca="false">IF(OR(K1239="",N1239=""),"",K1239-N1239)</f>
        <v/>
      </c>
      <c r="R1239" s="21" t="str">
        <f aca="false">IF(OR(J1239="",K1239=""),"",J1239*K1239)</f>
        <v/>
      </c>
      <c r="S1239" s="21" t="str">
        <f aca="false">IF(AND(ISNUMBER(J1239),ISNUMBER(K1239),F1239&lt;&gt;"Calentamiento",F1239&lt;&gt;"Bilbo"),IF(AND(K1239&gt;0,K1239&lt;=12),ROUND(J1239*(1+(K1239+IF(ISNUMBER(L1239),L1239,0))/30),1),""),"")</f>
        <v/>
      </c>
      <c r="T1239" s="21" t="str">
        <f aca="false">IF(AND(F1239="Bilbo",ISNUMBER(J1239),ISNUMBER(K1239)),ROUND(J1239*(1+K1239/30),1),"")</f>
        <v/>
      </c>
      <c r="W1239" s="22"/>
      <c r="X1239" s="21" t="str">
        <f aca="false">IF(AND(F1239="Bilbo",E1239&lt;&gt;"",G1239&lt;&gt;"",H1239&lt;&gt;""),E1239&amp;"|"&amp;G1239&amp;"|"&amp;H1239,"")</f>
        <v/>
      </c>
      <c r="Y1239" s="21" t="str">
        <f aca="false">IF(B1239="","",IF(B1239&lt;&gt;B1238,1,0))</f>
        <v/>
      </c>
    </row>
    <row r="1240" customFormat="false" ht="15" hidden="false" customHeight="true" outlineLevel="0" collapsed="false">
      <c r="A1240" s="21" t="str">
        <f aca="false">IF(B1240="","",ROW()-4)</f>
        <v/>
      </c>
      <c r="B1240" s="22"/>
      <c r="C1240" s="21" t="str">
        <f aca="false">IF(B1240="","",CHOOSE(WEEKDAY(B1240,2),"LUNES","MARTES","MIÉRCOLES","JUEVES","VIERNES","SÁBADO","DOMINGO"))</f>
        <v/>
      </c>
      <c r="M1240" s="23"/>
      <c r="Q1240" s="21" t="str">
        <f aca="false">IF(OR(K1240="",N1240=""),"",K1240-N1240)</f>
        <v/>
      </c>
      <c r="R1240" s="21" t="str">
        <f aca="false">IF(OR(J1240="",K1240=""),"",J1240*K1240)</f>
        <v/>
      </c>
      <c r="S1240" s="21" t="str">
        <f aca="false">IF(AND(ISNUMBER(J1240),ISNUMBER(K1240),F1240&lt;&gt;"Calentamiento",F1240&lt;&gt;"Bilbo"),IF(AND(K1240&gt;0,K1240&lt;=12),ROUND(J1240*(1+(K1240+IF(ISNUMBER(L1240),L1240,0))/30),1),""),"")</f>
        <v/>
      </c>
      <c r="T1240" s="21" t="str">
        <f aca="false">IF(AND(F1240="Bilbo",ISNUMBER(J1240),ISNUMBER(K1240)),ROUND(J1240*(1+K1240/30),1),"")</f>
        <v/>
      </c>
      <c r="W1240" s="22"/>
      <c r="X1240" s="21" t="str">
        <f aca="false">IF(AND(F1240="Bilbo",E1240&lt;&gt;"",G1240&lt;&gt;"",H1240&lt;&gt;""),E1240&amp;"|"&amp;G1240&amp;"|"&amp;H1240,"")</f>
        <v/>
      </c>
      <c r="Y1240" s="21" t="str">
        <f aca="false">IF(B1240="","",IF(B1240&lt;&gt;B1239,1,0))</f>
        <v/>
      </c>
    </row>
    <row r="1241" customFormat="false" ht="15" hidden="false" customHeight="true" outlineLevel="0" collapsed="false">
      <c r="A1241" s="21" t="str">
        <f aca="false">IF(B1241="","",ROW()-4)</f>
        <v/>
      </c>
      <c r="B1241" s="22"/>
      <c r="C1241" s="21" t="str">
        <f aca="false">IF(B1241="","",CHOOSE(WEEKDAY(B1241,2),"LUNES","MARTES","MIÉRCOLES","JUEVES","VIERNES","SÁBADO","DOMINGO"))</f>
        <v/>
      </c>
      <c r="M1241" s="23"/>
      <c r="Q1241" s="21" t="str">
        <f aca="false">IF(OR(K1241="",N1241=""),"",K1241-N1241)</f>
        <v/>
      </c>
      <c r="R1241" s="21" t="str">
        <f aca="false">IF(OR(J1241="",K1241=""),"",J1241*K1241)</f>
        <v/>
      </c>
      <c r="S1241" s="21" t="str">
        <f aca="false">IF(AND(ISNUMBER(J1241),ISNUMBER(K1241),F1241&lt;&gt;"Calentamiento",F1241&lt;&gt;"Bilbo"),IF(AND(K1241&gt;0,K1241&lt;=12),ROUND(J1241*(1+(K1241+IF(ISNUMBER(L1241),L1241,0))/30),1),""),"")</f>
        <v/>
      </c>
      <c r="T1241" s="21" t="str">
        <f aca="false">IF(AND(F1241="Bilbo",ISNUMBER(J1241),ISNUMBER(K1241)),ROUND(J1241*(1+K1241/30),1),"")</f>
        <v/>
      </c>
      <c r="W1241" s="22"/>
      <c r="X1241" s="21" t="str">
        <f aca="false">IF(AND(F1241="Bilbo",E1241&lt;&gt;"",G1241&lt;&gt;"",H1241&lt;&gt;""),E1241&amp;"|"&amp;G1241&amp;"|"&amp;H1241,"")</f>
        <v/>
      </c>
      <c r="Y1241" s="21" t="str">
        <f aca="false">IF(B1241="","",IF(B1241&lt;&gt;B1240,1,0))</f>
        <v/>
      </c>
    </row>
    <row r="1242" customFormat="false" ht="15" hidden="false" customHeight="true" outlineLevel="0" collapsed="false">
      <c r="A1242" s="21" t="str">
        <f aca="false">IF(B1242="","",ROW()-4)</f>
        <v/>
      </c>
      <c r="B1242" s="22"/>
      <c r="C1242" s="21" t="str">
        <f aca="false">IF(B1242="","",CHOOSE(WEEKDAY(B1242,2),"LUNES","MARTES","MIÉRCOLES","JUEVES","VIERNES","SÁBADO","DOMINGO"))</f>
        <v/>
      </c>
      <c r="M1242" s="23"/>
      <c r="Q1242" s="21" t="str">
        <f aca="false">IF(OR(K1242="",N1242=""),"",K1242-N1242)</f>
        <v/>
      </c>
      <c r="R1242" s="21" t="str">
        <f aca="false">IF(OR(J1242="",K1242=""),"",J1242*K1242)</f>
        <v/>
      </c>
      <c r="S1242" s="21" t="str">
        <f aca="false">IF(AND(ISNUMBER(J1242),ISNUMBER(K1242),F1242&lt;&gt;"Calentamiento",F1242&lt;&gt;"Bilbo"),IF(AND(K1242&gt;0,K1242&lt;=12),ROUND(J1242*(1+(K1242+IF(ISNUMBER(L1242),L1242,0))/30),1),""),"")</f>
        <v/>
      </c>
      <c r="T1242" s="21" t="str">
        <f aca="false">IF(AND(F1242="Bilbo",ISNUMBER(J1242),ISNUMBER(K1242)),ROUND(J1242*(1+K1242/30),1),"")</f>
        <v/>
      </c>
      <c r="W1242" s="22"/>
      <c r="X1242" s="21" t="str">
        <f aca="false">IF(AND(F1242="Bilbo",E1242&lt;&gt;"",G1242&lt;&gt;"",H1242&lt;&gt;""),E1242&amp;"|"&amp;G1242&amp;"|"&amp;H1242,"")</f>
        <v/>
      </c>
      <c r="Y1242" s="21" t="str">
        <f aca="false">IF(B1242="","",IF(B1242&lt;&gt;B1241,1,0))</f>
        <v/>
      </c>
    </row>
    <row r="1243" customFormat="false" ht="15" hidden="false" customHeight="true" outlineLevel="0" collapsed="false">
      <c r="A1243" s="21" t="str">
        <f aca="false">IF(B1243="","",ROW()-4)</f>
        <v/>
      </c>
      <c r="B1243" s="22"/>
      <c r="C1243" s="21" t="str">
        <f aca="false">IF(B1243="","",CHOOSE(WEEKDAY(B1243,2),"LUNES","MARTES","MIÉRCOLES","JUEVES","VIERNES","SÁBADO","DOMINGO"))</f>
        <v/>
      </c>
      <c r="M1243" s="23"/>
      <c r="Q1243" s="21" t="str">
        <f aca="false">IF(OR(K1243="",N1243=""),"",K1243-N1243)</f>
        <v/>
      </c>
      <c r="R1243" s="21" t="str">
        <f aca="false">IF(OR(J1243="",K1243=""),"",J1243*K1243)</f>
        <v/>
      </c>
      <c r="S1243" s="21" t="str">
        <f aca="false">IF(AND(ISNUMBER(J1243),ISNUMBER(K1243),F1243&lt;&gt;"Calentamiento",F1243&lt;&gt;"Bilbo"),IF(AND(K1243&gt;0,K1243&lt;=12),ROUND(J1243*(1+(K1243+IF(ISNUMBER(L1243),L1243,0))/30),1),""),"")</f>
        <v/>
      </c>
      <c r="T1243" s="21" t="str">
        <f aca="false">IF(AND(F1243="Bilbo",ISNUMBER(J1243),ISNUMBER(K1243)),ROUND(J1243*(1+K1243/30),1),"")</f>
        <v/>
      </c>
      <c r="W1243" s="22"/>
      <c r="X1243" s="21" t="str">
        <f aca="false">IF(AND(F1243="Bilbo",E1243&lt;&gt;"",G1243&lt;&gt;"",H1243&lt;&gt;""),E1243&amp;"|"&amp;G1243&amp;"|"&amp;H1243,"")</f>
        <v/>
      </c>
      <c r="Y1243" s="21" t="str">
        <f aca="false">IF(B1243="","",IF(B1243&lt;&gt;B1242,1,0))</f>
        <v/>
      </c>
    </row>
    <row r="1244" customFormat="false" ht="15" hidden="false" customHeight="true" outlineLevel="0" collapsed="false">
      <c r="A1244" s="21" t="str">
        <f aca="false">IF(B1244="","",ROW()-4)</f>
        <v/>
      </c>
      <c r="B1244" s="22"/>
      <c r="C1244" s="21" t="str">
        <f aca="false">IF(B1244="","",CHOOSE(WEEKDAY(B1244,2),"LUNES","MARTES","MIÉRCOLES","JUEVES","VIERNES","SÁBADO","DOMINGO"))</f>
        <v/>
      </c>
      <c r="M1244" s="23"/>
      <c r="Q1244" s="21" t="str">
        <f aca="false">IF(OR(K1244="",N1244=""),"",K1244-N1244)</f>
        <v/>
      </c>
      <c r="R1244" s="21" t="str">
        <f aca="false">IF(OR(J1244="",K1244=""),"",J1244*K1244)</f>
        <v/>
      </c>
      <c r="S1244" s="21" t="str">
        <f aca="false">IF(AND(ISNUMBER(J1244),ISNUMBER(K1244),F1244&lt;&gt;"Calentamiento",F1244&lt;&gt;"Bilbo"),IF(AND(K1244&gt;0,K1244&lt;=12),ROUND(J1244*(1+(K1244+IF(ISNUMBER(L1244),L1244,0))/30),1),""),"")</f>
        <v/>
      </c>
      <c r="T1244" s="21" t="str">
        <f aca="false">IF(AND(F1244="Bilbo",ISNUMBER(J1244),ISNUMBER(K1244)),ROUND(J1244*(1+K1244/30),1),"")</f>
        <v/>
      </c>
      <c r="W1244" s="22"/>
      <c r="X1244" s="21" t="str">
        <f aca="false">IF(AND(F1244="Bilbo",E1244&lt;&gt;"",G1244&lt;&gt;"",H1244&lt;&gt;""),E1244&amp;"|"&amp;G1244&amp;"|"&amp;H1244,"")</f>
        <v/>
      </c>
      <c r="Y1244" s="21" t="str">
        <f aca="false">IF(B1244="","",IF(B1244&lt;&gt;B1243,1,0))</f>
        <v/>
      </c>
    </row>
    <row r="1245" customFormat="false" ht="15" hidden="false" customHeight="true" outlineLevel="0" collapsed="false">
      <c r="A1245" s="21" t="str">
        <f aca="false">IF(B1245="","",ROW()-4)</f>
        <v/>
      </c>
      <c r="B1245" s="22"/>
      <c r="C1245" s="21" t="str">
        <f aca="false">IF(B1245="","",CHOOSE(WEEKDAY(B1245,2),"LUNES","MARTES","MIÉRCOLES","JUEVES","VIERNES","SÁBADO","DOMINGO"))</f>
        <v/>
      </c>
      <c r="M1245" s="23"/>
      <c r="Q1245" s="21" t="str">
        <f aca="false">IF(OR(K1245="",N1245=""),"",K1245-N1245)</f>
        <v/>
      </c>
      <c r="R1245" s="21" t="str">
        <f aca="false">IF(OR(J1245="",K1245=""),"",J1245*K1245)</f>
        <v/>
      </c>
      <c r="S1245" s="21" t="str">
        <f aca="false">IF(AND(ISNUMBER(J1245),ISNUMBER(K1245),F1245&lt;&gt;"Calentamiento",F1245&lt;&gt;"Bilbo"),IF(AND(K1245&gt;0,K1245&lt;=12),ROUND(J1245*(1+(K1245+IF(ISNUMBER(L1245),L1245,0))/30),1),""),"")</f>
        <v/>
      </c>
      <c r="T1245" s="21" t="str">
        <f aca="false">IF(AND(F1245="Bilbo",ISNUMBER(J1245),ISNUMBER(K1245)),ROUND(J1245*(1+K1245/30),1),"")</f>
        <v/>
      </c>
      <c r="W1245" s="22"/>
      <c r="X1245" s="21" t="str">
        <f aca="false">IF(AND(F1245="Bilbo",E1245&lt;&gt;"",G1245&lt;&gt;"",H1245&lt;&gt;""),E1245&amp;"|"&amp;G1245&amp;"|"&amp;H1245,"")</f>
        <v/>
      </c>
      <c r="Y1245" s="21" t="str">
        <f aca="false">IF(B1245="","",IF(B1245&lt;&gt;B1244,1,0))</f>
        <v/>
      </c>
    </row>
    <row r="1246" customFormat="false" ht="15" hidden="false" customHeight="true" outlineLevel="0" collapsed="false">
      <c r="A1246" s="21" t="str">
        <f aca="false">IF(B1246="","",ROW()-4)</f>
        <v/>
      </c>
      <c r="B1246" s="22"/>
      <c r="C1246" s="21" t="str">
        <f aca="false">IF(B1246="","",CHOOSE(WEEKDAY(B1246,2),"LUNES","MARTES","MIÉRCOLES","JUEVES","VIERNES","SÁBADO","DOMINGO"))</f>
        <v/>
      </c>
      <c r="M1246" s="23"/>
      <c r="Q1246" s="21" t="str">
        <f aca="false">IF(OR(K1246="",N1246=""),"",K1246-N1246)</f>
        <v/>
      </c>
      <c r="R1246" s="21" t="str">
        <f aca="false">IF(OR(J1246="",K1246=""),"",J1246*K1246)</f>
        <v/>
      </c>
      <c r="S1246" s="21" t="str">
        <f aca="false">IF(AND(ISNUMBER(J1246),ISNUMBER(K1246),F1246&lt;&gt;"Calentamiento",F1246&lt;&gt;"Bilbo"),IF(AND(K1246&gt;0,K1246&lt;=12),ROUND(J1246*(1+(K1246+IF(ISNUMBER(L1246),L1246,0))/30),1),""),"")</f>
        <v/>
      </c>
      <c r="T1246" s="21" t="str">
        <f aca="false">IF(AND(F1246="Bilbo",ISNUMBER(J1246),ISNUMBER(K1246)),ROUND(J1246*(1+K1246/30),1),"")</f>
        <v/>
      </c>
      <c r="W1246" s="22"/>
      <c r="X1246" s="21" t="str">
        <f aca="false">IF(AND(F1246="Bilbo",E1246&lt;&gt;"",G1246&lt;&gt;"",H1246&lt;&gt;""),E1246&amp;"|"&amp;G1246&amp;"|"&amp;H1246,"")</f>
        <v/>
      </c>
      <c r="Y1246" s="21" t="str">
        <f aca="false">IF(B1246="","",IF(B1246&lt;&gt;B1245,1,0))</f>
        <v/>
      </c>
    </row>
    <row r="1247" customFormat="false" ht="15" hidden="false" customHeight="true" outlineLevel="0" collapsed="false">
      <c r="A1247" s="21" t="str">
        <f aca="false">IF(B1247="","",ROW()-4)</f>
        <v/>
      </c>
      <c r="B1247" s="22"/>
      <c r="C1247" s="21" t="str">
        <f aca="false">IF(B1247="","",CHOOSE(WEEKDAY(B1247,2),"LUNES","MARTES","MIÉRCOLES","JUEVES","VIERNES","SÁBADO","DOMINGO"))</f>
        <v/>
      </c>
      <c r="M1247" s="23"/>
      <c r="Q1247" s="21" t="str">
        <f aca="false">IF(OR(K1247="",N1247=""),"",K1247-N1247)</f>
        <v/>
      </c>
      <c r="R1247" s="21" t="str">
        <f aca="false">IF(OR(J1247="",K1247=""),"",J1247*K1247)</f>
        <v/>
      </c>
      <c r="S1247" s="21" t="str">
        <f aca="false">IF(AND(ISNUMBER(J1247),ISNUMBER(K1247),F1247&lt;&gt;"Calentamiento",F1247&lt;&gt;"Bilbo"),IF(AND(K1247&gt;0,K1247&lt;=12),ROUND(J1247*(1+(K1247+IF(ISNUMBER(L1247),L1247,0))/30),1),""),"")</f>
        <v/>
      </c>
      <c r="T1247" s="21" t="str">
        <f aca="false">IF(AND(F1247="Bilbo",ISNUMBER(J1247),ISNUMBER(K1247)),ROUND(J1247*(1+K1247/30),1),"")</f>
        <v/>
      </c>
      <c r="W1247" s="22"/>
      <c r="X1247" s="21" t="str">
        <f aca="false">IF(AND(F1247="Bilbo",E1247&lt;&gt;"",G1247&lt;&gt;"",H1247&lt;&gt;""),E1247&amp;"|"&amp;G1247&amp;"|"&amp;H1247,"")</f>
        <v/>
      </c>
      <c r="Y1247" s="21" t="str">
        <f aca="false">IF(B1247="","",IF(B1247&lt;&gt;B1246,1,0))</f>
        <v/>
      </c>
    </row>
    <row r="1248" customFormat="false" ht="15" hidden="false" customHeight="true" outlineLevel="0" collapsed="false">
      <c r="A1248" s="21" t="str">
        <f aca="false">IF(B1248="","",ROW()-4)</f>
        <v/>
      </c>
      <c r="B1248" s="22"/>
      <c r="C1248" s="21" t="str">
        <f aca="false">IF(B1248="","",CHOOSE(WEEKDAY(B1248,2),"LUNES","MARTES","MIÉRCOLES","JUEVES","VIERNES","SÁBADO","DOMINGO"))</f>
        <v/>
      </c>
      <c r="M1248" s="23"/>
      <c r="Q1248" s="21" t="str">
        <f aca="false">IF(OR(K1248="",N1248=""),"",K1248-N1248)</f>
        <v/>
      </c>
      <c r="R1248" s="21" t="str">
        <f aca="false">IF(OR(J1248="",K1248=""),"",J1248*K1248)</f>
        <v/>
      </c>
      <c r="S1248" s="21" t="str">
        <f aca="false">IF(AND(ISNUMBER(J1248),ISNUMBER(K1248),F1248&lt;&gt;"Calentamiento",F1248&lt;&gt;"Bilbo"),IF(AND(K1248&gt;0,K1248&lt;=12),ROUND(J1248*(1+(K1248+IF(ISNUMBER(L1248),L1248,0))/30),1),""),"")</f>
        <v/>
      </c>
      <c r="T1248" s="21" t="str">
        <f aca="false">IF(AND(F1248="Bilbo",ISNUMBER(J1248),ISNUMBER(K1248)),ROUND(J1248*(1+K1248/30),1),"")</f>
        <v/>
      </c>
      <c r="W1248" s="22"/>
      <c r="X1248" s="21" t="str">
        <f aca="false">IF(AND(F1248="Bilbo",E1248&lt;&gt;"",G1248&lt;&gt;"",H1248&lt;&gt;""),E1248&amp;"|"&amp;G1248&amp;"|"&amp;H1248,"")</f>
        <v/>
      </c>
      <c r="Y1248" s="21" t="str">
        <f aca="false">IF(B1248="","",IF(B1248&lt;&gt;B1247,1,0))</f>
        <v/>
      </c>
    </row>
    <row r="1249" customFormat="false" ht="15" hidden="false" customHeight="true" outlineLevel="0" collapsed="false">
      <c r="A1249" s="21" t="str">
        <f aca="false">IF(B1249="","",ROW()-4)</f>
        <v/>
      </c>
      <c r="B1249" s="22"/>
      <c r="C1249" s="21" t="str">
        <f aca="false">IF(B1249="","",CHOOSE(WEEKDAY(B1249,2),"LUNES","MARTES","MIÉRCOLES","JUEVES","VIERNES","SÁBADO","DOMINGO"))</f>
        <v/>
      </c>
      <c r="M1249" s="23"/>
      <c r="Q1249" s="21" t="str">
        <f aca="false">IF(OR(K1249="",N1249=""),"",K1249-N1249)</f>
        <v/>
      </c>
      <c r="R1249" s="21" t="str">
        <f aca="false">IF(OR(J1249="",K1249=""),"",J1249*K1249)</f>
        <v/>
      </c>
      <c r="S1249" s="21" t="str">
        <f aca="false">IF(AND(ISNUMBER(J1249),ISNUMBER(K1249),F1249&lt;&gt;"Calentamiento",F1249&lt;&gt;"Bilbo"),IF(AND(K1249&gt;0,K1249&lt;=12),ROUND(J1249*(1+(K1249+IF(ISNUMBER(L1249),L1249,0))/30),1),""),"")</f>
        <v/>
      </c>
      <c r="T1249" s="21" t="str">
        <f aca="false">IF(AND(F1249="Bilbo",ISNUMBER(J1249),ISNUMBER(K1249)),ROUND(J1249*(1+K1249/30),1),"")</f>
        <v/>
      </c>
      <c r="W1249" s="22"/>
      <c r="X1249" s="21" t="str">
        <f aca="false">IF(AND(F1249="Bilbo",E1249&lt;&gt;"",G1249&lt;&gt;"",H1249&lt;&gt;""),E1249&amp;"|"&amp;G1249&amp;"|"&amp;H1249,"")</f>
        <v/>
      </c>
      <c r="Y1249" s="21" t="str">
        <f aca="false">IF(B1249="","",IF(B1249&lt;&gt;B1248,1,0))</f>
        <v/>
      </c>
    </row>
    <row r="1250" customFormat="false" ht="15" hidden="false" customHeight="true" outlineLevel="0" collapsed="false">
      <c r="A1250" s="21" t="str">
        <f aca="false">IF(B1250="","",ROW()-4)</f>
        <v/>
      </c>
      <c r="B1250" s="22"/>
      <c r="C1250" s="21" t="str">
        <f aca="false">IF(B1250="","",CHOOSE(WEEKDAY(B1250,2),"LUNES","MARTES","MIÉRCOLES","JUEVES","VIERNES","SÁBADO","DOMINGO"))</f>
        <v/>
      </c>
      <c r="M1250" s="23"/>
      <c r="Q1250" s="21" t="str">
        <f aca="false">IF(OR(K1250="",N1250=""),"",K1250-N1250)</f>
        <v/>
      </c>
      <c r="R1250" s="21" t="str">
        <f aca="false">IF(OR(J1250="",K1250=""),"",J1250*K1250)</f>
        <v/>
      </c>
      <c r="S1250" s="21" t="str">
        <f aca="false">IF(AND(ISNUMBER(J1250),ISNUMBER(K1250),F1250&lt;&gt;"Calentamiento",F1250&lt;&gt;"Bilbo"),IF(AND(K1250&gt;0,K1250&lt;=12),ROUND(J1250*(1+(K1250+IF(ISNUMBER(L1250),L1250,0))/30),1),""),"")</f>
        <v/>
      </c>
      <c r="T1250" s="21" t="str">
        <f aca="false">IF(AND(F1250="Bilbo",ISNUMBER(J1250),ISNUMBER(K1250)),ROUND(J1250*(1+K1250/30),1),"")</f>
        <v/>
      </c>
      <c r="W1250" s="22"/>
      <c r="X1250" s="21" t="str">
        <f aca="false">IF(AND(F1250="Bilbo",E1250&lt;&gt;"",G1250&lt;&gt;"",H1250&lt;&gt;""),E1250&amp;"|"&amp;G1250&amp;"|"&amp;H1250,"")</f>
        <v/>
      </c>
      <c r="Y1250" s="21" t="str">
        <f aca="false">IF(B1250="","",IF(B1250&lt;&gt;B1249,1,0))</f>
        <v/>
      </c>
    </row>
    <row r="1251" customFormat="false" ht="15" hidden="false" customHeight="true" outlineLevel="0" collapsed="false">
      <c r="A1251" s="21" t="str">
        <f aca="false">IF(B1251="","",ROW()-4)</f>
        <v/>
      </c>
      <c r="B1251" s="22"/>
      <c r="C1251" s="21" t="str">
        <f aca="false">IF(B1251="","",CHOOSE(WEEKDAY(B1251,2),"LUNES","MARTES","MIÉRCOLES","JUEVES","VIERNES","SÁBADO","DOMINGO"))</f>
        <v/>
      </c>
      <c r="M1251" s="23"/>
      <c r="Q1251" s="21" t="str">
        <f aca="false">IF(OR(K1251="",N1251=""),"",K1251-N1251)</f>
        <v/>
      </c>
      <c r="R1251" s="21" t="str">
        <f aca="false">IF(OR(J1251="",K1251=""),"",J1251*K1251)</f>
        <v/>
      </c>
      <c r="S1251" s="21" t="str">
        <f aca="false">IF(AND(ISNUMBER(J1251),ISNUMBER(K1251),F1251&lt;&gt;"Calentamiento",F1251&lt;&gt;"Bilbo"),IF(AND(K1251&gt;0,K1251&lt;=12),ROUND(J1251*(1+(K1251+IF(ISNUMBER(L1251),L1251,0))/30),1),""),"")</f>
        <v/>
      </c>
      <c r="T1251" s="21" t="str">
        <f aca="false">IF(AND(F1251="Bilbo",ISNUMBER(J1251),ISNUMBER(K1251)),ROUND(J1251*(1+K1251/30),1),"")</f>
        <v/>
      </c>
      <c r="W1251" s="22"/>
      <c r="X1251" s="21" t="str">
        <f aca="false">IF(AND(F1251="Bilbo",E1251&lt;&gt;"",G1251&lt;&gt;"",H1251&lt;&gt;""),E1251&amp;"|"&amp;G1251&amp;"|"&amp;H1251,"")</f>
        <v/>
      </c>
      <c r="Y1251" s="21" t="str">
        <f aca="false">IF(B1251="","",IF(B1251&lt;&gt;B1250,1,0))</f>
        <v/>
      </c>
    </row>
    <row r="1252" customFormat="false" ht="15" hidden="false" customHeight="true" outlineLevel="0" collapsed="false">
      <c r="A1252" s="21" t="str">
        <f aca="false">IF(B1252="","",ROW()-4)</f>
        <v/>
      </c>
      <c r="B1252" s="22"/>
      <c r="C1252" s="21" t="str">
        <f aca="false">IF(B1252="","",CHOOSE(WEEKDAY(B1252,2),"LUNES","MARTES","MIÉRCOLES","JUEVES","VIERNES","SÁBADO","DOMINGO"))</f>
        <v/>
      </c>
      <c r="M1252" s="23"/>
      <c r="Q1252" s="21" t="str">
        <f aca="false">IF(OR(K1252="",N1252=""),"",K1252-N1252)</f>
        <v/>
      </c>
      <c r="R1252" s="21" t="str">
        <f aca="false">IF(OR(J1252="",K1252=""),"",J1252*K1252)</f>
        <v/>
      </c>
      <c r="S1252" s="21" t="str">
        <f aca="false">IF(AND(ISNUMBER(J1252),ISNUMBER(K1252),F1252&lt;&gt;"Calentamiento",F1252&lt;&gt;"Bilbo"),IF(AND(K1252&gt;0,K1252&lt;=12),ROUND(J1252*(1+(K1252+IF(ISNUMBER(L1252),L1252,0))/30),1),""),"")</f>
        <v/>
      </c>
      <c r="T1252" s="21" t="str">
        <f aca="false">IF(AND(F1252="Bilbo",ISNUMBER(J1252),ISNUMBER(K1252)),ROUND(J1252*(1+K1252/30),1),"")</f>
        <v/>
      </c>
      <c r="W1252" s="22"/>
      <c r="X1252" s="21" t="str">
        <f aca="false">IF(AND(F1252="Bilbo",E1252&lt;&gt;"",G1252&lt;&gt;"",H1252&lt;&gt;""),E1252&amp;"|"&amp;G1252&amp;"|"&amp;H1252,"")</f>
        <v/>
      </c>
      <c r="Y1252" s="21" t="str">
        <f aca="false">IF(B1252="","",IF(B1252&lt;&gt;B1251,1,0))</f>
        <v/>
      </c>
    </row>
    <row r="1253" customFormat="false" ht="15" hidden="false" customHeight="true" outlineLevel="0" collapsed="false">
      <c r="A1253" s="21" t="str">
        <f aca="false">IF(B1253="","",ROW()-4)</f>
        <v/>
      </c>
      <c r="B1253" s="22"/>
      <c r="C1253" s="21" t="str">
        <f aca="false">IF(B1253="","",CHOOSE(WEEKDAY(B1253,2),"LUNES","MARTES","MIÉRCOLES","JUEVES","VIERNES","SÁBADO","DOMINGO"))</f>
        <v/>
      </c>
      <c r="M1253" s="23"/>
      <c r="Q1253" s="21" t="str">
        <f aca="false">IF(OR(K1253="",N1253=""),"",K1253-N1253)</f>
        <v/>
      </c>
      <c r="R1253" s="21" t="str">
        <f aca="false">IF(OR(J1253="",K1253=""),"",J1253*K1253)</f>
        <v/>
      </c>
      <c r="S1253" s="21" t="str">
        <f aca="false">IF(AND(ISNUMBER(J1253),ISNUMBER(K1253),F1253&lt;&gt;"Calentamiento",F1253&lt;&gt;"Bilbo"),IF(AND(K1253&gt;0,K1253&lt;=12),ROUND(J1253*(1+(K1253+IF(ISNUMBER(L1253),L1253,0))/30),1),""),"")</f>
        <v/>
      </c>
      <c r="T1253" s="21" t="str">
        <f aca="false">IF(AND(F1253="Bilbo",ISNUMBER(J1253),ISNUMBER(K1253)),ROUND(J1253*(1+K1253/30),1),"")</f>
        <v/>
      </c>
      <c r="W1253" s="22"/>
      <c r="X1253" s="21" t="str">
        <f aca="false">IF(AND(F1253="Bilbo",E1253&lt;&gt;"",G1253&lt;&gt;"",H1253&lt;&gt;""),E1253&amp;"|"&amp;G1253&amp;"|"&amp;H1253,"")</f>
        <v/>
      </c>
      <c r="Y1253" s="21" t="str">
        <f aca="false">IF(B1253="","",IF(B1253&lt;&gt;B1252,1,0))</f>
        <v/>
      </c>
    </row>
    <row r="1254" customFormat="false" ht="15" hidden="false" customHeight="true" outlineLevel="0" collapsed="false">
      <c r="A1254" s="21" t="str">
        <f aca="false">IF(B1254="","",ROW()-4)</f>
        <v/>
      </c>
      <c r="B1254" s="22"/>
      <c r="C1254" s="21" t="str">
        <f aca="false">IF(B1254="","",CHOOSE(WEEKDAY(B1254,2),"LUNES","MARTES","MIÉRCOLES","JUEVES","VIERNES","SÁBADO","DOMINGO"))</f>
        <v/>
      </c>
      <c r="M1254" s="23"/>
      <c r="Q1254" s="21" t="str">
        <f aca="false">IF(OR(K1254="",N1254=""),"",K1254-N1254)</f>
        <v/>
      </c>
      <c r="R1254" s="21" t="str">
        <f aca="false">IF(OR(J1254="",K1254=""),"",J1254*K1254)</f>
        <v/>
      </c>
      <c r="S1254" s="21" t="str">
        <f aca="false">IF(AND(ISNUMBER(J1254),ISNUMBER(K1254),F1254&lt;&gt;"Calentamiento",F1254&lt;&gt;"Bilbo"),IF(AND(K1254&gt;0,K1254&lt;=12),ROUND(J1254*(1+(K1254+IF(ISNUMBER(L1254),L1254,0))/30),1),""),"")</f>
        <v/>
      </c>
      <c r="T1254" s="21" t="str">
        <f aca="false">IF(AND(F1254="Bilbo",ISNUMBER(J1254),ISNUMBER(K1254)),ROUND(J1254*(1+K1254/30),1),"")</f>
        <v/>
      </c>
      <c r="W1254" s="22"/>
      <c r="X1254" s="21" t="str">
        <f aca="false">IF(AND(F1254="Bilbo",E1254&lt;&gt;"",G1254&lt;&gt;"",H1254&lt;&gt;""),E1254&amp;"|"&amp;G1254&amp;"|"&amp;H1254,"")</f>
        <v/>
      </c>
      <c r="Y1254" s="21" t="str">
        <f aca="false">IF(B1254="","",IF(B1254&lt;&gt;B1253,1,0))</f>
        <v/>
      </c>
    </row>
    <row r="1255" customFormat="false" ht="15" hidden="false" customHeight="true" outlineLevel="0" collapsed="false">
      <c r="A1255" s="21" t="str">
        <f aca="false">IF(B1255="","",ROW()-4)</f>
        <v/>
      </c>
      <c r="B1255" s="22"/>
      <c r="C1255" s="21" t="str">
        <f aca="false">IF(B1255="","",CHOOSE(WEEKDAY(B1255,2),"LUNES","MARTES","MIÉRCOLES","JUEVES","VIERNES","SÁBADO","DOMINGO"))</f>
        <v/>
      </c>
      <c r="M1255" s="23"/>
      <c r="Q1255" s="21" t="str">
        <f aca="false">IF(OR(K1255="",N1255=""),"",K1255-N1255)</f>
        <v/>
      </c>
      <c r="R1255" s="21" t="str">
        <f aca="false">IF(OR(J1255="",K1255=""),"",J1255*K1255)</f>
        <v/>
      </c>
      <c r="S1255" s="21" t="str">
        <f aca="false">IF(AND(ISNUMBER(J1255),ISNUMBER(K1255),F1255&lt;&gt;"Calentamiento",F1255&lt;&gt;"Bilbo"),IF(AND(K1255&gt;0,K1255&lt;=12),ROUND(J1255*(1+(K1255+IF(ISNUMBER(L1255),L1255,0))/30),1),""),"")</f>
        <v/>
      </c>
      <c r="T1255" s="21" t="str">
        <f aca="false">IF(AND(F1255="Bilbo",ISNUMBER(J1255),ISNUMBER(K1255)),ROUND(J1255*(1+K1255/30),1),"")</f>
        <v/>
      </c>
      <c r="W1255" s="22"/>
      <c r="X1255" s="21" t="str">
        <f aca="false">IF(AND(F1255="Bilbo",E1255&lt;&gt;"",G1255&lt;&gt;"",H1255&lt;&gt;""),E1255&amp;"|"&amp;G1255&amp;"|"&amp;H1255,"")</f>
        <v/>
      </c>
      <c r="Y1255" s="21" t="str">
        <f aca="false">IF(B1255="","",IF(B1255&lt;&gt;B1254,1,0))</f>
        <v/>
      </c>
    </row>
    <row r="1256" customFormat="false" ht="15" hidden="false" customHeight="true" outlineLevel="0" collapsed="false">
      <c r="A1256" s="21" t="str">
        <f aca="false">IF(B1256="","",ROW()-4)</f>
        <v/>
      </c>
      <c r="B1256" s="22"/>
      <c r="C1256" s="21" t="str">
        <f aca="false">IF(B1256="","",CHOOSE(WEEKDAY(B1256,2),"LUNES","MARTES","MIÉRCOLES","JUEVES","VIERNES","SÁBADO","DOMINGO"))</f>
        <v/>
      </c>
      <c r="M1256" s="23"/>
      <c r="Q1256" s="21" t="str">
        <f aca="false">IF(OR(K1256="",N1256=""),"",K1256-N1256)</f>
        <v/>
      </c>
      <c r="R1256" s="21" t="str">
        <f aca="false">IF(OR(J1256="",K1256=""),"",J1256*K1256)</f>
        <v/>
      </c>
      <c r="S1256" s="21" t="str">
        <f aca="false">IF(AND(ISNUMBER(J1256),ISNUMBER(K1256),F1256&lt;&gt;"Calentamiento",F1256&lt;&gt;"Bilbo"),IF(AND(K1256&gt;0,K1256&lt;=12),ROUND(J1256*(1+(K1256+IF(ISNUMBER(L1256),L1256,0))/30),1),""),"")</f>
        <v/>
      </c>
      <c r="T1256" s="21" t="str">
        <f aca="false">IF(AND(F1256="Bilbo",ISNUMBER(J1256),ISNUMBER(K1256)),ROUND(J1256*(1+K1256/30),1),"")</f>
        <v/>
      </c>
      <c r="W1256" s="22"/>
      <c r="X1256" s="21" t="str">
        <f aca="false">IF(AND(F1256="Bilbo",E1256&lt;&gt;"",G1256&lt;&gt;"",H1256&lt;&gt;""),E1256&amp;"|"&amp;G1256&amp;"|"&amp;H1256,"")</f>
        <v/>
      </c>
      <c r="Y1256" s="21" t="str">
        <f aca="false">IF(B1256="","",IF(B1256&lt;&gt;B1255,1,0))</f>
        <v/>
      </c>
    </row>
    <row r="1257" customFormat="false" ht="15" hidden="false" customHeight="true" outlineLevel="0" collapsed="false">
      <c r="A1257" s="21" t="str">
        <f aca="false">IF(B1257="","",ROW()-4)</f>
        <v/>
      </c>
      <c r="B1257" s="22"/>
      <c r="C1257" s="21" t="str">
        <f aca="false">IF(B1257="","",CHOOSE(WEEKDAY(B1257,2),"LUNES","MARTES","MIÉRCOLES","JUEVES","VIERNES","SÁBADO","DOMINGO"))</f>
        <v/>
      </c>
      <c r="M1257" s="23"/>
      <c r="Q1257" s="21" t="str">
        <f aca="false">IF(OR(K1257="",N1257=""),"",K1257-N1257)</f>
        <v/>
      </c>
      <c r="R1257" s="21" t="str">
        <f aca="false">IF(OR(J1257="",K1257=""),"",J1257*K1257)</f>
        <v/>
      </c>
      <c r="S1257" s="21" t="str">
        <f aca="false">IF(AND(ISNUMBER(J1257),ISNUMBER(K1257),F1257&lt;&gt;"Calentamiento",F1257&lt;&gt;"Bilbo"),IF(AND(K1257&gt;0,K1257&lt;=12),ROUND(J1257*(1+(K1257+IF(ISNUMBER(L1257),L1257,0))/30),1),""),"")</f>
        <v/>
      </c>
      <c r="T1257" s="21" t="str">
        <f aca="false">IF(AND(F1257="Bilbo",ISNUMBER(J1257),ISNUMBER(K1257)),ROUND(J1257*(1+K1257/30),1),"")</f>
        <v/>
      </c>
      <c r="W1257" s="22"/>
      <c r="X1257" s="21" t="str">
        <f aca="false">IF(AND(F1257="Bilbo",E1257&lt;&gt;"",G1257&lt;&gt;"",H1257&lt;&gt;""),E1257&amp;"|"&amp;G1257&amp;"|"&amp;H1257,"")</f>
        <v/>
      </c>
      <c r="Y1257" s="21" t="str">
        <f aca="false">IF(B1257="","",IF(B1257&lt;&gt;B1256,1,0))</f>
        <v/>
      </c>
    </row>
    <row r="1258" customFormat="false" ht="15" hidden="false" customHeight="true" outlineLevel="0" collapsed="false">
      <c r="A1258" s="21" t="str">
        <f aca="false">IF(B1258="","",ROW()-4)</f>
        <v/>
      </c>
      <c r="B1258" s="22"/>
      <c r="C1258" s="21" t="str">
        <f aca="false">IF(B1258="","",CHOOSE(WEEKDAY(B1258,2),"LUNES","MARTES","MIÉRCOLES","JUEVES","VIERNES","SÁBADO","DOMINGO"))</f>
        <v/>
      </c>
      <c r="M1258" s="23"/>
      <c r="Q1258" s="21" t="str">
        <f aca="false">IF(OR(K1258="",N1258=""),"",K1258-N1258)</f>
        <v/>
      </c>
      <c r="R1258" s="21" t="str">
        <f aca="false">IF(OR(J1258="",K1258=""),"",J1258*K1258)</f>
        <v/>
      </c>
      <c r="S1258" s="21" t="str">
        <f aca="false">IF(AND(ISNUMBER(J1258),ISNUMBER(K1258),F1258&lt;&gt;"Calentamiento",F1258&lt;&gt;"Bilbo"),IF(AND(K1258&gt;0,K1258&lt;=12),ROUND(J1258*(1+(K1258+IF(ISNUMBER(L1258),L1258,0))/30),1),""),"")</f>
        <v/>
      </c>
      <c r="T1258" s="21" t="str">
        <f aca="false">IF(AND(F1258="Bilbo",ISNUMBER(J1258),ISNUMBER(K1258)),ROUND(J1258*(1+K1258/30),1),"")</f>
        <v/>
      </c>
      <c r="W1258" s="22"/>
      <c r="X1258" s="21" t="str">
        <f aca="false">IF(AND(F1258="Bilbo",E1258&lt;&gt;"",G1258&lt;&gt;"",H1258&lt;&gt;""),E1258&amp;"|"&amp;G1258&amp;"|"&amp;H1258,"")</f>
        <v/>
      </c>
      <c r="Y1258" s="21" t="str">
        <f aca="false">IF(B1258="","",IF(B1258&lt;&gt;B1257,1,0))</f>
        <v/>
      </c>
    </row>
    <row r="1259" customFormat="false" ht="15" hidden="false" customHeight="true" outlineLevel="0" collapsed="false">
      <c r="A1259" s="21" t="str">
        <f aca="false">IF(B1259="","",ROW()-4)</f>
        <v/>
      </c>
      <c r="B1259" s="22"/>
      <c r="C1259" s="21" t="str">
        <f aca="false">IF(B1259="","",CHOOSE(WEEKDAY(B1259,2),"LUNES","MARTES","MIÉRCOLES","JUEVES","VIERNES","SÁBADO","DOMINGO"))</f>
        <v/>
      </c>
      <c r="M1259" s="23"/>
      <c r="Q1259" s="21" t="str">
        <f aca="false">IF(OR(K1259="",N1259=""),"",K1259-N1259)</f>
        <v/>
      </c>
      <c r="R1259" s="21" t="str">
        <f aca="false">IF(OR(J1259="",K1259=""),"",J1259*K1259)</f>
        <v/>
      </c>
      <c r="S1259" s="21" t="str">
        <f aca="false">IF(AND(ISNUMBER(J1259),ISNUMBER(K1259),F1259&lt;&gt;"Calentamiento",F1259&lt;&gt;"Bilbo"),IF(AND(K1259&gt;0,K1259&lt;=12),ROUND(J1259*(1+(K1259+IF(ISNUMBER(L1259),L1259,0))/30),1),""),"")</f>
        <v/>
      </c>
      <c r="T1259" s="21" t="str">
        <f aca="false">IF(AND(F1259="Bilbo",ISNUMBER(J1259),ISNUMBER(K1259)),ROUND(J1259*(1+K1259/30),1),"")</f>
        <v/>
      </c>
      <c r="W1259" s="22"/>
      <c r="X1259" s="21" t="str">
        <f aca="false">IF(AND(F1259="Bilbo",E1259&lt;&gt;"",G1259&lt;&gt;"",H1259&lt;&gt;""),E1259&amp;"|"&amp;G1259&amp;"|"&amp;H1259,"")</f>
        <v/>
      </c>
      <c r="Y1259" s="21" t="str">
        <f aca="false">IF(B1259="","",IF(B1259&lt;&gt;B1258,1,0))</f>
        <v/>
      </c>
    </row>
    <row r="1260" customFormat="false" ht="15" hidden="false" customHeight="true" outlineLevel="0" collapsed="false">
      <c r="A1260" s="21" t="str">
        <f aca="false">IF(B1260="","",ROW()-4)</f>
        <v/>
      </c>
      <c r="B1260" s="22"/>
      <c r="C1260" s="21" t="str">
        <f aca="false">IF(B1260="","",CHOOSE(WEEKDAY(B1260,2),"LUNES","MARTES","MIÉRCOLES","JUEVES","VIERNES","SÁBADO","DOMINGO"))</f>
        <v/>
      </c>
      <c r="M1260" s="23"/>
      <c r="Q1260" s="21" t="str">
        <f aca="false">IF(OR(K1260="",N1260=""),"",K1260-N1260)</f>
        <v/>
      </c>
      <c r="R1260" s="21" t="str">
        <f aca="false">IF(OR(J1260="",K1260=""),"",J1260*K1260)</f>
        <v/>
      </c>
      <c r="S1260" s="21" t="str">
        <f aca="false">IF(AND(ISNUMBER(J1260),ISNUMBER(K1260),F1260&lt;&gt;"Calentamiento",F1260&lt;&gt;"Bilbo"),IF(AND(K1260&gt;0,K1260&lt;=12),ROUND(J1260*(1+(K1260+IF(ISNUMBER(L1260),L1260,0))/30),1),""),"")</f>
        <v/>
      </c>
      <c r="T1260" s="21" t="str">
        <f aca="false">IF(AND(F1260="Bilbo",ISNUMBER(J1260),ISNUMBER(K1260)),ROUND(J1260*(1+K1260/30),1),"")</f>
        <v/>
      </c>
      <c r="W1260" s="22"/>
      <c r="X1260" s="21" t="str">
        <f aca="false">IF(AND(F1260="Bilbo",E1260&lt;&gt;"",G1260&lt;&gt;"",H1260&lt;&gt;""),E1260&amp;"|"&amp;G1260&amp;"|"&amp;H1260,"")</f>
        <v/>
      </c>
      <c r="Y1260" s="21" t="str">
        <f aca="false">IF(B1260="","",IF(B1260&lt;&gt;B1259,1,0))</f>
        <v/>
      </c>
    </row>
    <row r="1261" customFormat="false" ht="15" hidden="false" customHeight="true" outlineLevel="0" collapsed="false">
      <c r="A1261" s="21" t="str">
        <f aca="false">IF(B1261="","",ROW()-4)</f>
        <v/>
      </c>
      <c r="B1261" s="22"/>
      <c r="C1261" s="21" t="str">
        <f aca="false">IF(B1261="","",CHOOSE(WEEKDAY(B1261,2),"LUNES","MARTES","MIÉRCOLES","JUEVES","VIERNES","SÁBADO","DOMINGO"))</f>
        <v/>
      </c>
      <c r="M1261" s="23"/>
      <c r="Q1261" s="21" t="str">
        <f aca="false">IF(OR(K1261="",N1261=""),"",K1261-N1261)</f>
        <v/>
      </c>
      <c r="R1261" s="21" t="str">
        <f aca="false">IF(OR(J1261="",K1261=""),"",J1261*K1261)</f>
        <v/>
      </c>
      <c r="S1261" s="21" t="str">
        <f aca="false">IF(AND(ISNUMBER(J1261),ISNUMBER(K1261),F1261&lt;&gt;"Calentamiento",F1261&lt;&gt;"Bilbo"),IF(AND(K1261&gt;0,K1261&lt;=12),ROUND(J1261*(1+(K1261+IF(ISNUMBER(L1261),L1261,0))/30),1),""),"")</f>
        <v/>
      </c>
      <c r="T1261" s="21" t="str">
        <f aca="false">IF(AND(F1261="Bilbo",ISNUMBER(J1261),ISNUMBER(K1261)),ROUND(J1261*(1+K1261/30),1),"")</f>
        <v/>
      </c>
      <c r="W1261" s="22"/>
      <c r="X1261" s="21" t="str">
        <f aca="false">IF(AND(F1261="Bilbo",E1261&lt;&gt;"",G1261&lt;&gt;"",H1261&lt;&gt;""),E1261&amp;"|"&amp;G1261&amp;"|"&amp;H1261,"")</f>
        <v/>
      </c>
      <c r="Y1261" s="21" t="str">
        <f aca="false">IF(B1261="","",IF(B1261&lt;&gt;B1260,1,0))</f>
        <v/>
      </c>
    </row>
    <row r="1262" customFormat="false" ht="15" hidden="false" customHeight="true" outlineLevel="0" collapsed="false">
      <c r="A1262" s="21" t="str">
        <f aca="false">IF(B1262="","",ROW()-4)</f>
        <v/>
      </c>
      <c r="B1262" s="22"/>
      <c r="C1262" s="21" t="str">
        <f aca="false">IF(B1262="","",CHOOSE(WEEKDAY(B1262,2),"LUNES","MARTES","MIÉRCOLES","JUEVES","VIERNES","SÁBADO","DOMINGO"))</f>
        <v/>
      </c>
      <c r="M1262" s="23"/>
      <c r="Q1262" s="21" t="str">
        <f aca="false">IF(OR(K1262="",N1262=""),"",K1262-N1262)</f>
        <v/>
      </c>
      <c r="R1262" s="21" t="str">
        <f aca="false">IF(OR(J1262="",K1262=""),"",J1262*K1262)</f>
        <v/>
      </c>
      <c r="S1262" s="21" t="str">
        <f aca="false">IF(AND(ISNUMBER(J1262),ISNUMBER(K1262),F1262&lt;&gt;"Calentamiento",F1262&lt;&gt;"Bilbo"),IF(AND(K1262&gt;0,K1262&lt;=12),ROUND(J1262*(1+(K1262+IF(ISNUMBER(L1262),L1262,0))/30),1),""),"")</f>
        <v/>
      </c>
      <c r="T1262" s="21" t="str">
        <f aca="false">IF(AND(F1262="Bilbo",ISNUMBER(J1262),ISNUMBER(K1262)),ROUND(J1262*(1+K1262/30),1),"")</f>
        <v/>
      </c>
      <c r="W1262" s="22"/>
      <c r="X1262" s="21" t="str">
        <f aca="false">IF(AND(F1262="Bilbo",E1262&lt;&gt;"",G1262&lt;&gt;"",H1262&lt;&gt;""),E1262&amp;"|"&amp;G1262&amp;"|"&amp;H1262,"")</f>
        <v/>
      </c>
      <c r="Y1262" s="21" t="str">
        <f aca="false">IF(B1262="","",IF(B1262&lt;&gt;B1261,1,0))</f>
        <v/>
      </c>
    </row>
    <row r="1263" customFormat="false" ht="15" hidden="false" customHeight="true" outlineLevel="0" collapsed="false">
      <c r="A1263" s="21" t="str">
        <f aca="false">IF(B1263="","",ROW()-4)</f>
        <v/>
      </c>
      <c r="B1263" s="22"/>
      <c r="C1263" s="21" t="str">
        <f aca="false">IF(B1263="","",CHOOSE(WEEKDAY(B1263,2),"LUNES","MARTES","MIÉRCOLES","JUEVES","VIERNES","SÁBADO","DOMINGO"))</f>
        <v/>
      </c>
      <c r="M1263" s="23"/>
      <c r="Q1263" s="21" t="str">
        <f aca="false">IF(OR(K1263="",N1263=""),"",K1263-N1263)</f>
        <v/>
      </c>
      <c r="R1263" s="21" t="str">
        <f aca="false">IF(OR(J1263="",K1263=""),"",J1263*K1263)</f>
        <v/>
      </c>
      <c r="S1263" s="21" t="str">
        <f aca="false">IF(AND(ISNUMBER(J1263),ISNUMBER(K1263),F1263&lt;&gt;"Calentamiento",F1263&lt;&gt;"Bilbo"),IF(AND(K1263&gt;0,K1263&lt;=12),ROUND(J1263*(1+(K1263+IF(ISNUMBER(L1263),L1263,0))/30),1),""),"")</f>
        <v/>
      </c>
      <c r="T1263" s="21" t="str">
        <f aca="false">IF(AND(F1263="Bilbo",ISNUMBER(J1263),ISNUMBER(K1263)),ROUND(J1263*(1+K1263/30),1),"")</f>
        <v/>
      </c>
      <c r="W1263" s="22"/>
      <c r="X1263" s="21" t="str">
        <f aca="false">IF(AND(F1263="Bilbo",E1263&lt;&gt;"",G1263&lt;&gt;"",H1263&lt;&gt;""),E1263&amp;"|"&amp;G1263&amp;"|"&amp;H1263,"")</f>
        <v/>
      </c>
      <c r="Y1263" s="21" t="str">
        <f aca="false">IF(B1263="","",IF(B1263&lt;&gt;B1262,1,0))</f>
        <v/>
      </c>
    </row>
    <row r="1264" customFormat="false" ht="15" hidden="false" customHeight="true" outlineLevel="0" collapsed="false">
      <c r="A1264" s="21" t="str">
        <f aca="false">IF(B1264="","",ROW()-4)</f>
        <v/>
      </c>
      <c r="B1264" s="22"/>
      <c r="C1264" s="21" t="str">
        <f aca="false">IF(B1264="","",CHOOSE(WEEKDAY(B1264,2),"LUNES","MARTES","MIÉRCOLES","JUEVES","VIERNES","SÁBADO","DOMINGO"))</f>
        <v/>
      </c>
      <c r="M1264" s="23"/>
      <c r="Q1264" s="21" t="str">
        <f aca="false">IF(OR(K1264="",N1264=""),"",K1264-N1264)</f>
        <v/>
      </c>
      <c r="R1264" s="21" t="str">
        <f aca="false">IF(OR(J1264="",K1264=""),"",J1264*K1264)</f>
        <v/>
      </c>
      <c r="S1264" s="21" t="str">
        <f aca="false">IF(AND(ISNUMBER(J1264),ISNUMBER(K1264),F1264&lt;&gt;"Calentamiento",F1264&lt;&gt;"Bilbo"),IF(AND(K1264&gt;0,K1264&lt;=12),ROUND(J1264*(1+(K1264+IF(ISNUMBER(L1264),L1264,0))/30),1),""),"")</f>
        <v/>
      </c>
      <c r="T1264" s="21" t="str">
        <f aca="false">IF(AND(F1264="Bilbo",ISNUMBER(J1264),ISNUMBER(K1264)),ROUND(J1264*(1+K1264/30),1),"")</f>
        <v/>
      </c>
      <c r="W1264" s="22"/>
      <c r="X1264" s="21" t="str">
        <f aca="false">IF(AND(F1264="Bilbo",E1264&lt;&gt;"",G1264&lt;&gt;"",H1264&lt;&gt;""),E1264&amp;"|"&amp;G1264&amp;"|"&amp;H1264,"")</f>
        <v/>
      </c>
      <c r="Y1264" s="21" t="str">
        <f aca="false">IF(B1264="","",IF(B1264&lt;&gt;B1263,1,0))</f>
        <v/>
      </c>
    </row>
    <row r="1265" customFormat="false" ht="15" hidden="false" customHeight="true" outlineLevel="0" collapsed="false">
      <c r="A1265" s="21" t="str">
        <f aca="false">IF(B1265="","",ROW()-4)</f>
        <v/>
      </c>
      <c r="B1265" s="22"/>
      <c r="C1265" s="21" t="str">
        <f aca="false">IF(B1265="","",CHOOSE(WEEKDAY(B1265,2),"LUNES","MARTES","MIÉRCOLES","JUEVES","VIERNES","SÁBADO","DOMINGO"))</f>
        <v/>
      </c>
      <c r="M1265" s="23"/>
      <c r="Q1265" s="21" t="str">
        <f aca="false">IF(OR(K1265="",N1265=""),"",K1265-N1265)</f>
        <v/>
      </c>
      <c r="R1265" s="21" t="str">
        <f aca="false">IF(OR(J1265="",K1265=""),"",J1265*K1265)</f>
        <v/>
      </c>
      <c r="S1265" s="21" t="str">
        <f aca="false">IF(AND(ISNUMBER(J1265),ISNUMBER(K1265),F1265&lt;&gt;"Calentamiento",F1265&lt;&gt;"Bilbo"),IF(AND(K1265&gt;0,K1265&lt;=12),ROUND(J1265*(1+(K1265+IF(ISNUMBER(L1265),L1265,0))/30),1),""),"")</f>
        <v/>
      </c>
      <c r="T1265" s="21" t="str">
        <f aca="false">IF(AND(F1265="Bilbo",ISNUMBER(J1265),ISNUMBER(K1265)),ROUND(J1265*(1+K1265/30),1),"")</f>
        <v/>
      </c>
      <c r="W1265" s="22"/>
      <c r="X1265" s="21" t="str">
        <f aca="false">IF(AND(F1265="Bilbo",E1265&lt;&gt;"",G1265&lt;&gt;"",H1265&lt;&gt;""),E1265&amp;"|"&amp;G1265&amp;"|"&amp;H1265,"")</f>
        <v/>
      </c>
      <c r="Y1265" s="21" t="str">
        <f aca="false">IF(B1265="","",IF(B1265&lt;&gt;B1264,1,0))</f>
        <v/>
      </c>
    </row>
    <row r="1266" customFormat="false" ht="15" hidden="false" customHeight="true" outlineLevel="0" collapsed="false">
      <c r="A1266" s="21" t="str">
        <f aca="false">IF(B1266="","",ROW()-4)</f>
        <v/>
      </c>
      <c r="B1266" s="22"/>
      <c r="C1266" s="21" t="str">
        <f aca="false">IF(B1266="","",CHOOSE(WEEKDAY(B1266,2),"LUNES","MARTES","MIÉRCOLES","JUEVES","VIERNES","SÁBADO","DOMINGO"))</f>
        <v/>
      </c>
      <c r="M1266" s="23"/>
      <c r="Q1266" s="21" t="str">
        <f aca="false">IF(OR(K1266="",N1266=""),"",K1266-N1266)</f>
        <v/>
      </c>
      <c r="R1266" s="21" t="str">
        <f aca="false">IF(OR(J1266="",K1266=""),"",J1266*K1266)</f>
        <v/>
      </c>
      <c r="S1266" s="21" t="str">
        <f aca="false">IF(AND(ISNUMBER(J1266),ISNUMBER(K1266),F1266&lt;&gt;"Calentamiento",F1266&lt;&gt;"Bilbo"),IF(AND(K1266&gt;0,K1266&lt;=12),ROUND(J1266*(1+(K1266+IF(ISNUMBER(L1266),L1266,0))/30),1),""),"")</f>
        <v/>
      </c>
      <c r="T1266" s="21" t="str">
        <f aca="false">IF(AND(F1266="Bilbo",ISNUMBER(J1266),ISNUMBER(K1266)),ROUND(J1266*(1+K1266/30),1),"")</f>
        <v/>
      </c>
      <c r="W1266" s="22"/>
      <c r="X1266" s="21" t="str">
        <f aca="false">IF(AND(F1266="Bilbo",E1266&lt;&gt;"",G1266&lt;&gt;"",H1266&lt;&gt;""),E1266&amp;"|"&amp;G1266&amp;"|"&amp;H1266,"")</f>
        <v/>
      </c>
      <c r="Y1266" s="21" t="str">
        <f aca="false">IF(B1266="","",IF(B1266&lt;&gt;B1265,1,0))</f>
        <v/>
      </c>
    </row>
    <row r="1267" customFormat="false" ht="15" hidden="false" customHeight="true" outlineLevel="0" collapsed="false">
      <c r="A1267" s="21" t="str">
        <f aca="false">IF(B1267="","",ROW()-4)</f>
        <v/>
      </c>
      <c r="B1267" s="22"/>
      <c r="C1267" s="21" t="str">
        <f aca="false">IF(B1267="","",CHOOSE(WEEKDAY(B1267,2),"LUNES","MARTES","MIÉRCOLES","JUEVES","VIERNES","SÁBADO","DOMINGO"))</f>
        <v/>
      </c>
      <c r="M1267" s="23"/>
      <c r="Q1267" s="21" t="str">
        <f aca="false">IF(OR(K1267="",N1267=""),"",K1267-N1267)</f>
        <v/>
      </c>
      <c r="R1267" s="21" t="str">
        <f aca="false">IF(OR(J1267="",K1267=""),"",J1267*K1267)</f>
        <v/>
      </c>
      <c r="S1267" s="21" t="str">
        <f aca="false">IF(AND(ISNUMBER(J1267),ISNUMBER(K1267),F1267&lt;&gt;"Calentamiento",F1267&lt;&gt;"Bilbo"),IF(AND(K1267&gt;0,K1267&lt;=12),ROUND(J1267*(1+(K1267+IF(ISNUMBER(L1267),L1267,0))/30),1),""),"")</f>
        <v/>
      </c>
      <c r="T1267" s="21" t="str">
        <f aca="false">IF(AND(F1267="Bilbo",ISNUMBER(J1267),ISNUMBER(K1267)),ROUND(J1267*(1+K1267/30),1),"")</f>
        <v/>
      </c>
      <c r="W1267" s="22"/>
      <c r="X1267" s="21" t="str">
        <f aca="false">IF(AND(F1267="Bilbo",E1267&lt;&gt;"",G1267&lt;&gt;"",H1267&lt;&gt;""),E1267&amp;"|"&amp;G1267&amp;"|"&amp;H1267,"")</f>
        <v/>
      </c>
      <c r="Y1267" s="21" t="str">
        <f aca="false">IF(B1267="","",IF(B1267&lt;&gt;B1266,1,0))</f>
        <v/>
      </c>
    </row>
    <row r="1268" customFormat="false" ht="15" hidden="false" customHeight="true" outlineLevel="0" collapsed="false">
      <c r="A1268" s="21" t="str">
        <f aca="false">IF(B1268="","",ROW()-4)</f>
        <v/>
      </c>
      <c r="B1268" s="22"/>
      <c r="C1268" s="21" t="str">
        <f aca="false">IF(B1268="","",CHOOSE(WEEKDAY(B1268,2),"LUNES","MARTES","MIÉRCOLES","JUEVES","VIERNES","SÁBADO","DOMINGO"))</f>
        <v/>
      </c>
      <c r="M1268" s="23"/>
      <c r="Q1268" s="21" t="str">
        <f aca="false">IF(OR(K1268="",N1268=""),"",K1268-N1268)</f>
        <v/>
      </c>
      <c r="R1268" s="21" t="str">
        <f aca="false">IF(OR(J1268="",K1268=""),"",J1268*K1268)</f>
        <v/>
      </c>
      <c r="S1268" s="21" t="str">
        <f aca="false">IF(AND(ISNUMBER(J1268),ISNUMBER(K1268),F1268&lt;&gt;"Calentamiento",F1268&lt;&gt;"Bilbo"),IF(AND(K1268&gt;0,K1268&lt;=12),ROUND(J1268*(1+(K1268+IF(ISNUMBER(L1268),L1268,0))/30),1),""),"")</f>
        <v/>
      </c>
      <c r="T1268" s="21" t="str">
        <f aca="false">IF(AND(F1268="Bilbo",ISNUMBER(J1268),ISNUMBER(K1268)),ROUND(J1268*(1+K1268/30),1),"")</f>
        <v/>
      </c>
      <c r="W1268" s="22"/>
      <c r="X1268" s="21" t="str">
        <f aca="false">IF(AND(F1268="Bilbo",E1268&lt;&gt;"",G1268&lt;&gt;"",H1268&lt;&gt;""),E1268&amp;"|"&amp;G1268&amp;"|"&amp;H1268,"")</f>
        <v/>
      </c>
      <c r="Y1268" s="21" t="str">
        <f aca="false">IF(B1268="","",IF(B1268&lt;&gt;B1267,1,0))</f>
        <v/>
      </c>
    </row>
    <row r="1269" customFormat="false" ht="15" hidden="false" customHeight="true" outlineLevel="0" collapsed="false">
      <c r="A1269" s="21" t="str">
        <f aca="false">IF(B1269="","",ROW()-4)</f>
        <v/>
      </c>
      <c r="B1269" s="22"/>
      <c r="C1269" s="21" t="str">
        <f aca="false">IF(B1269="","",CHOOSE(WEEKDAY(B1269,2),"LUNES","MARTES","MIÉRCOLES","JUEVES","VIERNES","SÁBADO","DOMINGO"))</f>
        <v/>
      </c>
      <c r="M1269" s="23"/>
      <c r="Q1269" s="21" t="str">
        <f aca="false">IF(OR(K1269="",N1269=""),"",K1269-N1269)</f>
        <v/>
      </c>
      <c r="R1269" s="21" t="str">
        <f aca="false">IF(OR(J1269="",K1269=""),"",J1269*K1269)</f>
        <v/>
      </c>
      <c r="S1269" s="21" t="str">
        <f aca="false">IF(AND(ISNUMBER(J1269),ISNUMBER(K1269),F1269&lt;&gt;"Calentamiento",F1269&lt;&gt;"Bilbo"),IF(AND(K1269&gt;0,K1269&lt;=12),ROUND(J1269*(1+(K1269+IF(ISNUMBER(L1269),L1269,0))/30),1),""),"")</f>
        <v/>
      </c>
      <c r="T1269" s="21" t="str">
        <f aca="false">IF(AND(F1269="Bilbo",ISNUMBER(J1269),ISNUMBER(K1269)),ROUND(J1269*(1+K1269/30),1),"")</f>
        <v/>
      </c>
      <c r="W1269" s="22"/>
      <c r="X1269" s="21" t="str">
        <f aca="false">IF(AND(F1269="Bilbo",E1269&lt;&gt;"",G1269&lt;&gt;"",H1269&lt;&gt;""),E1269&amp;"|"&amp;G1269&amp;"|"&amp;H1269,"")</f>
        <v/>
      </c>
      <c r="Y1269" s="21" t="str">
        <f aca="false">IF(B1269="","",IF(B1269&lt;&gt;B1268,1,0))</f>
        <v/>
      </c>
    </row>
    <row r="1270" customFormat="false" ht="15" hidden="false" customHeight="true" outlineLevel="0" collapsed="false">
      <c r="A1270" s="21" t="str">
        <f aca="false">IF(B1270="","",ROW()-4)</f>
        <v/>
      </c>
      <c r="B1270" s="22"/>
      <c r="C1270" s="21" t="str">
        <f aca="false">IF(B1270="","",CHOOSE(WEEKDAY(B1270,2),"LUNES","MARTES","MIÉRCOLES","JUEVES","VIERNES","SÁBADO","DOMINGO"))</f>
        <v/>
      </c>
      <c r="M1270" s="23"/>
      <c r="Q1270" s="21" t="str">
        <f aca="false">IF(OR(K1270="",N1270=""),"",K1270-N1270)</f>
        <v/>
      </c>
      <c r="R1270" s="21" t="str">
        <f aca="false">IF(OR(J1270="",K1270=""),"",J1270*K1270)</f>
        <v/>
      </c>
      <c r="S1270" s="21" t="str">
        <f aca="false">IF(AND(ISNUMBER(J1270),ISNUMBER(K1270),F1270&lt;&gt;"Calentamiento",F1270&lt;&gt;"Bilbo"),IF(AND(K1270&gt;0,K1270&lt;=12),ROUND(J1270*(1+(K1270+IF(ISNUMBER(L1270),L1270,0))/30),1),""),"")</f>
        <v/>
      </c>
      <c r="T1270" s="21" t="str">
        <f aca="false">IF(AND(F1270="Bilbo",ISNUMBER(J1270),ISNUMBER(K1270)),ROUND(J1270*(1+K1270/30),1),"")</f>
        <v/>
      </c>
      <c r="W1270" s="22"/>
      <c r="X1270" s="21" t="str">
        <f aca="false">IF(AND(F1270="Bilbo",E1270&lt;&gt;"",G1270&lt;&gt;"",H1270&lt;&gt;""),E1270&amp;"|"&amp;G1270&amp;"|"&amp;H1270,"")</f>
        <v/>
      </c>
      <c r="Y1270" s="21" t="str">
        <f aca="false">IF(B1270="","",IF(B1270&lt;&gt;B1269,1,0))</f>
        <v/>
      </c>
    </row>
    <row r="1271" customFormat="false" ht="15" hidden="false" customHeight="true" outlineLevel="0" collapsed="false">
      <c r="A1271" s="21" t="str">
        <f aca="false">IF(B1271="","",ROW()-4)</f>
        <v/>
      </c>
      <c r="B1271" s="22"/>
      <c r="C1271" s="21" t="str">
        <f aca="false">IF(B1271="","",CHOOSE(WEEKDAY(B1271,2),"LUNES","MARTES","MIÉRCOLES","JUEVES","VIERNES","SÁBADO","DOMINGO"))</f>
        <v/>
      </c>
      <c r="M1271" s="23"/>
      <c r="Q1271" s="21" t="str">
        <f aca="false">IF(OR(K1271="",N1271=""),"",K1271-N1271)</f>
        <v/>
      </c>
      <c r="R1271" s="21" t="str">
        <f aca="false">IF(OR(J1271="",K1271=""),"",J1271*K1271)</f>
        <v/>
      </c>
      <c r="S1271" s="21" t="str">
        <f aca="false">IF(AND(ISNUMBER(J1271),ISNUMBER(K1271),F1271&lt;&gt;"Calentamiento",F1271&lt;&gt;"Bilbo"),IF(AND(K1271&gt;0,K1271&lt;=12),ROUND(J1271*(1+(K1271+IF(ISNUMBER(L1271),L1271,0))/30),1),""),"")</f>
        <v/>
      </c>
      <c r="T1271" s="21" t="str">
        <f aca="false">IF(AND(F1271="Bilbo",ISNUMBER(J1271),ISNUMBER(K1271)),ROUND(J1271*(1+K1271/30),1),"")</f>
        <v/>
      </c>
      <c r="W1271" s="22"/>
      <c r="X1271" s="21" t="str">
        <f aca="false">IF(AND(F1271="Bilbo",E1271&lt;&gt;"",G1271&lt;&gt;"",H1271&lt;&gt;""),E1271&amp;"|"&amp;G1271&amp;"|"&amp;H1271,"")</f>
        <v/>
      </c>
      <c r="Y1271" s="21" t="str">
        <f aca="false">IF(B1271="","",IF(B1271&lt;&gt;B1270,1,0))</f>
        <v/>
      </c>
    </row>
    <row r="1272" customFormat="false" ht="15" hidden="false" customHeight="true" outlineLevel="0" collapsed="false">
      <c r="A1272" s="21" t="str">
        <f aca="false">IF(B1272="","",ROW()-4)</f>
        <v/>
      </c>
      <c r="B1272" s="22"/>
      <c r="C1272" s="21" t="str">
        <f aca="false">IF(B1272="","",CHOOSE(WEEKDAY(B1272,2),"LUNES","MARTES","MIÉRCOLES","JUEVES","VIERNES","SÁBADO","DOMINGO"))</f>
        <v/>
      </c>
      <c r="M1272" s="23"/>
      <c r="Q1272" s="21" t="str">
        <f aca="false">IF(OR(K1272="",N1272=""),"",K1272-N1272)</f>
        <v/>
      </c>
      <c r="R1272" s="21" t="str">
        <f aca="false">IF(OR(J1272="",K1272=""),"",J1272*K1272)</f>
        <v/>
      </c>
      <c r="S1272" s="21" t="str">
        <f aca="false">IF(AND(ISNUMBER(J1272),ISNUMBER(K1272),F1272&lt;&gt;"Calentamiento",F1272&lt;&gt;"Bilbo"),IF(AND(K1272&gt;0,K1272&lt;=12),ROUND(J1272*(1+(K1272+IF(ISNUMBER(L1272),L1272,0))/30),1),""),"")</f>
        <v/>
      </c>
      <c r="T1272" s="21" t="str">
        <f aca="false">IF(AND(F1272="Bilbo",ISNUMBER(J1272),ISNUMBER(K1272)),ROUND(J1272*(1+K1272/30),1),"")</f>
        <v/>
      </c>
      <c r="W1272" s="22"/>
      <c r="X1272" s="21" t="str">
        <f aca="false">IF(AND(F1272="Bilbo",E1272&lt;&gt;"",G1272&lt;&gt;"",H1272&lt;&gt;""),E1272&amp;"|"&amp;G1272&amp;"|"&amp;H1272,"")</f>
        <v/>
      </c>
      <c r="Y1272" s="21" t="str">
        <f aca="false">IF(B1272="","",IF(B1272&lt;&gt;B1271,1,0))</f>
        <v/>
      </c>
    </row>
    <row r="1273" customFormat="false" ht="15" hidden="false" customHeight="true" outlineLevel="0" collapsed="false">
      <c r="A1273" s="21" t="str">
        <f aca="false">IF(B1273="","",ROW()-4)</f>
        <v/>
      </c>
      <c r="B1273" s="22"/>
      <c r="C1273" s="21" t="str">
        <f aca="false">IF(B1273="","",CHOOSE(WEEKDAY(B1273,2),"LUNES","MARTES","MIÉRCOLES","JUEVES","VIERNES","SÁBADO","DOMINGO"))</f>
        <v/>
      </c>
      <c r="M1273" s="23"/>
      <c r="Q1273" s="21" t="str">
        <f aca="false">IF(OR(K1273="",N1273=""),"",K1273-N1273)</f>
        <v/>
      </c>
      <c r="R1273" s="21" t="str">
        <f aca="false">IF(OR(J1273="",K1273=""),"",J1273*K1273)</f>
        <v/>
      </c>
      <c r="S1273" s="21" t="str">
        <f aca="false">IF(AND(ISNUMBER(J1273),ISNUMBER(K1273),F1273&lt;&gt;"Calentamiento",F1273&lt;&gt;"Bilbo"),IF(AND(K1273&gt;0,K1273&lt;=12),ROUND(J1273*(1+(K1273+IF(ISNUMBER(L1273),L1273,0))/30),1),""),"")</f>
        <v/>
      </c>
      <c r="T1273" s="21" t="str">
        <f aca="false">IF(AND(F1273="Bilbo",ISNUMBER(J1273),ISNUMBER(K1273)),ROUND(J1273*(1+K1273/30),1),"")</f>
        <v/>
      </c>
      <c r="W1273" s="22"/>
      <c r="X1273" s="21" t="str">
        <f aca="false">IF(AND(F1273="Bilbo",E1273&lt;&gt;"",G1273&lt;&gt;"",H1273&lt;&gt;""),E1273&amp;"|"&amp;G1273&amp;"|"&amp;H1273,"")</f>
        <v/>
      </c>
      <c r="Y1273" s="21" t="str">
        <f aca="false">IF(B1273="","",IF(B1273&lt;&gt;B1272,1,0))</f>
        <v/>
      </c>
    </row>
    <row r="1274" customFormat="false" ht="15" hidden="false" customHeight="true" outlineLevel="0" collapsed="false">
      <c r="A1274" s="21" t="str">
        <f aca="false">IF(B1274="","",ROW()-4)</f>
        <v/>
      </c>
      <c r="B1274" s="22"/>
      <c r="C1274" s="21" t="str">
        <f aca="false">IF(B1274="","",CHOOSE(WEEKDAY(B1274,2),"LUNES","MARTES","MIÉRCOLES","JUEVES","VIERNES","SÁBADO","DOMINGO"))</f>
        <v/>
      </c>
      <c r="M1274" s="23"/>
      <c r="Q1274" s="21" t="str">
        <f aca="false">IF(OR(K1274="",N1274=""),"",K1274-N1274)</f>
        <v/>
      </c>
      <c r="R1274" s="21" t="str">
        <f aca="false">IF(OR(J1274="",K1274=""),"",J1274*K1274)</f>
        <v/>
      </c>
      <c r="S1274" s="21" t="str">
        <f aca="false">IF(AND(ISNUMBER(J1274),ISNUMBER(K1274),F1274&lt;&gt;"Calentamiento",F1274&lt;&gt;"Bilbo"),IF(AND(K1274&gt;0,K1274&lt;=12),ROUND(J1274*(1+(K1274+IF(ISNUMBER(L1274),L1274,0))/30),1),""),"")</f>
        <v/>
      </c>
      <c r="T1274" s="21" t="str">
        <f aca="false">IF(AND(F1274="Bilbo",ISNUMBER(J1274),ISNUMBER(K1274)),ROUND(J1274*(1+K1274/30),1),"")</f>
        <v/>
      </c>
      <c r="W1274" s="22"/>
      <c r="X1274" s="21" t="str">
        <f aca="false">IF(AND(F1274="Bilbo",E1274&lt;&gt;"",G1274&lt;&gt;"",H1274&lt;&gt;""),E1274&amp;"|"&amp;G1274&amp;"|"&amp;H1274,"")</f>
        <v/>
      </c>
      <c r="Y1274" s="21" t="str">
        <f aca="false">IF(B1274="","",IF(B1274&lt;&gt;B1273,1,0))</f>
        <v/>
      </c>
    </row>
    <row r="1275" customFormat="false" ht="15" hidden="false" customHeight="true" outlineLevel="0" collapsed="false">
      <c r="A1275" s="21" t="str">
        <f aca="false">IF(B1275="","",ROW()-4)</f>
        <v/>
      </c>
      <c r="B1275" s="22"/>
      <c r="C1275" s="21" t="str">
        <f aca="false">IF(B1275="","",CHOOSE(WEEKDAY(B1275,2),"LUNES","MARTES","MIÉRCOLES","JUEVES","VIERNES","SÁBADO","DOMINGO"))</f>
        <v/>
      </c>
      <c r="M1275" s="23"/>
      <c r="Q1275" s="21" t="str">
        <f aca="false">IF(OR(K1275="",N1275=""),"",K1275-N1275)</f>
        <v/>
      </c>
      <c r="R1275" s="21" t="str">
        <f aca="false">IF(OR(J1275="",K1275=""),"",J1275*K1275)</f>
        <v/>
      </c>
      <c r="S1275" s="21" t="str">
        <f aca="false">IF(AND(ISNUMBER(J1275),ISNUMBER(K1275),F1275&lt;&gt;"Calentamiento",F1275&lt;&gt;"Bilbo"),IF(AND(K1275&gt;0,K1275&lt;=12),ROUND(J1275*(1+(K1275+IF(ISNUMBER(L1275),L1275,0))/30),1),""),"")</f>
        <v/>
      </c>
      <c r="T1275" s="21" t="str">
        <f aca="false">IF(AND(F1275="Bilbo",ISNUMBER(J1275),ISNUMBER(K1275)),ROUND(J1275*(1+K1275/30),1),"")</f>
        <v/>
      </c>
      <c r="W1275" s="22"/>
      <c r="X1275" s="21" t="str">
        <f aca="false">IF(AND(F1275="Bilbo",E1275&lt;&gt;"",G1275&lt;&gt;"",H1275&lt;&gt;""),E1275&amp;"|"&amp;G1275&amp;"|"&amp;H1275,"")</f>
        <v/>
      </c>
      <c r="Y1275" s="21" t="str">
        <f aca="false">IF(B1275="","",IF(B1275&lt;&gt;B1274,1,0))</f>
        <v/>
      </c>
    </row>
    <row r="1276" customFormat="false" ht="15" hidden="false" customHeight="true" outlineLevel="0" collapsed="false">
      <c r="A1276" s="21" t="str">
        <f aca="false">IF(B1276="","",ROW()-4)</f>
        <v/>
      </c>
      <c r="B1276" s="22"/>
      <c r="C1276" s="21" t="str">
        <f aca="false">IF(B1276="","",CHOOSE(WEEKDAY(B1276,2),"LUNES","MARTES","MIÉRCOLES","JUEVES","VIERNES","SÁBADO","DOMINGO"))</f>
        <v/>
      </c>
      <c r="M1276" s="23"/>
      <c r="Q1276" s="21" t="str">
        <f aca="false">IF(OR(K1276="",N1276=""),"",K1276-N1276)</f>
        <v/>
      </c>
      <c r="R1276" s="21" t="str">
        <f aca="false">IF(OR(J1276="",K1276=""),"",J1276*K1276)</f>
        <v/>
      </c>
      <c r="S1276" s="21" t="str">
        <f aca="false">IF(AND(ISNUMBER(J1276),ISNUMBER(K1276),F1276&lt;&gt;"Calentamiento",F1276&lt;&gt;"Bilbo"),IF(AND(K1276&gt;0,K1276&lt;=12),ROUND(J1276*(1+(K1276+IF(ISNUMBER(L1276),L1276,0))/30),1),""),"")</f>
        <v/>
      </c>
      <c r="T1276" s="21" t="str">
        <f aca="false">IF(AND(F1276="Bilbo",ISNUMBER(J1276),ISNUMBER(K1276)),ROUND(J1276*(1+K1276/30),1),"")</f>
        <v/>
      </c>
      <c r="W1276" s="22"/>
      <c r="X1276" s="21" t="str">
        <f aca="false">IF(AND(F1276="Bilbo",E1276&lt;&gt;"",G1276&lt;&gt;"",H1276&lt;&gt;""),E1276&amp;"|"&amp;G1276&amp;"|"&amp;H1276,"")</f>
        <v/>
      </c>
      <c r="Y1276" s="21" t="str">
        <f aca="false">IF(B1276="","",IF(B1276&lt;&gt;B1275,1,0))</f>
        <v/>
      </c>
    </row>
    <row r="1277" customFormat="false" ht="15" hidden="false" customHeight="true" outlineLevel="0" collapsed="false">
      <c r="A1277" s="21" t="str">
        <f aca="false">IF(B1277="","",ROW()-4)</f>
        <v/>
      </c>
      <c r="B1277" s="22"/>
      <c r="C1277" s="21" t="str">
        <f aca="false">IF(B1277="","",CHOOSE(WEEKDAY(B1277,2),"LUNES","MARTES","MIÉRCOLES","JUEVES","VIERNES","SÁBADO","DOMINGO"))</f>
        <v/>
      </c>
      <c r="M1277" s="23"/>
      <c r="Q1277" s="21" t="str">
        <f aca="false">IF(OR(K1277="",N1277=""),"",K1277-N1277)</f>
        <v/>
      </c>
      <c r="R1277" s="21" t="str">
        <f aca="false">IF(OR(J1277="",K1277=""),"",J1277*K1277)</f>
        <v/>
      </c>
      <c r="S1277" s="21" t="str">
        <f aca="false">IF(AND(ISNUMBER(J1277),ISNUMBER(K1277),F1277&lt;&gt;"Calentamiento",F1277&lt;&gt;"Bilbo"),IF(AND(K1277&gt;0,K1277&lt;=12),ROUND(J1277*(1+(K1277+IF(ISNUMBER(L1277),L1277,0))/30),1),""),"")</f>
        <v/>
      </c>
      <c r="T1277" s="21" t="str">
        <f aca="false">IF(AND(F1277="Bilbo",ISNUMBER(J1277),ISNUMBER(K1277)),ROUND(J1277*(1+K1277/30),1),"")</f>
        <v/>
      </c>
      <c r="W1277" s="22"/>
      <c r="X1277" s="21" t="str">
        <f aca="false">IF(AND(F1277="Bilbo",E1277&lt;&gt;"",G1277&lt;&gt;"",H1277&lt;&gt;""),E1277&amp;"|"&amp;G1277&amp;"|"&amp;H1277,"")</f>
        <v/>
      </c>
      <c r="Y1277" s="21" t="str">
        <f aca="false">IF(B1277="","",IF(B1277&lt;&gt;B1276,1,0))</f>
        <v/>
      </c>
    </row>
    <row r="1278" customFormat="false" ht="15" hidden="false" customHeight="true" outlineLevel="0" collapsed="false">
      <c r="A1278" s="21" t="str">
        <f aca="false">IF(B1278="","",ROW()-4)</f>
        <v/>
      </c>
      <c r="B1278" s="22"/>
      <c r="C1278" s="21" t="str">
        <f aca="false">IF(B1278="","",CHOOSE(WEEKDAY(B1278,2),"LUNES","MARTES","MIÉRCOLES","JUEVES","VIERNES","SÁBADO","DOMINGO"))</f>
        <v/>
      </c>
      <c r="M1278" s="23"/>
      <c r="Q1278" s="21" t="str">
        <f aca="false">IF(OR(K1278="",N1278=""),"",K1278-N1278)</f>
        <v/>
      </c>
      <c r="R1278" s="21" t="str">
        <f aca="false">IF(OR(J1278="",K1278=""),"",J1278*K1278)</f>
        <v/>
      </c>
      <c r="S1278" s="21" t="str">
        <f aca="false">IF(AND(ISNUMBER(J1278),ISNUMBER(K1278),F1278&lt;&gt;"Calentamiento",F1278&lt;&gt;"Bilbo"),IF(AND(K1278&gt;0,K1278&lt;=12),ROUND(J1278*(1+(K1278+IF(ISNUMBER(L1278),L1278,0))/30),1),""),"")</f>
        <v/>
      </c>
      <c r="T1278" s="21" t="str">
        <f aca="false">IF(AND(F1278="Bilbo",ISNUMBER(J1278),ISNUMBER(K1278)),ROUND(J1278*(1+K1278/30),1),"")</f>
        <v/>
      </c>
      <c r="W1278" s="22"/>
      <c r="X1278" s="21" t="str">
        <f aca="false">IF(AND(F1278="Bilbo",E1278&lt;&gt;"",G1278&lt;&gt;"",H1278&lt;&gt;""),E1278&amp;"|"&amp;G1278&amp;"|"&amp;H1278,"")</f>
        <v/>
      </c>
      <c r="Y1278" s="21" t="str">
        <f aca="false">IF(B1278="","",IF(B1278&lt;&gt;B1277,1,0))</f>
        <v/>
      </c>
    </row>
    <row r="1279" customFormat="false" ht="15" hidden="false" customHeight="true" outlineLevel="0" collapsed="false">
      <c r="A1279" s="21" t="str">
        <f aca="false">IF(B1279="","",ROW()-4)</f>
        <v/>
      </c>
      <c r="B1279" s="22"/>
      <c r="C1279" s="21" t="str">
        <f aca="false">IF(B1279="","",CHOOSE(WEEKDAY(B1279,2),"LUNES","MARTES","MIÉRCOLES","JUEVES","VIERNES","SÁBADO","DOMINGO"))</f>
        <v/>
      </c>
      <c r="M1279" s="23"/>
      <c r="Q1279" s="21" t="str">
        <f aca="false">IF(OR(K1279="",N1279=""),"",K1279-N1279)</f>
        <v/>
      </c>
      <c r="R1279" s="21" t="str">
        <f aca="false">IF(OR(J1279="",K1279=""),"",J1279*K1279)</f>
        <v/>
      </c>
      <c r="S1279" s="21" t="str">
        <f aca="false">IF(AND(ISNUMBER(J1279),ISNUMBER(K1279),F1279&lt;&gt;"Calentamiento",F1279&lt;&gt;"Bilbo"),IF(AND(K1279&gt;0,K1279&lt;=12),ROUND(J1279*(1+(K1279+IF(ISNUMBER(L1279),L1279,0))/30),1),""),"")</f>
        <v/>
      </c>
      <c r="T1279" s="21" t="str">
        <f aca="false">IF(AND(F1279="Bilbo",ISNUMBER(J1279),ISNUMBER(K1279)),ROUND(J1279*(1+K1279/30),1),"")</f>
        <v/>
      </c>
      <c r="W1279" s="22"/>
      <c r="X1279" s="21" t="str">
        <f aca="false">IF(AND(F1279="Bilbo",E1279&lt;&gt;"",G1279&lt;&gt;"",H1279&lt;&gt;""),E1279&amp;"|"&amp;G1279&amp;"|"&amp;H1279,"")</f>
        <v/>
      </c>
      <c r="Y1279" s="21" t="str">
        <f aca="false">IF(B1279="","",IF(B1279&lt;&gt;B1278,1,0))</f>
        <v/>
      </c>
    </row>
    <row r="1280" customFormat="false" ht="15" hidden="false" customHeight="true" outlineLevel="0" collapsed="false">
      <c r="A1280" s="21" t="str">
        <f aca="false">IF(B1280="","",ROW()-4)</f>
        <v/>
      </c>
      <c r="B1280" s="22"/>
      <c r="C1280" s="21" t="str">
        <f aca="false">IF(B1280="","",CHOOSE(WEEKDAY(B1280,2),"LUNES","MARTES","MIÉRCOLES","JUEVES","VIERNES","SÁBADO","DOMINGO"))</f>
        <v/>
      </c>
      <c r="M1280" s="23"/>
      <c r="Q1280" s="21" t="str">
        <f aca="false">IF(OR(K1280="",N1280=""),"",K1280-N1280)</f>
        <v/>
      </c>
      <c r="R1280" s="21" t="str">
        <f aca="false">IF(OR(J1280="",K1280=""),"",J1280*K1280)</f>
        <v/>
      </c>
      <c r="S1280" s="21" t="str">
        <f aca="false">IF(AND(ISNUMBER(J1280),ISNUMBER(K1280),F1280&lt;&gt;"Calentamiento",F1280&lt;&gt;"Bilbo"),IF(AND(K1280&gt;0,K1280&lt;=12),ROUND(J1280*(1+(K1280+IF(ISNUMBER(L1280),L1280,0))/30),1),""),"")</f>
        <v/>
      </c>
      <c r="T1280" s="21" t="str">
        <f aca="false">IF(AND(F1280="Bilbo",ISNUMBER(J1280),ISNUMBER(K1280)),ROUND(J1280*(1+K1280/30),1),"")</f>
        <v/>
      </c>
      <c r="W1280" s="22"/>
      <c r="X1280" s="21" t="str">
        <f aca="false">IF(AND(F1280="Bilbo",E1280&lt;&gt;"",G1280&lt;&gt;"",H1280&lt;&gt;""),E1280&amp;"|"&amp;G1280&amp;"|"&amp;H1280,"")</f>
        <v/>
      </c>
      <c r="Y1280" s="21" t="str">
        <f aca="false">IF(B1280="","",IF(B1280&lt;&gt;B1279,1,0))</f>
        <v/>
      </c>
    </row>
    <row r="1281" customFormat="false" ht="15" hidden="false" customHeight="true" outlineLevel="0" collapsed="false">
      <c r="A1281" s="21" t="str">
        <f aca="false">IF(B1281="","",ROW()-4)</f>
        <v/>
      </c>
      <c r="B1281" s="22"/>
      <c r="C1281" s="21" t="str">
        <f aca="false">IF(B1281="","",CHOOSE(WEEKDAY(B1281,2),"LUNES","MARTES","MIÉRCOLES","JUEVES","VIERNES","SÁBADO","DOMINGO"))</f>
        <v/>
      </c>
      <c r="M1281" s="23"/>
      <c r="Q1281" s="21" t="str">
        <f aca="false">IF(OR(K1281="",N1281=""),"",K1281-N1281)</f>
        <v/>
      </c>
      <c r="R1281" s="21" t="str">
        <f aca="false">IF(OR(J1281="",K1281=""),"",J1281*K1281)</f>
        <v/>
      </c>
      <c r="S1281" s="21" t="str">
        <f aca="false">IF(AND(ISNUMBER(J1281),ISNUMBER(K1281),F1281&lt;&gt;"Calentamiento",F1281&lt;&gt;"Bilbo"),IF(AND(K1281&gt;0,K1281&lt;=12),ROUND(J1281*(1+(K1281+IF(ISNUMBER(L1281),L1281,0))/30),1),""),"")</f>
        <v/>
      </c>
      <c r="T1281" s="21" t="str">
        <f aca="false">IF(AND(F1281="Bilbo",ISNUMBER(J1281),ISNUMBER(K1281)),ROUND(J1281*(1+K1281/30),1),"")</f>
        <v/>
      </c>
      <c r="W1281" s="22"/>
      <c r="X1281" s="21" t="str">
        <f aca="false">IF(AND(F1281="Bilbo",E1281&lt;&gt;"",G1281&lt;&gt;"",H1281&lt;&gt;""),E1281&amp;"|"&amp;G1281&amp;"|"&amp;H1281,"")</f>
        <v/>
      </c>
      <c r="Y1281" s="21" t="str">
        <f aca="false">IF(B1281="","",IF(B1281&lt;&gt;B1280,1,0))</f>
        <v/>
      </c>
    </row>
    <row r="1282" customFormat="false" ht="15" hidden="false" customHeight="true" outlineLevel="0" collapsed="false">
      <c r="A1282" s="21" t="str">
        <f aca="false">IF(B1282="","",ROW()-4)</f>
        <v/>
      </c>
      <c r="B1282" s="22"/>
      <c r="C1282" s="21" t="str">
        <f aca="false">IF(B1282="","",CHOOSE(WEEKDAY(B1282,2),"LUNES","MARTES","MIÉRCOLES","JUEVES","VIERNES","SÁBADO","DOMINGO"))</f>
        <v/>
      </c>
      <c r="M1282" s="23"/>
      <c r="Q1282" s="21" t="str">
        <f aca="false">IF(OR(K1282="",N1282=""),"",K1282-N1282)</f>
        <v/>
      </c>
      <c r="R1282" s="21" t="str">
        <f aca="false">IF(OR(J1282="",K1282=""),"",J1282*K1282)</f>
        <v/>
      </c>
      <c r="S1282" s="21" t="str">
        <f aca="false">IF(AND(ISNUMBER(J1282),ISNUMBER(K1282),F1282&lt;&gt;"Calentamiento",F1282&lt;&gt;"Bilbo"),IF(AND(K1282&gt;0,K1282&lt;=12),ROUND(J1282*(1+(K1282+IF(ISNUMBER(L1282),L1282,0))/30),1),""),"")</f>
        <v/>
      </c>
      <c r="T1282" s="21" t="str">
        <f aca="false">IF(AND(F1282="Bilbo",ISNUMBER(J1282),ISNUMBER(K1282)),ROUND(J1282*(1+K1282/30),1),"")</f>
        <v/>
      </c>
      <c r="W1282" s="22"/>
      <c r="X1282" s="21" t="str">
        <f aca="false">IF(AND(F1282="Bilbo",E1282&lt;&gt;"",G1282&lt;&gt;"",H1282&lt;&gt;""),E1282&amp;"|"&amp;G1282&amp;"|"&amp;H1282,"")</f>
        <v/>
      </c>
      <c r="Y1282" s="21" t="str">
        <f aca="false">IF(B1282="","",IF(B1282&lt;&gt;B1281,1,0))</f>
        <v/>
      </c>
    </row>
    <row r="1283" customFormat="false" ht="15" hidden="false" customHeight="true" outlineLevel="0" collapsed="false">
      <c r="A1283" s="21" t="str">
        <f aca="false">IF(B1283="","",ROW()-4)</f>
        <v/>
      </c>
      <c r="B1283" s="22"/>
      <c r="C1283" s="21" t="str">
        <f aca="false">IF(B1283="","",CHOOSE(WEEKDAY(B1283,2),"LUNES","MARTES","MIÉRCOLES","JUEVES","VIERNES","SÁBADO","DOMINGO"))</f>
        <v/>
      </c>
      <c r="M1283" s="23"/>
      <c r="Q1283" s="21" t="str">
        <f aca="false">IF(OR(K1283="",N1283=""),"",K1283-N1283)</f>
        <v/>
      </c>
      <c r="R1283" s="21" t="str">
        <f aca="false">IF(OR(J1283="",K1283=""),"",J1283*K1283)</f>
        <v/>
      </c>
      <c r="S1283" s="21" t="str">
        <f aca="false">IF(AND(ISNUMBER(J1283),ISNUMBER(K1283),F1283&lt;&gt;"Calentamiento",F1283&lt;&gt;"Bilbo"),IF(AND(K1283&gt;0,K1283&lt;=12),ROUND(J1283*(1+(K1283+IF(ISNUMBER(L1283),L1283,0))/30),1),""),"")</f>
        <v/>
      </c>
      <c r="T1283" s="21" t="str">
        <f aca="false">IF(AND(F1283="Bilbo",ISNUMBER(J1283),ISNUMBER(K1283)),ROUND(J1283*(1+K1283/30),1),"")</f>
        <v/>
      </c>
      <c r="W1283" s="22"/>
      <c r="X1283" s="21" t="str">
        <f aca="false">IF(AND(F1283="Bilbo",E1283&lt;&gt;"",G1283&lt;&gt;"",H1283&lt;&gt;""),E1283&amp;"|"&amp;G1283&amp;"|"&amp;H1283,"")</f>
        <v/>
      </c>
      <c r="Y1283" s="21" t="str">
        <f aca="false">IF(B1283="","",IF(B1283&lt;&gt;B1282,1,0))</f>
        <v/>
      </c>
    </row>
    <row r="1284" customFormat="false" ht="15" hidden="false" customHeight="true" outlineLevel="0" collapsed="false">
      <c r="A1284" s="21" t="str">
        <f aca="false">IF(B1284="","",ROW()-4)</f>
        <v/>
      </c>
      <c r="B1284" s="22"/>
      <c r="C1284" s="21" t="str">
        <f aca="false">IF(B1284="","",CHOOSE(WEEKDAY(B1284,2),"LUNES","MARTES","MIÉRCOLES","JUEVES","VIERNES","SÁBADO","DOMINGO"))</f>
        <v/>
      </c>
      <c r="M1284" s="23"/>
      <c r="Q1284" s="21" t="str">
        <f aca="false">IF(OR(K1284="",N1284=""),"",K1284-N1284)</f>
        <v/>
      </c>
      <c r="R1284" s="21" t="str">
        <f aca="false">IF(OR(J1284="",K1284=""),"",J1284*K1284)</f>
        <v/>
      </c>
      <c r="S1284" s="21" t="str">
        <f aca="false">IF(AND(ISNUMBER(J1284),ISNUMBER(K1284),F1284&lt;&gt;"Calentamiento",F1284&lt;&gt;"Bilbo"),IF(AND(K1284&gt;0,K1284&lt;=12),ROUND(J1284*(1+(K1284+IF(ISNUMBER(L1284),L1284,0))/30),1),""),"")</f>
        <v/>
      </c>
      <c r="T1284" s="21" t="str">
        <f aca="false">IF(AND(F1284="Bilbo",ISNUMBER(J1284),ISNUMBER(K1284)),ROUND(J1284*(1+K1284/30),1),"")</f>
        <v/>
      </c>
      <c r="W1284" s="22"/>
      <c r="X1284" s="21" t="str">
        <f aca="false">IF(AND(F1284="Bilbo",E1284&lt;&gt;"",G1284&lt;&gt;"",H1284&lt;&gt;""),E1284&amp;"|"&amp;G1284&amp;"|"&amp;H1284,"")</f>
        <v/>
      </c>
      <c r="Y1284" s="21" t="str">
        <f aca="false">IF(B1284="","",IF(B1284&lt;&gt;B1283,1,0))</f>
        <v/>
      </c>
    </row>
    <row r="1285" customFormat="false" ht="15" hidden="false" customHeight="true" outlineLevel="0" collapsed="false">
      <c r="A1285" s="21" t="str">
        <f aca="false">IF(B1285="","",ROW()-4)</f>
        <v/>
      </c>
      <c r="B1285" s="22"/>
      <c r="C1285" s="21" t="str">
        <f aca="false">IF(B1285="","",CHOOSE(WEEKDAY(B1285,2),"LUNES","MARTES","MIÉRCOLES","JUEVES","VIERNES","SÁBADO","DOMINGO"))</f>
        <v/>
      </c>
      <c r="M1285" s="23"/>
      <c r="Q1285" s="21" t="str">
        <f aca="false">IF(OR(K1285="",N1285=""),"",K1285-N1285)</f>
        <v/>
      </c>
      <c r="R1285" s="21" t="str">
        <f aca="false">IF(OR(J1285="",K1285=""),"",J1285*K1285)</f>
        <v/>
      </c>
      <c r="S1285" s="21" t="str">
        <f aca="false">IF(AND(ISNUMBER(J1285),ISNUMBER(K1285),F1285&lt;&gt;"Calentamiento",F1285&lt;&gt;"Bilbo"),IF(AND(K1285&gt;0,K1285&lt;=12),ROUND(J1285*(1+(K1285+IF(ISNUMBER(L1285),L1285,0))/30),1),""),"")</f>
        <v/>
      </c>
      <c r="T1285" s="21" t="str">
        <f aca="false">IF(AND(F1285="Bilbo",ISNUMBER(J1285),ISNUMBER(K1285)),ROUND(J1285*(1+K1285/30),1),"")</f>
        <v/>
      </c>
      <c r="W1285" s="22"/>
      <c r="X1285" s="21" t="str">
        <f aca="false">IF(AND(F1285="Bilbo",E1285&lt;&gt;"",G1285&lt;&gt;"",H1285&lt;&gt;""),E1285&amp;"|"&amp;G1285&amp;"|"&amp;H1285,"")</f>
        <v/>
      </c>
      <c r="Y1285" s="21" t="str">
        <f aca="false">IF(B1285="","",IF(B1285&lt;&gt;B1284,1,0))</f>
        <v/>
      </c>
    </row>
    <row r="1286" customFormat="false" ht="15" hidden="false" customHeight="true" outlineLevel="0" collapsed="false">
      <c r="A1286" s="21" t="str">
        <f aca="false">IF(B1286="","",ROW()-4)</f>
        <v/>
      </c>
      <c r="B1286" s="22"/>
      <c r="C1286" s="21" t="str">
        <f aca="false">IF(B1286="","",CHOOSE(WEEKDAY(B1286,2),"LUNES","MARTES","MIÉRCOLES","JUEVES","VIERNES","SÁBADO","DOMINGO"))</f>
        <v/>
      </c>
      <c r="M1286" s="23"/>
      <c r="Q1286" s="21" t="str">
        <f aca="false">IF(OR(K1286="",N1286=""),"",K1286-N1286)</f>
        <v/>
      </c>
      <c r="R1286" s="21" t="str">
        <f aca="false">IF(OR(J1286="",K1286=""),"",J1286*K1286)</f>
        <v/>
      </c>
      <c r="S1286" s="21" t="str">
        <f aca="false">IF(AND(ISNUMBER(J1286),ISNUMBER(K1286),F1286&lt;&gt;"Calentamiento",F1286&lt;&gt;"Bilbo"),IF(AND(K1286&gt;0,K1286&lt;=12),ROUND(J1286*(1+(K1286+IF(ISNUMBER(L1286),L1286,0))/30),1),""),"")</f>
        <v/>
      </c>
      <c r="T1286" s="21" t="str">
        <f aca="false">IF(AND(F1286="Bilbo",ISNUMBER(J1286),ISNUMBER(K1286)),ROUND(J1286*(1+K1286/30),1),"")</f>
        <v/>
      </c>
      <c r="W1286" s="22"/>
      <c r="X1286" s="21" t="str">
        <f aca="false">IF(AND(F1286="Bilbo",E1286&lt;&gt;"",G1286&lt;&gt;"",H1286&lt;&gt;""),E1286&amp;"|"&amp;G1286&amp;"|"&amp;H1286,"")</f>
        <v/>
      </c>
      <c r="Y1286" s="21" t="str">
        <f aca="false">IF(B1286="","",IF(B1286&lt;&gt;B1285,1,0))</f>
        <v/>
      </c>
    </row>
    <row r="1287" customFormat="false" ht="15" hidden="false" customHeight="true" outlineLevel="0" collapsed="false">
      <c r="A1287" s="21" t="str">
        <f aca="false">IF(B1287="","",ROW()-4)</f>
        <v/>
      </c>
      <c r="B1287" s="22"/>
      <c r="C1287" s="21" t="str">
        <f aca="false">IF(B1287="","",CHOOSE(WEEKDAY(B1287,2),"LUNES","MARTES","MIÉRCOLES","JUEVES","VIERNES","SÁBADO","DOMINGO"))</f>
        <v/>
      </c>
      <c r="M1287" s="23"/>
      <c r="Q1287" s="21" t="str">
        <f aca="false">IF(OR(K1287="",N1287=""),"",K1287-N1287)</f>
        <v/>
      </c>
      <c r="R1287" s="21" t="str">
        <f aca="false">IF(OR(J1287="",K1287=""),"",J1287*K1287)</f>
        <v/>
      </c>
      <c r="S1287" s="21" t="str">
        <f aca="false">IF(AND(ISNUMBER(J1287),ISNUMBER(K1287),F1287&lt;&gt;"Calentamiento",F1287&lt;&gt;"Bilbo"),IF(AND(K1287&gt;0,K1287&lt;=12),ROUND(J1287*(1+(K1287+IF(ISNUMBER(L1287),L1287,0))/30),1),""),"")</f>
        <v/>
      </c>
      <c r="T1287" s="21" t="str">
        <f aca="false">IF(AND(F1287="Bilbo",ISNUMBER(J1287),ISNUMBER(K1287)),ROUND(J1287*(1+K1287/30),1),"")</f>
        <v/>
      </c>
      <c r="W1287" s="22"/>
      <c r="X1287" s="21" t="str">
        <f aca="false">IF(AND(F1287="Bilbo",E1287&lt;&gt;"",G1287&lt;&gt;"",H1287&lt;&gt;""),E1287&amp;"|"&amp;G1287&amp;"|"&amp;H1287,"")</f>
        <v/>
      </c>
      <c r="Y1287" s="21" t="str">
        <f aca="false">IF(B1287="","",IF(B1287&lt;&gt;B1286,1,0))</f>
        <v/>
      </c>
    </row>
    <row r="1288" customFormat="false" ht="15" hidden="false" customHeight="true" outlineLevel="0" collapsed="false">
      <c r="A1288" s="21" t="str">
        <f aca="false">IF(B1288="","",ROW()-4)</f>
        <v/>
      </c>
      <c r="B1288" s="22"/>
      <c r="C1288" s="21" t="str">
        <f aca="false">IF(B1288="","",CHOOSE(WEEKDAY(B1288,2),"LUNES","MARTES","MIÉRCOLES","JUEVES","VIERNES","SÁBADO","DOMINGO"))</f>
        <v/>
      </c>
      <c r="M1288" s="23"/>
      <c r="Q1288" s="21" t="str">
        <f aca="false">IF(OR(K1288="",N1288=""),"",K1288-N1288)</f>
        <v/>
      </c>
      <c r="R1288" s="21" t="str">
        <f aca="false">IF(OR(J1288="",K1288=""),"",J1288*K1288)</f>
        <v/>
      </c>
      <c r="S1288" s="21" t="str">
        <f aca="false">IF(AND(ISNUMBER(J1288),ISNUMBER(K1288),F1288&lt;&gt;"Calentamiento",F1288&lt;&gt;"Bilbo"),IF(AND(K1288&gt;0,K1288&lt;=12),ROUND(J1288*(1+(K1288+IF(ISNUMBER(L1288),L1288,0))/30),1),""),"")</f>
        <v/>
      </c>
      <c r="T1288" s="21" t="str">
        <f aca="false">IF(AND(F1288="Bilbo",ISNUMBER(J1288),ISNUMBER(K1288)),ROUND(J1288*(1+K1288/30),1),"")</f>
        <v/>
      </c>
      <c r="W1288" s="22"/>
      <c r="X1288" s="21" t="str">
        <f aca="false">IF(AND(F1288="Bilbo",E1288&lt;&gt;"",G1288&lt;&gt;"",H1288&lt;&gt;""),E1288&amp;"|"&amp;G1288&amp;"|"&amp;H1288,"")</f>
        <v/>
      </c>
      <c r="Y1288" s="21" t="str">
        <f aca="false">IF(B1288="","",IF(B1288&lt;&gt;B1287,1,0))</f>
        <v/>
      </c>
    </row>
    <row r="1289" customFormat="false" ht="15" hidden="false" customHeight="true" outlineLevel="0" collapsed="false">
      <c r="A1289" s="21" t="str">
        <f aca="false">IF(B1289="","",ROW()-4)</f>
        <v/>
      </c>
      <c r="B1289" s="22"/>
      <c r="C1289" s="21" t="str">
        <f aca="false">IF(B1289="","",CHOOSE(WEEKDAY(B1289,2),"LUNES","MARTES","MIÉRCOLES","JUEVES","VIERNES","SÁBADO","DOMINGO"))</f>
        <v/>
      </c>
      <c r="M1289" s="23"/>
      <c r="Q1289" s="21" t="str">
        <f aca="false">IF(OR(K1289="",N1289=""),"",K1289-N1289)</f>
        <v/>
      </c>
      <c r="R1289" s="21" t="str">
        <f aca="false">IF(OR(J1289="",K1289=""),"",J1289*K1289)</f>
        <v/>
      </c>
      <c r="S1289" s="21" t="str">
        <f aca="false">IF(AND(ISNUMBER(J1289),ISNUMBER(K1289),F1289&lt;&gt;"Calentamiento",F1289&lt;&gt;"Bilbo"),IF(AND(K1289&gt;0,K1289&lt;=12),ROUND(J1289*(1+(K1289+IF(ISNUMBER(L1289),L1289,0))/30),1),""),"")</f>
        <v/>
      </c>
      <c r="T1289" s="21" t="str">
        <f aca="false">IF(AND(F1289="Bilbo",ISNUMBER(J1289),ISNUMBER(K1289)),ROUND(J1289*(1+K1289/30),1),"")</f>
        <v/>
      </c>
      <c r="W1289" s="22"/>
      <c r="X1289" s="21" t="str">
        <f aca="false">IF(AND(F1289="Bilbo",E1289&lt;&gt;"",G1289&lt;&gt;"",H1289&lt;&gt;""),E1289&amp;"|"&amp;G1289&amp;"|"&amp;H1289,"")</f>
        <v/>
      </c>
      <c r="Y1289" s="21" t="str">
        <f aca="false">IF(B1289="","",IF(B1289&lt;&gt;B1288,1,0))</f>
        <v/>
      </c>
    </row>
    <row r="1290" customFormat="false" ht="15" hidden="false" customHeight="true" outlineLevel="0" collapsed="false">
      <c r="A1290" s="21" t="str">
        <f aca="false">IF(B1290="","",ROW()-4)</f>
        <v/>
      </c>
      <c r="B1290" s="22"/>
      <c r="C1290" s="21" t="str">
        <f aca="false">IF(B1290="","",CHOOSE(WEEKDAY(B1290,2),"LUNES","MARTES","MIÉRCOLES","JUEVES","VIERNES","SÁBADO","DOMINGO"))</f>
        <v/>
      </c>
      <c r="M1290" s="23"/>
      <c r="Q1290" s="21" t="str">
        <f aca="false">IF(OR(K1290="",N1290=""),"",K1290-N1290)</f>
        <v/>
      </c>
      <c r="R1290" s="21" t="str">
        <f aca="false">IF(OR(J1290="",K1290=""),"",J1290*K1290)</f>
        <v/>
      </c>
      <c r="S1290" s="21" t="str">
        <f aca="false">IF(AND(ISNUMBER(J1290),ISNUMBER(K1290),F1290&lt;&gt;"Calentamiento",F1290&lt;&gt;"Bilbo"),IF(AND(K1290&gt;0,K1290&lt;=12),ROUND(J1290*(1+(K1290+IF(ISNUMBER(L1290),L1290,0))/30),1),""),"")</f>
        <v/>
      </c>
      <c r="T1290" s="21" t="str">
        <f aca="false">IF(AND(F1290="Bilbo",ISNUMBER(J1290),ISNUMBER(K1290)),ROUND(J1290*(1+K1290/30),1),"")</f>
        <v/>
      </c>
      <c r="W1290" s="22"/>
      <c r="X1290" s="21" t="str">
        <f aca="false">IF(AND(F1290="Bilbo",E1290&lt;&gt;"",G1290&lt;&gt;"",H1290&lt;&gt;""),E1290&amp;"|"&amp;G1290&amp;"|"&amp;H1290,"")</f>
        <v/>
      </c>
      <c r="Y1290" s="21" t="str">
        <f aca="false">IF(B1290="","",IF(B1290&lt;&gt;B1289,1,0))</f>
        <v/>
      </c>
    </row>
    <row r="1291" customFormat="false" ht="15" hidden="false" customHeight="true" outlineLevel="0" collapsed="false">
      <c r="A1291" s="21" t="str">
        <f aca="false">IF(B1291="","",ROW()-4)</f>
        <v/>
      </c>
      <c r="B1291" s="22"/>
      <c r="C1291" s="21" t="str">
        <f aca="false">IF(B1291="","",CHOOSE(WEEKDAY(B1291,2),"LUNES","MARTES","MIÉRCOLES","JUEVES","VIERNES","SÁBADO","DOMINGO"))</f>
        <v/>
      </c>
      <c r="M1291" s="23"/>
      <c r="Q1291" s="21" t="str">
        <f aca="false">IF(OR(K1291="",N1291=""),"",K1291-N1291)</f>
        <v/>
      </c>
      <c r="R1291" s="21" t="str">
        <f aca="false">IF(OR(J1291="",K1291=""),"",J1291*K1291)</f>
        <v/>
      </c>
      <c r="S1291" s="21" t="str">
        <f aca="false">IF(AND(ISNUMBER(J1291),ISNUMBER(K1291),F1291&lt;&gt;"Calentamiento",F1291&lt;&gt;"Bilbo"),IF(AND(K1291&gt;0,K1291&lt;=12),ROUND(J1291*(1+(K1291+IF(ISNUMBER(L1291),L1291,0))/30),1),""),"")</f>
        <v/>
      </c>
      <c r="T1291" s="21" t="str">
        <f aca="false">IF(AND(F1291="Bilbo",ISNUMBER(J1291),ISNUMBER(K1291)),ROUND(J1291*(1+K1291/30),1),"")</f>
        <v/>
      </c>
      <c r="W1291" s="22"/>
      <c r="X1291" s="21" t="str">
        <f aca="false">IF(AND(F1291="Bilbo",E1291&lt;&gt;"",G1291&lt;&gt;"",H1291&lt;&gt;""),E1291&amp;"|"&amp;G1291&amp;"|"&amp;H1291,"")</f>
        <v/>
      </c>
      <c r="Y1291" s="21" t="str">
        <f aca="false">IF(B1291="","",IF(B1291&lt;&gt;B1290,1,0))</f>
        <v/>
      </c>
    </row>
    <row r="1292" customFormat="false" ht="15" hidden="false" customHeight="true" outlineLevel="0" collapsed="false">
      <c r="A1292" s="21" t="str">
        <f aca="false">IF(B1292="","",ROW()-4)</f>
        <v/>
      </c>
      <c r="B1292" s="22"/>
      <c r="C1292" s="21" t="str">
        <f aca="false">IF(B1292="","",CHOOSE(WEEKDAY(B1292,2),"LUNES","MARTES","MIÉRCOLES","JUEVES","VIERNES","SÁBADO","DOMINGO"))</f>
        <v/>
      </c>
      <c r="M1292" s="23"/>
      <c r="Q1292" s="21" t="str">
        <f aca="false">IF(OR(K1292="",N1292=""),"",K1292-N1292)</f>
        <v/>
      </c>
      <c r="R1292" s="21" t="str">
        <f aca="false">IF(OR(J1292="",K1292=""),"",J1292*K1292)</f>
        <v/>
      </c>
      <c r="S1292" s="21" t="str">
        <f aca="false">IF(AND(ISNUMBER(J1292),ISNUMBER(K1292),F1292&lt;&gt;"Calentamiento",F1292&lt;&gt;"Bilbo"),IF(AND(K1292&gt;0,K1292&lt;=12),ROUND(J1292*(1+(K1292+IF(ISNUMBER(L1292),L1292,0))/30),1),""),"")</f>
        <v/>
      </c>
      <c r="T1292" s="21" t="str">
        <f aca="false">IF(AND(F1292="Bilbo",ISNUMBER(J1292),ISNUMBER(K1292)),ROUND(J1292*(1+K1292/30),1),"")</f>
        <v/>
      </c>
      <c r="W1292" s="22"/>
      <c r="X1292" s="21" t="str">
        <f aca="false">IF(AND(F1292="Bilbo",E1292&lt;&gt;"",G1292&lt;&gt;"",H1292&lt;&gt;""),E1292&amp;"|"&amp;G1292&amp;"|"&amp;H1292,"")</f>
        <v/>
      </c>
      <c r="Y1292" s="21" t="str">
        <f aca="false">IF(B1292="","",IF(B1292&lt;&gt;B1291,1,0))</f>
        <v/>
      </c>
    </row>
    <row r="1293" customFormat="false" ht="15" hidden="false" customHeight="true" outlineLevel="0" collapsed="false">
      <c r="A1293" s="21" t="str">
        <f aca="false">IF(B1293="","",ROW()-4)</f>
        <v/>
      </c>
      <c r="B1293" s="22"/>
      <c r="C1293" s="21" t="str">
        <f aca="false">IF(B1293="","",CHOOSE(WEEKDAY(B1293,2),"LUNES","MARTES","MIÉRCOLES","JUEVES","VIERNES","SÁBADO","DOMINGO"))</f>
        <v/>
      </c>
      <c r="M1293" s="23"/>
      <c r="Q1293" s="21" t="str">
        <f aca="false">IF(OR(K1293="",N1293=""),"",K1293-N1293)</f>
        <v/>
      </c>
      <c r="R1293" s="21" t="str">
        <f aca="false">IF(OR(J1293="",K1293=""),"",J1293*K1293)</f>
        <v/>
      </c>
      <c r="S1293" s="21" t="str">
        <f aca="false">IF(AND(ISNUMBER(J1293),ISNUMBER(K1293),F1293&lt;&gt;"Calentamiento",F1293&lt;&gt;"Bilbo"),IF(AND(K1293&gt;0,K1293&lt;=12),ROUND(J1293*(1+(K1293+IF(ISNUMBER(L1293),L1293,0))/30),1),""),"")</f>
        <v/>
      </c>
      <c r="T1293" s="21" t="str">
        <f aca="false">IF(AND(F1293="Bilbo",ISNUMBER(J1293),ISNUMBER(K1293)),ROUND(J1293*(1+K1293/30),1),"")</f>
        <v/>
      </c>
      <c r="W1293" s="22"/>
      <c r="X1293" s="21" t="str">
        <f aca="false">IF(AND(F1293="Bilbo",E1293&lt;&gt;"",G1293&lt;&gt;"",H1293&lt;&gt;""),E1293&amp;"|"&amp;G1293&amp;"|"&amp;H1293,"")</f>
        <v/>
      </c>
      <c r="Y1293" s="21" t="str">
        <f aca="false">IF(B1293="","",IF(B1293&lt;&gt;B1292,1,0))</f>
        <v/>
      </c>
    </row>
    <row r="1294" customFormat="false" ht="15" hidden="false" customHeight="true" outlineLevel="0" collapsed="false">
      <c r="A1294" s="21" t="str">
        <f aca="false">IF(B1294="","",ROW()-4)</f>
        <v/>
      </c>
      <c r="B1294" s="22"/>
      <c r="C1294" s="21" t="str">
        <f aca="false">IF(B1294="","",CHOOSE(WEEKDAY(B1294,2),"LUNES","MARTES","MIÉRCOLES","JUEVES","VIERNES","SÁBADO","DOMINGO"))</f>
        <v/>
      </c>
      <c r="M1294" s="23"/>
      <c r="Q1294" s="21" t="str">
        <f aca="false">IF(OR(K1294="",N1294=""),"",K1294-N1294)</f>
        <v/>
      </c>
      <c r="R1294" s="21" t="str">
        <f aca="false">IF(OR(J1294="",K1294=""),"",J1294*K1294)</f>
        <v/>
      </c>
      <c r="S1294" s="21" t="str">
        <f aca="false">IF(AND(ISNUMBER(J1294),ISNUMBER(K1294),F1294&lt;&gt;"Calentamiento",F1294&lt;&gt;"Bilbo"),IF(AND(K1294&gt;0,K1294&lt;=12),ROUND(J1294*(1+(K1294+IF(ISNUMBER(L1294),L1294,0))/30),1),""),"")</f>
        <v/>
      </c>
      <c r="T1294" s="21" t="str">
        <f aca="false">IF(AND(F1294="Bilbo",ISNUMBER(J1294),ISNUMBER(K1294)),ROUND(J1294*(1+K1294/30),1),"")</f>
        <v/>
      </c>
      <c r="W1294" s="22"/>
      <c r="X1294" s="21" t="str">
        <f aca="false">IF(AND(F1294="Bilbo",E1294&lt;&gt;"",G1294&lt;&gt;"",H1294&lt;&gt;""),E1294&amp;"|"&amp;G1294&amp;"|"&amp;H1294,"")</f>
        <v/>
      </c>
      <c r="Y1294" s="21" t="str">
        <f aca="false">IF(B1294="","",IF(B1294&lt;&gt;B1293,1,0))</f>
        <v/>
      </c>
    </row>
    <row r="1295" customFormat="false" ht="15" hidden="false" customHeight="true" outlineLevel="0" collapsed="false">
      <c r="A1295" s="21" t="str">
        <f aca="false">IF(B1295="","",ROW()-4)</f>
        <v/>
      </c>
      <c r="B1295" s="22"/>
      <c r="C1295" s="21" t="str">
        <f aca="false">IF(B1295="","",CHOOSE(WEEKDAY(B1295,2),"LUNES","MARTES","MIÉRCOLES","JUEVES","VIERNES","SÁBADO","DOMINGO"))</f>
        <v/>
      </c>
      <c r="M1295" s="23"/>
      <c r="Q1295" s="21" t="str">
        <f aca="false">IF(OR(K1295="",N1295=""),"",K1295-N1295)</f>
        <v/>
      </c>
      <c r="R1295" s="21" t="str">
        <f aca="false">IF(OR(J1295="",K1295=""),"",J1295*K1295)</f>
        <v/>
      </c>
      <c r="S1295" s="21" t="str">
        <f aca="false">IF(AND(ISNUMBER(J1295),ISNUMBER(K1295),F1295&lt;&gt;"Calentamiento",F1295&lt;&gt;"Bilbo"),IF(AND(K1295&gt;0,K1295&lt;=12),ROUND(J1295*(1+(K1295+IF(ISNUMBER(L1295),L1295,0))/30),1),""),"")</f>
        <v/>
      </c>
      <c r="T1295" s="21" t="str">
        <f aca="false">IF(AND(F1295="Bilbo",ISNUMBER(J1295),ISNUMBER(K1295)),ROUND(J1295*(1+K1295/30),1),"")</f>
        <v/>
      </c>
      <c r="W1295" s="22"/>
      <c r="X1295" s="21" t="str">
        <f aca="false">IF(AND(F1295="Bilbo",E1295&lt;&gt;"",G1295&lt;&gt;"",H1295&lt;&gt;""),E1295&amp;"|"&amp;G1295&amp;"|"&amp;H1295,"")</f>
        <v/>
      </c>
      <c r="Y1295" s="21" t="str">
        <f aca="false">IF(B1295="","",IF(B1295&lt;&gt;B1294,1,0))</f>
        <v/>
      </c>
    </row>
    <row r="1296" customFormat="false" ht="15" hidden="false" customHeight="true" outlineLevel="0" collapsed="false">
      <c r="A1296" s="21" t="str">
        <f aca="false">IF(B1296="","",ROW()-4)</f>
        <v/>
      </c>
      <c r="B1296" s="22"/>
      <c r="C1296" s="21" t="str">
        <f aca="false">IF(B1296="","",CHOOSE(WEEKDAY(B1296,2),"LUNES","MARTES","MIÉRCOLES","JUEVES","VIERNES","SÁBADO","DOMINGO"))</f>
        <v/>
      </c>
      <c r="M1296" s="23"/>
      <c r="Q1296" s="21" t="str">
        <f aca="false">IF(OR(K1296="",N1296=""),"",K1296-N1296)</f>
        <v/>
      </c>
      <c r="R1296" s="21" t="str">
        <f aca="false">IF(OR(J1296="",K1296=""),"",J1296*K1296)</f>
        <v/>
      </c>
      <c r="S1296" s="21" t="str">
        <f aca="false">IF(AND(ISNUMBER(J1296),ISNUMBER(K1296),F1296&lt;&gt;"Calentamiento",F1296&lt;&gt;"Bilbo"),IF(AND(K1296&gt;0,K1296&lt;=12),ROUND(J1296*(1+(K1296+IF(ISNUMBER(L1296),L1296,0))/30),1),""),"")</f>
        <v/>
      </c>
      <c r="T1296" s="21" t="str">
        <f aca="false">IF(AND(F1296="Bilbo",ISNUMBER(J1296),ISNUMBER(K1296)),ROUND(J1296*(1+K1296/30),1),"")</f>
        <v/>
      </c>
      <c r="W1296" s="22"/>
      <c r="X1296" s="21" t="str">
        <f aca="false">IF(AND(F1296="Bilbo",E1296&lt;&gt;"",G1296&lt;&gt;"",H1296&lt;&gt;""),E1296&amp;"|"&amp;G1296&amp;"|"&amp;H1296,"")</f>
        <v/>
      </c>
      <c r="Y1296" s="21" t="str">
        <f aca="false">IF(B1296="","",IF(B1296&lt;&gt;B1295,1,0))</f>
        <v/>
      </c>
    </row>
    <row r="1297" customFormat="false" ht="15" hidden="false" customHeight="true" outlineLevel="0" collapsed="false">
      <c r="A1297" s="21" t="str">
        <f aca="false">IF(B1297="","",ROW()-4)</f>
        <v/>
      </c>
      <c r="B1297" s="22"/>
      <c r="C1297" s="21" t="str">
        <f aca="false">IF(B1297="","",CHOOSE(WEEKDAY(B1297,2),"LUNES","MARTES","MIÉRCOLES","JUEVES","VIERNES","SÁBADO","DOMINGO"))</f>
        <v/>
      </c>
      <c r="M1297" s="23"/>
      <c r="Q1297" s="21" t="str">
        <f aca="false">IF(OR(K1297="",N1297=""),"",K1297-N1297)</f>
        <v/>
      </c>
      <c r="R1297" s="21" t="str">
        <f aca="false">IF(OR(J1297="",K1297=""),"",J1297*K1297)</f>
        <v/>
      </c>
      <c r="S1297" s="21" t="str">
        <f aca="false">IF(AND(ISNUMBER(J1297),ISNUMBER(K1297),F1297&lt;&gt;"Calentamiento",F1297&lt;&gt;"Bilbo"),IF(AND(K1297&gt;0,K1297&lt;=12),ROUND(J1297*(1+(K1297+IF(ISNUMBER(L1297),L1297,0))/30),1),""),"")</f>
        <v/>
      </c>
      <c r="T1297" s="21" t="str">
        <f aca="false">IF(AND(F1297="Bilbo",ISNUMBER(J1297),ISNUMBER(K1297)),ROUND(J1297*(1+K1297/30),1),"")</f>
        <v/>
      </c>
      <c r="W1297" s="22"/>
      <c r="X1297" s="21" t="str">
        <f aca="false">IF(AND(F1297="Bilbo",E1297&lt;&gt;"",G1297&lt;&gt;"",H1297&lt;&gt;""),E1297&amp;"|"&amp;G1297&amp;"|"&amp;H1297,"")</f>
        <v/>
      </c>
      <c r="Y1297" s="21" t="str">
        <f aca="false">IF(B1297="","",IF(B1297&lt;&gt;B1296,1,0))</f>
        <v/>
      </c>
    </row>
    <row r="1298" customFormat="false" ht="15" hidden="false" customHeight="true" outlineLevel="0" collapsed="false">
      <c r="A1298" s="21" t="str">
        <f aca="false">IF(B1298="","",ROW()-4)</f>
        <v/>
      </c>
      <c r="B1298" s="22"/>
      <c r="C1298" s="21" t="str">
        <f aca="false">IF(B1298="","",CHOOSE(WEEKDAY(B1298,2),"LUNES","MARTES","MIÉRCOLES","JUEVES","VIERNES","SÁBADO","DOMINGO"))</f>
        <v/>
      </c>
      <c r="M1298" s="23"/>
      <c r="Q1298" s="21" t="str">
        <f aca="false">IF(OR(K1298="",N1298=""),"",K1298-N1298)</f>
        <v/>
      </c>
      <c r="R1298" s="21" t="str">
        <f aca="false">IF(OR(J1298="",K1298=""),"",J1298*K1298)</f>
        <v/>
      </c>
      <c r="S1298" s="21" t="str">
        <f aca="false">IF(AND(ISNUMBER(J1298),ISNUMBER(K1298),F1298&lt;&gt;"Calentamiento",F1298&lt;&gt;"Bilbo"),IF(AND(K1298&gt;0,K1298&lt;=12),ROUND(J1298*(1+(K1298+IF(ISNUMBER(L1298),L1298,0))/30),1),""),"")</f>
        <v/>
      </c>
      <c r="T1298" s="21" t="str">
        <f aca="false">IF(AND(F1298="Bilbo",ISNUMBER(J1298),ISNUMBER(K1298)),ROUND(J1298*(1+K1298/30),1),"")</f>
        <v/>
      </c>
      <c r="W1298" s="22"/>
      <c r="X1298" s="21" t="str">
        <f aca="false">IF(AND(F1298="Bilbo",E1298&lt;&gt;"",G1298&lt;&gt;"",H1298&lt;&gt;""),E1298&amp;"|"&amp;G1298&amp;"|"&amp;H1298,"")</f>
        <v/>
      </c>
      <c r="Y1298" s="21" t="str">
        <f aca="false">IF(B1298="","",IF(B1298&lt;&gt;B1297,1,0))</f>
        <v/>
      </c>
    </row>
    <row r="1299" customFormat="false" ht="15" hidden="false" customHeight="true" outlineLevel="0" collapsed="false">
      <c r="A1299" s="21" t="str">
        <f aca="false">IF(B1299="","",ROW()-4)</f>
        <v/>
      </c>
      <c r="B1299" s="22"/>
      <c r="C1299" s="21" t="str">
        <f aca="false">IF(B1299="","",CHOOSE(WEEKDAY(B1299,2),"LUNES","MARTES","MIÉRCOLES","JUEVES","VIERNES","SÁBADO","DOMINGO"))</f>
        <v/>
      </c>
      <c r="M1299" s="23"/>
      <c r="Q1299" s="21" t="str">
        <f aca="false">IF(OR(K1299="",N1299=""),"",K1299-N1299)</f>
        <v/>
      </c>
      <c r="R1299" s="21" t="str">
        <f aca="false">IF(OR(J1299="",K1299=""),"",J1299*K1299)</f>
        <v/>
      </c>
      <c r="S1299" s="21" t="str">
        <f aca="false">IF(AND(ISNUMBER(J1299),ISNUMBER(K1299),F1299&lt;&gt;"Calentamiento",F1299&lt;&gt;"Bilbo"),IF(AND(K1299&gt;0,K1299&lt;=12),ROUND(J1299*(1+(K1299+IF(ISNUMBER(L1299),L1299,0))/30),1),""),"")</f>
        <v/>
      </c>
      <c r="T1299" s="21" t="str">
        <f aca="false">IF(AND(F1299="Bilbo",ISNUMBER(J1299),ISNUMBER(K1299)),ROUND(J1299*(1+K1299/30),1),"")</f>
        <v/>
      </c>
      <c r="W1299" s="22"/>
      <c r="X1299" s="21" t="str">
        <f aca="false">IF(AND(F1299="Bilbo",E1299&lt;&gt;"",G1299&lt;&gt;"",H1299&lt;&gt;""),E1299&amp;"|"&amp;G1299&amp;"|"&amp;H1299,"")</f>
        <v/>
      </c>
      <c r="Y1299" s="21" t="str">
        <f aca="false">IF(B1299="","",IF(B1299&lt;&gt;B1298,1,0))</f>
        <v/>
      </c>
    </row>
    <row r="1300" customFormat="false" ht="15" hidden="false" customHeight="true" outlineLevel="0" collapsed="false">
      <c r="A1300" s="21" t="str">
        <f aca="false">IF(B1300="","",ROW()-4)</f>
        <v/>
      </c>
      <c r="B1300" s="22"/>
      <c r="C1300" s="21" t="str">
        <f aca="false">IF(B1300="","",CHOOSE(WEEKDAY(B1300,2),"LUNES","MARTES","MIÉRCOLES","JUEVES","VIERNES","SÁBADO","DOMINGO"))</f>
        <v/>
      </c>
      <c r="M1300" s="23"/>
      <c r="Q1300" s="21" t="str">
        <f aca="false">IF(OR(K1300="",N1300=""),"",K1300-N1300)</f>
        <v/>
      </c>
      <c r="R1300" s="21" t="str">
        <f aca="false">IF(OR(J1300="",K1300=""),"",J1300*K1300)</f>
        <v/>
      </c>
      <c r="S1300" s="21" t="str">
        <f aca="false">IF(AND(ISNUMBER(J1300),ISNUMBER(K1300),F1300&lt;&gt;"Calentamiento",F1300&lt;&gt;"Bilbo"),IF(AND(K1300&gt;0,K1300&lt;=12),ROUND(J1300*(1+(K1300+IF(ISNUMBER(L1300),L1300,0))/30),1),""),"")</f>
        <v/>
      </c>
      <c r="T1300" s="21" t="str">
        <f aca="false">IF(AND(F1300="Bilbo",ISNUMBER(J1300),ISNUMBER(K1300)),ROUND(J1300*(1+K1300/30),1),"")</f>
        <v/>
      </c>
      <c r="W1300" s="22"/>
      <c r="X1300" s="21" t="str">
        <f aca="false">IF(AND(F1300="Bilbo",E1300&lt;&gt;"",G1300&lt;&gt;"",H1300&lt;&gt;""),E1300&amp;"|"&amp;G1300&amp;"|"&amp;H1300,"")</f>
        <v/>
      </c>
      <c r="Y1300" s="21" t="str">
        <f aca="false">IF(B1300="","",IF(B1300&lt;&gt;B1299,1,0))</f>
        <v/>
      </c>
    </row>
    <row r="1301" customFormat="false" ht="15" hidden="false" customHeight="true" outlineLevel="0" collapsed="false">
      <c r="A1301" s="21" t="str">
        <f aca="false">IF(B1301="","",ROW()-4)</f>
        <v/>
      </c>
      <c r="B1301" s="22"/>
      <c r="C1301" s="21" t="str">
        <f aca="false">IF(B1301="","",CHOOSE(WEEKDAY(B1301,2),"LUNES","MARTES","MIÉRCOLES","JUEVES","VIERNES","SÁBADO","DOMINGO"))</f>
        <v/>
      </c>
      <c r="M1301" s="23"/>
      <c r="Q1301" s="21" t="str">
        <f aca="false">IF(OR(K1301="",N1301=""),"",K1301-N1301)</f>
        <v/>
      </c>
      <c r="R1301" s="21" t="str">
        <f aca="false">IF(OR(J1301="",K1301=""),"",J1301*K1301)</f>
        <v/>
      </c>
      <c r="S1301" s="21" t="str">
        <f aca="false">IF(AND(ISNUMBER(J1301),ISNUMBER(K1301),F1301&lt;&gt;"Calentamiento",F1301&lt;&gt;"Bilbo"),IF(AND(K1301&gt;0,K1301&lt;=12),ROUND(J1301*(1+(K1301+IF(ISNUMBER(L1301),L1301,0))/30),1),""),"")</f>
        <v/>
      </c>
      <c r="T1301" s="21" t="str">
        <f aca="false">IF(AND(F1301="Bilbo",ISNUMBER(J1301),ISNUMBER(K1301)),ROUND(J1301*(1+K1301/30),1),"")</f>
        <v/>
      </c>
      <c r="W1301" s="22"/>
      <c r="X1301" s="21" t="str">
        <f aca="false">IF(AND(F1301="Bilbo",E1301&lt;&gt;"",G1301&lt;&gt;"",H1301&lt;&gt;""),E1301&amp;"|"&amp;G1301&amp;"|"&amp;H1301,"")</f>
        <v/>
      </c>
      <c r="Y1301" s="21" t="str">
        <f aca="false">IF(B1301="","",IF(B1301&lt;&gt;B1300,1,0))</f>
        <v/>
      </c>
    </row>
    <row r="1302" customFormat="false" ht="15" hidden="false" customHeight="true" outlineLevel="0" collapsed="false">
      <c r="A1302" s="21" t="str">
        <f aca="false">IF(B1302="","",ROW()-4)</f>
        <v/>
      </c>
      <c r="B1302" s="22"/>
      <c r="C1302" s="21" t="str">
        <f aca="false">IF(B1302="","",CHOOSE(WEEKDAY(B1302,2),"LUNES","MARTES","MIÉRCOLES","JUEVES","VIERNES","SÁBADO","DOMINGO"))</f>
        <v/>
      </c>
      <c r="M1302" s="23"/>
      <c r="Q1302" s="21" t="str">
        <f aca="false">IF(OR(K1302="",N1302=""),"",K1302-N1302)</f>
        <v/>
      </c>
      <c r="R1302" s="21" t="str">
        <f aca="false">IF(OR(J1302="",K1302=""),"",J1302*K1302)</f>
        <v/>
      </c>
      <c r="S1302" s="21" t="str">
        <f aca="false">IF(AND(ISNUMBER(J1302),ISNUMBER(K1302),F1302&lt;&gt;"Calentamiento",F1302&lt;&gt;"Bilbo"),IF(AND(K1302&gt;0,K1302&lt;=12),ROUND(J1302*(1+(K1302+IF(ISNUMBER(L1302),L1302,0))/30),1),""),"")</f>
        <v/>
      </c>
      <c r="T1302" s="21" t="str">
        <f aca="false">IF(AND(F1302="Bilbo",ISNUMBER(J1302),ISNUMBER(K1302)),ROUND(J1302*(1+K1302/30),1),"")</f>
        <v/>
      </c>
      <c r="W1302" s="22"/>
      <c r="X1302" s="21" t="str">
        <f aca="false">IF(AND(F1302="Bilbo",E1302&lt;&gt;"",G1302&lt;&gt;"",H1302&lt;&gt;""),E1302&amp;"|"&amp;G1302&amp;"|"&amp;H1302,"")</f>
        <v/>
      </c>
      <c r="Y1302" s="21" t="str">
        <f aca="false">IF(B1302="","",IF(B1302&lt;&gt;B1301,1,0))</f>
        <v/>
      </c>
    </row>
    <row r="1303" customFormat="false" ht="15" hidden="false" customHeight="true" outlineLevel="0" collapsed="false">
      <c r="A1303" s="21" t="str">
        <f aca="false">IF(B1303="","",ROW()-4)</f>
        <v/>
      </c>
      <c r="B1303" s="22"/>
      <c r="C1303" s="21" t="str">
        <f aca="false">IF(B1303="","",CHOOSE(WEEKDAY(B1303,2),"LUNES","MARTES","MIÉRCOLES","JUEVES","VIERNES","SÁBADO","DOMINGO"))</f>
        <v/>
      </c>
      <c r="M1303" s="23"/>
      <c r="Q1303" s="21" t="str">
        <f aca="false">IF(OR(K1303="",N1303=""),"",K1303-N1303)</f>
        <v/>
      </c>
      <c r="R1303" s="21" t="str">
        <f aca="false">IF(OR(J1303="",K1303=""),"",J1303*K1303)</f>
        <v/>
      </c>
      <c r="S1303" s="21" t="str">
        <f aca="false">IF(AND(ISNUMBER(J1303),ISNUMBER(K1303),F1303&lt;&gt;"Calentamiento",F1303&lt;&gt;"Bilbo"),IF(AND(K1303&gt;0,K1303&lt;=12),ROUND(J1303*(1+(K1303+IF(ISNUMBER(L1303),L1303,0))/30),1),""),"")</f>
        <v/>
      </c>
      <c r="T1303" s="21" t="str">
        <f aca="false">IF(AND(F1303="Bilbo",ISNUMBER(J1303),ISNUMBER(K1303)),ROUND(J1303*(1+K1303/30),1),"")</f>
        <v/>
      </c>
      <c r="W1303" s="22"/>
      <c r="X1303" s="21" t="str">
        <f aca="false">IF(AND(F1303="Bilbo",E1303&lt;&gt;"",G1303&lt;&gt;"",H1303&lt;&gt;""),E1303&amp;"|"&amp;G1303&amp;"|"&amp;H1303,"")</f>
        <v/>
      </c>
      <c r="Y1303" s="21" t="str">
        <f aca="false">IF(B1303="","",IF(B1303&lt;&gt;B1302,1,0))</f>
        <v/>
      </c>
    </row>
    <row r="1304" customFormat="false" ht="15" hidden="false" customHeight="true" outlineLevel="0" collapsed="false">
      <c r="A1304" s="21" t="str">
        <f aca="false">IF(B1304="","",ROW()-4)</f>
        <v/>
      </c>
      <c r="B1304" s="22"/>
      <c r="C1304" s="21" t="str">
        <f aca="false">IF(B1304="","",CHOOSE(WEEKDAY(B1304,2),"LUNES","MARTES","MIÉRCOLES","JUEVES","VIERNES","SÁBADO","DOMINGO"))</f>
        <v/>
      </c>
      <c r="M1304" s="23"/>
      <c r="Q1304" s="21" t="str">
        <f aca="false">IF(OR(K1304="",N1304=""),"",K1304-N1304)</f>
        <v/>
      </c>
      <c r="R1304" s="21" t="str">
        <f aca="false">IF(OR(J1304="",K1304=""),"",J1304*K1304)</f>
        <v/>
      </c>
      <c r="S1304" s="21" t="str">
        <f aca="false">IF(AND(ISNUMBER(J1304),ISNUMBER(K1304),F1304&lt;&gt;"Calentamiento",F1304&lt;&gt;"Bilbo"),IF(AND(K1304&gt;0,K1304&lt;=12),ROUND(J1304*(1+(K1304+IF(ISNUMBER(L1304),L1304,0))/30),1),""),"")</f>
        <v/>
      </c>
      <c r="T1304" s="21" t="str">
        <f aca="false">IF(AND(F1304="Bilbo",ISNUMBER(J1304),ISNUMBER(K1304)),ROUND(J1304*(1+K1304/30),1),"")</f>
        <v/>
      </c>
      <c r="W1304" s="22"/>
      <c r="X1304" s="21" t="str">
        <f aca="false">IF(AND(F1304="Bilbo",E1304&lt;&gt;"",G1304&lt;&gt;"",H1304&lt;&gt;""),E1304&amp;"|"&amp;G1304&amp;"|"&amp;H1304,"")</f>
        <v/>
      </c>
      <c r="Y1304" s="21" t="str">
        <f aca="false">IF(B1304="","",IF(B1304&lt;&gt;B1303,1,0))</f>
        <v/>
      </c>
    </row>
    <row r="1305" customFormat="false" ht="15" hidden="false" customHeight="true" outlineLevel="0" collapsed="false">
      <c r="A1305" s="21" t="str">
        <f aca="false">IF(B1305="","",ROW()-4)</f>
        <v/>
      </c>
      <c r="B1305" s="22"/>
      <c r="C1305" s="21" t="str">
        <f aca="false">IF(B1305="","",CHOOSE(WEEKDAY(B1305,2),"LUNES","MARTES","MIÉRCOLES","JUEVES","VIERNES","SÁBADO","DOMINGO"))</f>
        <v/>
      </c>
      <c r="M1305" s="23"/>
      <c r="Q1305" s="21" t="str">
        <f aca="false">IF(OR(K1305="",N1305=""),"",K1305-N1305)</f>
        <v/>
      </c>
      <c r="R1305" s="21" t="str">
        <f aca="false">IF(OR(J1305="",K1305=""),"",J1305*K1305)</f>
        <v/>
      </c>
      <c r="S1305" s="21" t="str">
        <f aca="false">IF(AND(ISNUMBER(J1305),ISNUMBER(K1305),F1305&lt;&gt;"Calentamiento",F1305&lt;&gt;"Bilbo"),IF(AND(K1305&gt;0,K1305&lt;=12),ROUND(J1305*(1+(K1305+IF(ISNUMBER(L1305),L1305,0))/30),1),""),"")</f>
        <v/>
      </c>
      <c r="T1305" s="21" t="str">
        <f aca="false">IF(AND(F1305="Bilbo",ISNUMBER(J1305),ISNUMBER(K1305)),ROUND(J1305*(1+K1305/30),1),"")</f>
        <v/>
      </c>
      <c r="W1305" s="22"/>
      <c r="X1305" s="21" t="str">
        <f aca="false">IF(AND(F1305="Bilbo",E1305&lt;&gt;"",G1305&lt;&gt;"",H1305&lt;&gt;""),E1305&amp;"|"&amp;G1305&amp;"|"&amp;H1305,"")</f>
        <v/>
      </c>
      <c r="Y1305" s="21" t="str">
        <f aca="false">IF(B1305="","",IF(B1305&lt;&gt;B1304,1,0))</f>
        <v/>
      </c>
    </row>
    <row r="1306" customFormat="false" ht="15" hidden="false" customHeight="true" outlineLevel="0" collapsed="false">
      <c r="A1306" s="21" t="str">
        <f aca="false">IF(B1306="","",ROW()-4)</f>
        <v/>
      </c>
      <c r="B1306" s="22"/>
      <c r="C1306" s="21" t="str">
        <f aca="false">IF(B1306="","",CHOOSE(WEEKDAY(B1306,2),"LUNES","MARTES","MIÉRCOLES","JUEVES","VIERNES","SÁBADO","DOMINGO"))</f>
        <v/>
      </c>
      <c r="M1306" s="23"/>
      <c r="Q1306" s="21" t="str">
        <f aca="false">IF(OR(K1306="",N1306=""),"",K1306-N1306)</f>
        <v/>
      </c>
      <c r="R1306" s="21" t="str">
        <f aca="false">IF(OR(J1306="",K1306=""),"",J1306*K1306)</f>
        <v/>
      </c>
      <c r="S1306" s="21" t="str">
        <f aca="false">IF(AND(ISNUMBER(J1306),ISNUMBER(K1306),F1306&lt;&gt;"Calentamiento",F1306&lt;&gt;"Bilbo"),IF(AND(K1306&gt;0,K1306&lt;=12),ROUND(J1306*(1+(K1306+IF(ISNUMBER(L1306),L1306,0))/30),1),""),"")</f>
        <v/>
      </c>
      <c r="T1306" s="21" t="str">
        <f aca="false">IF(AND(F1306="Bilbo",ISNUMBER(J1306),ISNUMBER(K1306)),ROUND(J1306*(1+K1306/30),1),"")</f>
        <v/>
      </c>
      <c r="W1306" s="22"/>
      <c r="X1306" s="21" t="str">
        <f aca="false">IF(AND(F1306="Bilbo",E1306&lt;&gt;"",G1306&lt;&gt;"",H1306&lt;&gt;""),E1306&amp;"|"&amp;G1306&amp;"|"&amp;H1306,"")</f>
        <v/>
      </c>
      <c r="Y1306" s="21" t="str">
        <f aca="false">IF(B1306="","",IF(B1306&lt;&gt;B1305,1,0))</f>
        <v/>
      </c>
    </row>
    <row r="1307" customFormat="false" ht="15" hidden="false" customHeight="true" outlineLevel="0" collapsed="false">
      <c r="A1307" s="21" t="str">
        <f aca="false">IF(B1307="","",ROW()-4)</f>
        <v/>
      </c>
      <c r="B1307" s="22"/>
      <c r="C1307" s="21" t="str">
        <f aca="false">IF(B1307="","",CHOOSE(WEEKDAY(B1307,2),"LUNES","MARTES","MIÉRCOLES","JUEVES","VIERNES","SÁBADO","DOMINGO"))</f>
        <v/>
      </c>
      <c r="M1307" s="23"/>
      <c r="Q1307" s="21" t="str">
        <f aca="false">IF(OR(K1307="",N1307=""),"",K1307-N1307)</f>
        <v/>
      </c>
      <c r="R1307" s="21" t="str">
        <f aca="false">IF(OR(J1307="",K1307=""),"",J1307*K1307)</f>
        <v/>
      </c>
      <c r="S1307" s="21" t="str">
        <f aca="false">IF(AND(ISNUMBER(J1307),ISNUMBER(K1307),F1307&lt;&gt;"Calentamiento",F1307&lt;&gt;"Bilbo"),IF(AND(K1307&gt;0,K1307&lt;=12),ROUND(J1307*(1+(K1307+IF(ISNUMBER(L1307),L1307,0))/30),1),""),"")</f>
        <v/>
      </c>
      <c r="T1307" s="21" t="str">
        <f aca="false">IF(AND(F1307="Bilbo",ISNUMBER(J1307),ISNUMBER(K1307)),ROUND(J1307*(1+K1307/30),1),"")</f>
        <v/>
      </c>
      <c r="W1307" s="22"/>
      <c r="X1307" s="21" t="str">
        <f aca="false">IF(AND(F1307="Bilbo",E1307&lt;&gt;"",G1307&lt;&gt;"",H1307&lt;&gt;""),E1307&amp;"|"&amp;G1307&amp;"|"&amp;H1307,"")</f>
        <v/>
      </c>
      <c r="Y1307" s="21" t="str">
        <f aca="false">IF(B1307="","",IF(B1307&lt;&gt;B1306,1,0))</f>
        <v/>
      </c>
    </row>
    <row r="1308" customFormat="false" ht="15" hidden="false" customHeight="true" outlineLevel="0" collapsed="false">
      <c r="A1308" s="21" t="str">
        <f aca="false">IF(B1308="","",ROW()-4)</f>
        <v/>
      </c>
      <c r="B1308" s="22"/>
      <c r="C1308" s="21" t="str">
        <f aca="false">IF(B1308="","",CHOOSE(WEEKDAY(B1308,2),"LUNES","MARTES","MIÉRCOLES","JUEVES","VIERNES","SÁBADO","DOMINGO"))</f>
        <v/>
      </c>
      <c r="M1308" s="23"/>
      <c r="Q1308" s="21" t="str">
        <f aca="false">IF(OR(K1308="",N1308=""),"",K1308-N1308)</f>
        <v/>
      </c>
      <c r="R1308" s="21" t="str">
        <f aca="false">IF(OR(J1308="",K1308=""),"",J1308*K1308)</f>
        <v/>
      </c>
      <c r="S1308" s="21" t="str">
        <f aca="false">IF(AND(ISNUMBER(J1308),ISNUMBER(K1308),F1308&lt;&gt;"Calentamiento",F1308&lt;&gt;"Bilbo"),IF(AND(K1308&gt;0,K1308&lt;=12),ROUND(J1308*(1+(K1308+IF(ISNUMBER(L1308),L1308,0))/30),1),""),"")</f>
        <v/>
      </c>
      <c r="T1308" s="21" t="str">
        <f aca="false">IF(AND(F1308="Bilbo",ISNUMBER(J1308),ISNUMBER(K1308)),ROUND(J1308*(1+K1308/30),1),"")</f>
        <v/>
      </c>
      <c r="W1308" s="22"/>
      <c r="X1308" s="21" t="str">
        <f aca="false">IF(AND(F1308="Bilbo",E1308&lt;&gt;"",G1308&lt;&gt;"",H1308&lt;&gt;""),E1308&amp;"|"&amp;G1308&amp;"|"&amp;H1308,"")</f>
        <v/>
      </c>
      <c r="Y1308" s="21" t="str">
        <f aca="false">IF(B1308="","",IF(B1308&lt;&gt;B1307,1,0))</f>
        <v/>
      </c>
    </row>
    <row r="1309" customFormat="false" ht="15" hidden="false" customHeight="true" outlineLevel="0" collapsed="false">
      <c r="A1309" s="21" t="str">
        <f aca="false">IF(B1309="","",ROW()-4)</f>
        <v/>
      </c>
      <c r="B1309" s="22"/>
      <c r="C1309" s="21" t="str">
        <f aca="false">IF(B1309="","",CHOOSE(WEEKDAY(B1309,2),"LUNES","MARTES","MIÉRCOLES","JUEVES","VIERNES","SÁBADO","DOMINGO"))</f>
        <v/>
      </c>
      <c r="M1309" s="23"/>
      <c r="Q1309" s="21" t="str">
        <f aca="false">IF(OR(K1309="",N1309=""),"",K1309-N1309)</f>
        <v/>
      </c>
      <c r="R1309" s="21" t="str">
        <f aca="false">IF(OR(J1309="",K1309=""),"",J1309*K1309)</f>
        <v/>
      </c>
      <c r="S1309" s="21" t="str">
        <f aca="false">IF(AND(ISNUMBER(J1309),ISNUMBER(K1309),F1309&lt;&gt;"Calentamiento",F1309&lt;&gt;"Bilbo"),IF(AND(K1309&gt;0,K1309&lt;=12),ROUND(J1309*(1+(K1309+IF(ISNUMBER(L1309),L1309,0))/30),1),""),"")</f>
        <v/>
      </c>
      <c r="T1309" s="21" t="str">
        <f aca="false">IF(AND(F1309="Bilbo",ISNUMBER(J1309),ISNUMBER(K1309)),ROUND(J1309*(1+K1309/30),1),"")</f>
        <v/>
      </c>
      <c r="W1309" s="22"/>
      <c r="X1309" s="21" t="str">
        <f aca="false">IF(AND(F1309="Bilbo",E1309&lt;&gt;"",G1309&lt;&gt;"",H1309&lt;&gt;""),E1309&amp;"|"&amp;G1309&amp;"|"&amp;H1309,"")</f>
        <v/>
      </c>
      <c r="Y1309" s="21" t="str">
        <f aca="false">IF(B1309="","",IF(B1309&lt;&gt;B1308,1,0))</f>
        <v/>
      </c>
    </row>
    <row r="1310" customFormat="false" ht="15" hidden="false" customHeight="true" outlineLevel="0" collapsed="false">
      <c r="A1310" s="21" t="str">
        <f aca="false">IF(B1310="","",ROW()-4)</f>
        <v/>
      </c>
      <c r="B1310" s="22"/>
      <c r="C1310" s="21" t="str">
        <f aca="false">IF(B1310="","",CHOOSE(WEEKDAY(B1310,2),"LUNES","MARTES","MIÉRCOLES","JUEVES","VIERNES","SÁBADO","DOMINGO"))</f>
        <v/>
      </c>
      <c r="M1310" s="23"/>
      <c r="Q1310" s="21" t="str">
        <f aca="false">IF(OR(K1310="",N1310=""),"",K1310-N1310)</f>
        <v/>
      </c>
      <c r="R1310" s="21" t="str">
        <f aca="false">IF(OR(J1310="",K1310=""),"",J1310*K1310)</f>
        <v/>
      </c>
      <c r="S1310" s="21" t="str">
        <f aca="false">IF(AND(ISNUMBER(J1310),ISNUMBER(K1310),F1310&lt;&gt;"Calentamiento",F1310&lt;&gt;"Bilbo"),IF(AND(K1310&gt;0,K1310&lt;=12),ROUND(J1310*(1+(K1310+IF(ISNUMBER(L1310),L1310,0))/30),1),""),"")</f>
        <v/>
      </c>
      <c r="T1310" s="21" t="str">
        <f aca="false">IF(AND(F1310="Bilbo",ISNUMBER(J1310),ISNUMBER(K1310)),ROUND(J1310*(1+K1310/30),1),"")</f>
        <v/>
      </c>
      <c r="W1310" s="22"/>
      <c r="X1310" s="21" t="str">
        <f aca="false">IF(AND(F1310="Bilbo",E1310&lt;&gt;"",G1310&lt;&gt;"",H1310&lt;&gt;""),E1310&amp;"|"&amp;G1310&amp;"|"&amp;H1310,"")</f>
        <v/>
      </c>
      <c r="Y1310" s="21" t="str">
        <f aca="false">IF(B1310="","",IF(B1310&lt;&gt;B1309,1,0))</f>
        <v/>
      </c>
    </row>
    <row r="1311" customFormat="false" ht="15" hidden="false" customHeight="true" outlineLevel="0" collapsed="false">
      <c r="A1311" s="21" t="str">
        <f aca="false">IF(B1311="","",ROW()-4)</f>
        <v/>
      </c>
      <c r="B1311" s="22"/>
      <c r="C1311" s="21" t="str">
        <f aca="false">IF(B1311="","",CHOOSE(WEEKDAY(B1311,2),"LUNES","MARTES","MIÉRCOLES","JUEVES","VIERNES","SÁBADO","DOMINGO"))</f>
        <v/>
      </c>
      <c r="M1311" s="23"/>
      <c r="Q1311" s="21" t="str">
        <f aca="false">IF(OR(K1311="",N1311=""),"",K1311-N1311)</f>
        <v/>
      </c>
      <c r="R1311" s="21" t="str">
        <f aca="false">IF(OR(J1311="",K1311=""),"",J1311*K1311)</f>
        <v/>
      </c>
      <c r="S1311" s="21" t="str">
        <f aca="false">IF(AND(ISNUMBER(J1311),ISNUMBER(K1311),F1311&lt;&gt;"Calentamiento",F1311&lt;&gt;"Bilbo"),IF(AND(K1311&gt;0,K1311&lt;=12),ROUND(J1311*(1+(K1311+IF(ISNUMBER(L1311),L1311,0))/30),1),""),"")</f>
        <v/>
      </c>
      <c r="T1311" s="21" t="str">
        <f aca="false">IF(AND(F1311="Bilbo",ISNUMBER(J1311),ISNUMBER(K1311)),ROUND(J1311*(1+K1311/30),1),"")</f>
        <v/>
      </c>
      <c r="W1311" s="22"/>
      <c r="X1311" s="21" t="str">
        <f aca="false">IF(AND(F1311="Bilbo",E1311&lt;&gt;"",G1311&lt;&gt;"",H1311&lt;&gt;""),E1311&amp;"|"&amp;G1311&amp;"|"&amp;H1311,"")</f>
        <v/>
      </c>
      <c r="Y1311" s="21" t="str">
        <f aca="false">IF(B1311="","",IF(B1311&lt;&gt;B1310,1,0))</f>
        <v/>
      </c>
    </row>
    <row r="1312" customFormat="false" ht="15" hidden="false" customHeight="true" outlineLevel="0" collapsed="false">
      <c r="A1312" s="21" t="str">
        <f aca="false">IF(B1312="","",ROW()-4)</f>
        <v/>
      </c>
      <c r="B1312" s="22"/>
      <c r="C1312" s="21" t="str">
        <f aca="false">IF(B1312="","",CHOOSE(WEEKDAY(B1312,2),"LUNES","MARTES","MIÉRCOLES","JUEVES","VIERNES","SÁBADO","DOMINGO"))</f>
        <v/>
      </c>
      <c r="M1312" s="23"/>
      <c r="Q1312" s="21" t="str">
        <f aca="false">IF(OR(K1312="",N1312=""),"",K1312-N1312)</f>
        <v/>
      </c>
      <c r="R1312" s="21" t="str">
        <f aca="false">IF(OR(J1312="",K1312=""),"",J1312*K1312)</f>
        <v/>
      </c>
      <c r="S1312" s="21" t="str">
        <f aca="false">IF(AND(ISNUMBER(J1312),ISNUMBER(K1312),F1312&lt;&gt;"Calentamiento",F1312&lt;&gt;"Bilbo"),IF(AND(K1312&gt;0,K1312&lt;=12),ROUND(J1312*(1+(K1312+IF(ISNUMBER(L1312),L1312,0))/30),1),""),"")</f>
        <v/>
      </c>
      <c r="T1312" s="21" t="str">
        <f aca="false">IF(AND(F1312="Bilbo",ISNUMBER(J1312),ISNUMBER(K1312)),ROUND(J1312*(1+K1312/30),1),"")</f>
        <v/>
      </c>
      <c r="W1312" s="22"/>
      <c r="X1312" s="21" t="str">
        <f aca="false">IF(AND(F1312="Bilbo",E1312&lt;&gt;"",G1312&lt;&gt;"",H1312&lt;&gt;""),E1312&amp;"|"&amp;G1312&amp;"|"&amp;H1312,"")</f>
        <v/>
      </c>
      <c r="Y1312" s="21" t="str">
        <f aca="false">IF(B1312="","",IF(B1312&lt;&gt;B1311,1,0))</f>
        <v/>
      </c>
    </row>
    <row r="1313" customFormat="false" ht="15" hidden="false" customHeight="true" outlineLevel="0" collapsed="false">
      <c r="A1313" s="21" t="str">
        <f aca="false">IF(B1313="","",ROW()-4)</f>
        <v/>
      </c>
      <c r="B1313" s="22"/>
      <c r="C1313" s="21" t="str">
        <f aca="false">IF(B1313="","",CHOOSE(WEEKDAY(B1313,2),"LUNES","MARTES","MIÉRCOLES","JUEVES","VIERNES","SÁBADO","DOMINGO"))</f>
        <v/>
      </c>
      <c r="M1313" s="23"/>
      <c r="Q1313" s="21" t="str">
        <f aca="false">IF(OR(K1313="",N1313=""),"",K1313-N1313)</f>
        <v/>
      </c>
      <c r="R1313" s="21" t="str">
        <f aca="false">IF(OR(J1313="",K1313=""),"",J1313*K1313)</f>
        <v/>
      </c>
      <c r="S1313" s="21" t="str">
        <f aca="false">IF(AND(ISNUMBER(J1313),ISNUMBER(K1313),F1313&lt;&gt;"Calentamiento",F1313&lt;&gt;"Bilbo"),IF(AND(K1313&gt;0,K1313&lt;=12),ROUND(J1313*(1+(K1313+IF(ISNUMBER(L1313),L1313,0))/30),1),""),"")</f>
        <v/>
      </c>
      <c r="T1313" s="21" t="str">
        <f aca="false">IF(AND(F1313="Bilbo",ISNUMBER(J1313),ISNUMBER(K1313)),ROUND(J1313*(1+K1313/30),1),"")</f>
        <v/>
      </c>
      <c r="W1313" s="22"/>
      <c r="X1313" s="21" t="str">
        <f aca="false">IF(AND(F1313="Bilbo",E1313&lt;&gt;"",G1313&lt;&gt;"",H1313&lt;&gt;""),E1313&amp;"|"&amp;G1313&amp;"|"&amp;H1313,"")</f>
        <v/>
      </c>
      <c r="Y1313" s="21" t="str">
        <f aca="false">IF(B1313="","",IF(B1313&lt;&gt;B1312,1,0))</f>
        <v/>
      </c>
    </row>
    <row r="1314" customFormat="false" ht="15" hidden="false" customHeight="true" outlineLevel="0" collapsed="false">
      <c r="A1314" s="21" t="str">
        <f aca="false">IF(B1314="","",ROW()-4)</f>
        <v/>
      </c>
      <c r="B1314" s="22"/>
      <c r="C1314" s="21" t="str">
        <f aca="false">IF(B1314="","",CHOOSE(WEEKDAY(B1314,2),"LUNES","MARTES","MIÉRCOLES","JUEVES","VIERNES","SÁBADO","DOMINGO"))</f>
        <v/>
      </c>
      <c r="M1314" s="23"/>
      <c r="Q1314" s="21" t="str">
        <f aca="false">IF(OR(K1314="",N1314=""),"",K1314-N1314)</f>
        <v/>
      </c>
      <c r="R1314" s="21" t="str">
        <f aca="false">IF(OR(J1314="",K1314=""),"",J1314*K1314)</f>
        <v/>
      </c>
      <c r="S1314" s="21" t="str">
        <f aca="false">IF(AND(ISNUMBER(J1314),ISNUMBER(K1314),F1314&lt;&gt;"Calentamiento",F1314&lt;&gt;"Bilbo"),IF(AND(K1314&gt;0,K1314&lt;=12),ROUND(J1314*(1+(K1314+IF(ISNUMBER(L1314),L1314,0))/30),1),""),"")</f>
        <v/>
      </c>
      <c r="T1314" s="21" t="str">
        <f aca="false">IF(AND(F1314="Bilbo",ISNUMBER(J1314),ISNUMBER(K1314)),ROUND(J1314*(1+K1314/30),1),"")</f>
        <v/>
      </c>
      <c r="W1314" s="22"/>
      <c r="X1314" s="21" t="str">
        <f aca="false">IF(AND(F1314="Bilbo",E1314&lt;&gt;"",G1314&lt;&gt;"",H1314&lt;&gt;""),E1314&amp;"|"&amp;G1314&amp;"|"&amp;H1314,"")</f>
        <v/>
      </c>
      <c r="Y1314" s="21" t="str">
        <f aca="false">IF(B1314="","",IF(B1314&lt;&gt;B1313,1,0))</f>
        <v/>
      </c>
    </row>
    <row r="1315" customFormat="false" ht="15" hidden="false" customHeight="true" outlineLevel="0" collapsed="false">
      <c r="A1315" s="21" t="str">
        <f aca="false">IF(B1315="","",ROW()-4)</f>
        <v/>
      </c>
      <c r="B1315" s="22"/>
      <c r="C1315" s="21" t="str">
        <f aca="false">IF(B1315="","",CHOOSE(WEEKDAY(B1315,2),"LUNES","MARTES","MIÉRCOLES","JUEVES","VIERNES","SÁBADO","DOMINGO"))</f>
        <v/>
      </c>
      <c r="M1315" s="23"/>
      <c r="Q1315" s="21" t="str">
        <f aca="false">IF(OR(K1315="",N1315=""),"",K1315-N1315)</f>
        <v/>
      </c>
      <c r="R1315" s="21" t="str">
        <f aca="false">IF(OR(J1315="",K1315=""),"",J1315*K1315)</f>
        <v/>
      </c>
      <c r="S1315" s="21" t="str">
        <f aca="false">IF(AND(ISNUMBER(J1315),ISNUMBER(K1315),F1315&lt;&gt;"Calentamiento",F1315&lt;&gt;"Bilbo"),IF(AND(K1315&gt;0,K1315&lt;=12),ROUND(J1315*(1+(K1315+IF(ISNUMBER(L1315),L1315,0))/30),1),""),"")</f>
        <v/>
      </c>
      <c r="T1315" s="21" t="str">
        <f aca="false">IF(AND(F1315="Bilbo",ISNUMBER(J1315),ISNUMBER(K1315)),ROUND(J1315*(1+K1315/30),1),"")</f>
        <v/>
      </c>
      <c r="W1315" s="22"/>
      <c r="X1315" s="21" t="str">
        <f aca="false">IF(AND(F1315="Bilbo",E1315&lt;&gt;"",G1315&lt;&gt;"",H1315&lt;&gt;""),E1315&amp;"|"&amp;G1315&amp;"|"&amp;H1315,"")</f>
        <v/>
      </c>
      <c r="Y1315" s="21" t="str">
        <f aca="false">IF(B1315="","",IF(B1315&lt;&gt;B1314,1,0))</f>
        <v/>
      </c>
    </row>
    <row r="1316" customFormat="false" ht="15" hidden="false" customHeight="true" outlineLevel="0" collapsed="false">
      <c r="A1316" s="21" t="str">
        <f aca="false">IF(B1316="","",ROW()-4)</f>
        <v/>
      </c>
      <c r="B1316" s="22"/>
      <c r="C1316" s="21" t="str">
        <f aca="false">IF(B1316="","",CHOOSE(WEEKDAY(B1316,2),"LUNES","MARTES","MIÉRCOLES","JUEVES","VIERNES","SÁBADO","DOMINGO"))</f>
        <v/>
      </c>
      <c r="M1316" s="23"/>
      <c r="Q1316" s="21" t="str">
        <f aca="false">IF(OR(K1316="",N1316=""),"",K1316-N1316)</f>
        <v/>
      </c>
      <c r="R1316" s="21" t="str">
        <f aca="false">IF(OR(J1316="",K1316=""),"",J1316*K1316)</f>
        <v/>
      </c>
      <c r="S1316" s="21" t="str">
        <f aca="false">IF(AND(ISNUMBER(J1316),ISNUMBER(K1316),F1316&lt;&gt;"Calentamiento",F1316&lt;&gt;"Bilbo"),IF(AND(K1316&gt;0,K1316&lt;=12),ROUND(J1316*(1+(K1316+IF(ISNUMBER(L1316),L1316,0))/30),1),""),"")</f>
        <v/>
      </c>
      <c r="T1316" s="21" t="str">
        <f aca="false">IF(AND(F1316="Bilbo",ISNUMBER(J1316),ISNUMBER(K1316)),ROUND(J1316*(1+K1316/30),1),"")</f>
        <v/>
      </c>
      <c r="W1316" s="22"/>
      <c r="X1316" s="21" t="str">
        <f aca="false">IF(AND(F1316="Bilbo",E1316&lt;&gt;"",G1316&lt;&gt;"",H1316&lt;&gt;""),E1316&amp;"|"&amp;G1316&amp;"|"&amp;H1316,"")</f>
        <v/>
      </c>
      <c r="Y1316" s="21" t="str">
        <f aca="false">IF(B1316="","",IF(B1316&lt;&gt;B1315,1,0))</f>
        <v/>
      </c>
    </row>
    <row r="1317" customFormat="false" ht="15" hidden="false" customHeight="true" outlineLevel="0" collapsed="false">
      <c r="A1317" s="21" t="str">
        <f aca="false">IF(B1317="","",ROW()-4)</f>
        <v/>
      </c>
      <c r="B1317" s="22"/>
      <c r="C1317" s="21" t="str">
        <f aca="false">IF(B1317="","",CHOOSE(WEEKDAY(B1317,2),"LUNES","MARTES","MIÉRCOLES","JUEVES","VIERNES","SÁBADO","DOMINGO"))</f>
        <v/>
      </c>
      <c r="M1317" s="23"/>
      <c r="Q1317" s="21" t="str">
        <f aca="false">IF(OR(K1317="",N1317=""),"",K1317-N1317)</f>
        <v/>
      </c>
      <c r="R1317" s="21" t="str">
        <f aca="false">IF(OR(J1317="",K1317=""),"",J1317*K1317)</f>
        <v/>
      </c>
      <c r="S1317" s="21" t="str">
        <f aca="false">IF(AND(ISNUMBER(J1317),ISNUMBER(K1317),F1317&lt;&gt;"Calentamiento",F1317&lt;&gt;"Bilbo"),IF(AND(K1317&gt;0,K1317&lt;=12),ROUND(J1317*(1+(K1317+IF(ISNUMBER(L1317),L1317,0))/30),1),""),"")</f>
        <v/>
      </c>
      <c r="T1317" s="21" t="str">
        <f aca="false">IF(AND(F1317="Bilbo",ISNUMBER(J1317),ISNUMBER(K1317)),ROUND(J1317*(1+K1317/30),1),"")</f>
        <v/>
      </c>
      <c r="W1317" s="22"/>
      <c r="X1317" s="21" t="str">
        <f aca="false">IF(AND(F1317="Bilbo",E1317&lt;&gt;"",G1317&lt;&gt;"",H1317&lt;&gt;""),E1317&amp;"|"&amp;G1317&amp;"|"&amp;H1317,"")</f>
        <v/>
      </c>
      <c r="Y1317" s="21" t="str">
        <f aca="false">IF(B1317="","",IF(B1317&lt;&gt;B1316,1,0))</f>
        <v/>
      </c>
    </row>
    <row r="1318" customFormat="false" ht="15" hidden="false" customHeight="true" outlineLevel="0" collapsed="false">
      <c r="A1318" s="21" t="str">
        <f aca="false">IF(B1318="","",ROW()-4)</f>
        <v/>
      </c>
      <c r="B1318" s="22"/>
      <c r="C1318" s="21" t="str">
        <f aca="false">IF(B1318="","",CHOOSE(WEEKDAY(B1318,2),"LUNES","MARTES","MIÉRCOLES","JUEVES","VIERNES","SÁBADO","DOMINGO"))</f>
        <v/>
      </c>
      <c r="M1318" s="23"/>
      <c r="Q1318" s="21" t="str">
        <f aca="false">IF(OR(K1318="",N1318=""),"",K1318-N1318)</f>
        <v/>
      </c>
      <c r="R1318" s="21" t="str">
        <f aca="false">IF(OR(J1318="",K1318=""),"",J1318*K1318)</f>
        <v/>
      </c>
      <c r="S1318" s="21" t="str">
        <f aca="false">IF(AND(ISNUMBER(J1318),ISNUMBER(K1318),F1318&lt;&gt;"Calentamiento",F1318&lt;&gt;"Bilbo"),IF(AND(K1318&gt;0,K1318&lt;=12),ROUND(J1318*(1+(K1318+IF(ISNUMBER(L1318),L1318,0))/30),1),""),"")</f>
        <v/>
      </c>
      <c r="T1318" s="21" t="str">
        <f aca="false">IF(AND(F1318="Bilbo",ISNUMBER(J1318),ISNUMBER(K1318)),ROUND(J1318*(1+K1318/30),1),"")</f>
        <v/>
      </c>
      <c r="W1318" s="22"/>
      <c r="X1318" s="21" t="str">
        <f aca="false">IF(AND(F1318="Bilbo",E1318&lt;&gt;"",G1318&lt;&gt;"",H1318&lt;&gt;""),E1318&amp;"|"&amp;G1318&amp;"|"&amp;H1318,"")</f>
        <v/>
      </c>
      <c r="Y1318" s="21" t="str">
        <f aca="false">IF(B1318="","",IF(B1318&lt;&gt;B1317,1,0))</f>
        <v/>
      </c>
    </row>
    <row r="1319" customFormat="false" ht="15" hidden="false" customHeight="true" outlineLevel="0" collapsed="false">
      <c r="A1319" s="21" t="str">
        <f aca="false">IF(B1319="","",ROW()-4)</f>
        <v/>
      </c>
      <c r="B1319" s="22"/>
      <c r="C1319" s="21" t="str">
        <f aca="false">IF(B1319="","",CHOOSE(WEEKDAY(B1319,2),"LUNES","MARTES","MIÉRCOLES","JUEVES","VIERNES","SÁBADO","DOMINGO"))</f>
        <v/>
      </c>
      <c r="M1319" s="23"/>
      <c r="Q1319" s="21" t="str">
        <f aca="false">IF(OR(K1319="",N1319=""),"",K1319-N1319)</f>
        <v/>
      </c>
      <c r="R1319" s="21" t="str">
        <f aca="false">IF(OR(J1319="",K1319=""),"",J1319*K1319)</f>
        <v/>
      </c>
      <c r="S1319" s="21" t="str">
        <f aca="false">IF(AND(ISNUMBER(J1319),ISNUMBER(K1319),F1319&lt;&gt;"Calentamiento",F1319&lt;&gt;"Bilbo"),IF(AND(K1319&gt;0,K1319&lt;=12),ROUND(J1319*(1+(K1319+IF(ISNUMBER(L1319),L1319,0))/30),1),""),"")</f>
        <v/>
      </c>
      <c r="T1319" s="21" t="str">
        <f aca="false">IF(AND(F1319="Bilbo",ISNUMBER(J1319),ISNUMBER(K1319)),ROUND(J1319*(1+K1319/30),1),"")</f>
        <v/>
      </c>
      <c r="W1319" s="22"/>
      <c r="X1319" s="21" t="str">
        <f aca="false">IF(AND(F1319="Bilbo",E1319&lt;&gt;"",G1319&lt;&gt;"",H1319&lt;&gt;""),E1319&amp;"|"&amp;G1319&amp;"|"&amp;H1319,"")</f>
        <v/>
      </c>
      <c r="Y1319" s="21" t="str">
        <f aca="false">IF(B1319="","",IF(B1319&lt;&gt;B1318,1,0))</f>
        <v/>
      </c>
    </row>
    <row r="1320" customFormat="false" ht="15" hidden="false" customHeight="true" outlineLevel="0" collapsed="false">
      <c r="A1320" s="21" t="str">
        <f aca="false">IF(B1320="","",ROW()-4)</f>
        <v/>
      </c>
      <c r="B1320" s="22"/>
      <c r="C1320" s="21" t="str">
        <f aca="false">IF(B1320="","",CHOOSE(WEEKDAY(B1320,2),"LUNES","MARTES","MIÉRCOLES","JUEVES","VIERNES","SÁBADO","DOMINGO"))</f>
        <v/>
      </c>
      <c r="M1320" s="23"/>
      <c r="Q1320" s="21" t="str">
        <f aca="false">IF(OR(K1320="",N1320=""),"",K1320-N1320)</f>
        <v/>
      </c>
      <c r="R1320" s="21" t="str">
        <f aca="false">IF(OR(J1320="",K1320=""),"",J1320*K1320)</f>
        <v/>
      </c>
      <c r="S1320" s="21" t="str">
        <f aca="false">IF(AND(ISNUMBER(J1320),ISNUMBER(K1320),F1320&lt;&gt;"Calentamiento",F1320&lt;&gt;"Bilbo"),IF(AND(K1320&gt;0,K1320&lt;=12),ROUND(J1320*(1+(K1320+IF(ISNUMBER(L1320),L1320,0))/30),1),""),"")</f>
        <v/>
      </c>
      <c r="T1320" s="21" t="str">
        <f aca="false">IF(AND(F1320="Bilbo",ISNUMBER(J1320),ISNUMBER(K1320)),ROUND(J1320*(1+K1320/30),1),"")</f>
        <v/>
      </c>
      <c r="W1320" s="22"/>
      <c r="X1320" s="21" t="str">
        <f aca="false">IF(AND(F1320="Bilbo",E1320&lt;&gt;"",G1320&lt;&gt;"",H1320&lt;&gt;""),E1320&amp;"|"&amp;G1320&amp;"|"&amp;H1320,"")</f>
        <v/>
      </c>
      <c r="Y1320" s="21" t="str">
        <f aca="false">IF(B1320="","",IF(B1320&lt;&gt;B1319,1,0))</f>
        <v/>
      </c>
    </row>
    <row r="1321" customFormat="false" ht="15" hidden="false" customHeight="true" outlineLevel="0" collapsed="false">
      <c r="A1321" s="21" t="str">
        <f aca="false">IF(B1321="","",ROW()-4)</f>
        <v/>
      </c>
      <c r="B1321" s="22"/>
      <c r="C1321" s="21" t="str">
        <f aca="false">IF(B1321="","",CHOOSE(WEEKDAY(B1321,2),"LUNES","MARTES","MIÉRCOLES","JUEVES","VIERNES","SÁBADO","DOMINGO"))</f>
        <v/>
      </c>
      <c r="M1321" s="23"/>
      <c r="Q1321" s="21" t="str">
        <f aca="false">IF(OR(K1321="",N1321=""),"",K1321-N1321)</f>
        <v/>
      </c>
      <c r="R1321" s="21" t="str">
        <f aca="false">IF(OR(J1321="",K1321=""),"",J1321*K1321)</f>
        <v/>
      </c>
      <c r="S1321" s="21" t="str">
        <f aca="false">IF(AND(ISNUMBER(J1321),ISNUMBER(K1321),F1321&lt;&gt;"Calentamiento",F1321&lt;&gt;"Bilbo"),IF(AND(K1321&gt;0,K1321&lt;=12),ROUND(J1321*(1+(K1321+IF(ISNUMBER(L1321),L1321,0))/30),1),""),"")</f>
        <v/>
      </c>
      <c r="T1321" s="21" t="str">
        <f aca="false">IF(AND(F1321="Bilbo",ISNUMBER(J1321),ISNUMBER(K1321)),ROUND(J1321*(1+K1321/30),1),"")</f>
        <v/>
      </c>
      <c r="W1321" s="22"/>
      <c r="X1321" s="21" t="str">
        <f aca="false">IF(AND(F1321="Bilbo",E1321&lt;&gt;"",G1321&lt;&gt;"",H1321&lt;&gt;""),E1321&amp;"|"&amp;G1321&amp;"|"&amp;H1321,"")</f>
        <v/>
      </c>
      <c r="Y1321" s="21" t="str">
        <f aca="false">IF(B1321="","",IF(B1321&lt;&gt;B1320,1,0))</f>
        <v/>
      </c>
    </row>
    <row r="1322" customFormat="false" ht="15" hidden="false" customHeight="true" outlineLevel="0" collapsed="false">
      <c r="A1322" s="21" t="str">
        <f aca="false">IF(B1322="","",ROW()-4)</f>
        <v/>
      </c>
      <c r="B1322" s="22"/>
      <c r="C1322" s="21" t="str">
        <f aca="false">IF(B1322="","",CHOOSE(WEEKDAY(B1322,2),"LUNES","MARTES","MIÉRCOLES","JUEVES","VIERNES","SÁBADO","DOMINGO"))</f>
        <v/>
      </c>
      <c r="M1322" s="23"/>
      <c r="Q1322" s="21" t="str">
        <f aca="false">IF(OR(K1322="",N1322=""),"",K1322-N1322)</f>
        <v/>
      </c>
      <c r="R1322" s="21" t="str">
        <f aca="false">IF(OR(J1322="",K1322=""),"",J1322*K1322)</f>
        <v/>
      </c>
      <c r="S1322" s="21" t="str">
        <f aca="false">IF(AND(ISNUMBER(J1322),ISNUMBER(K1322),F1322&lt;&gt;"Calentamiento",F1322&lt;&gt;"Bilbo"),IF(AND(K1322&gt;0,K1322&lt;=12),ROUND(J1322*(1+(K1322+IF(ISNUMBER(L1322),L1322,0))/30),1),""),"")</f>
        <v/>
      </c>
      <c r="T1322" s="21" t="str">
        <f aca="false">IF(AND(F1322="Bilbo",ISNUMBER(J1322),ISNUMBER(K1322)),ROUND(J1322*(1+K1322/30),1),"")</f>
        <v/>
      </c>
      <c r="W1322" s="22"/>
      <c r="X1322" s="21" t="str">
        <f aca="false">IF(AND(F1322="Bilbo",E1322&lt;&gt;"",G1322&lt;&gt;"",H1322&lt;&gt;""),E1322&amp;"|"&amp;G1322&amp;"|"&amp;H1322,"")</f>
        <v/>
      </c>
      <c r="Y1322" s="21" t="str">
        <f aca="false">IF(B1322="","",IF(B1322&lt;&gt;B1321,1,0))</f>
        <v/>
      </c>
    </row>
    <row r="1323" customFormat="false" ht="15" hidden="false" customHeight="true" outlineLevel="0" collapsed="false">
      <c r="A1323" s="21" t="str">
        <f aca="false">IF(B1323="","",ROW()-4)</f>
        <v/>
      </c>
      <c r="B1323" s="22"/>
      <c r="C1323" s="21" t="str">
        <f aca="false">IF(B1323="","",CHOOSE(WEEKDAY(B1323,2),"LUNES","MARTES","MIÉRCOLES","JUEVES","VIERNES","SÁBADO","DOMINGO"))</f>
        <v/>
      </c>
      <c r="M1323" s="23"/>
      <c r="Q1323" s="21" t="str">
        <f aca="false">IF(OR(K1323="",N1323=""),"",K1323-N1323)</f>
        <v/>
      </c>
      <c r="R1323" s="21" t="str">
        <f aca="false">IF(OR(J1323="",K1323=""),"",J1323*K1323)</f>
        <v/>
      </c>
      <c r="S1323" s="21" t="str">
        <f aca="false">IF(AND(ISNUMBER(J1323),ISNUMBER(K1323),F1323&lt;&gt;"Calentamiento",F1323&lt;&gt;"Bilbo"),IF(AND(K1323&gt;0,K1323&lt;=12),ROUND(J1323*(1+(K1323+IF(ISNUMBER(L1323),L1323,0))/30),1),""),"")</f>
        <v/>
      </c>
      <c r="T1323" s="21" t="str">
        <f aca="false">IF(AND(F1323="Bilbo",ISNUMBER(J1323),ISNUMBER(K1323)),ROUND(J1323*(1+K1323/30),1),"")</f>
        <v/>
      </c>
      <c r="W1323" s="22"/>
      <c r="X1323" s="21" t="str">
        <f aca="false">IF(AND(F1323="Bilbo",E1323&lt;&gt;"",G1323&lt;&gt;"",H1323&lt;&gt;""),E1323&amp;"|"&amp;G1323&amp;"|"&amp;H1323,"")</f>
        <v/>
      </c>
      <c r="Y1323" s="21" t="str">
        <f aca="false">IF(B1323="","",IF(B1323&lt;&gt;B1322,1,0))</f>
        <v/>
      </c>
    </row>
    <row r="1324" customFormat="false" ht="15" hidden="false" customHeight="true" outlineLevel="0" collapsed="false">
      <c r="A1324" s="21" t="str">
        <f aca="false">IF(B1324="","",ROW()-4)</f>
        <v/>
      </c>
      <c r="B1324" s="22"/>
      <c r="C1324" s="21" t="str">
        <f aca="false">IF(B1324="","",CHOOSE(WEEKDAY(B1324,2),"LUNES","MARTES","MIÉRCOLES","JUEVES","VIERNES","SÁBADO","DOMINGO"))</f>
        <v/>
      </c>
      <c r="M1324" s="23"/>
      <c r="Q1324" s="21" t="str">
        <f aca="false">IF(OR(K1324="",N1324=""),"",K1324-N1324)</f>
        <v/>
      </c>
      <c r="R1324" s="21" t="str">
        <f aca="false">IF(OR(J1324="",K1324=""),"",J1324*K1324)</f>
        <v/>
      </c>
      <c r="S1324" s="21" t="str">
        <f aca="false">IF(AND(ISNUMBER(J1324),ISNUMBER(K1324),F1324&lt;&gt;"Calentamiento",F1324&lt;&gt;"Bilbo"),IF(AND(K1324&gt;0,K1324&lt;=12),ROUND(J1324*(1+(K1324+IF(ISNUMBER(L1324),L1324,0))/30),1),""),"")</f>
        <v/>
      </c>
      <c r="T1324" s="21" t="str">
        <f aca="false">IF(AND(F1324="Bilbo",ISNUMBER(J1324),ISNUMBER(K1324)),ROUND(J1324*(1+K1324/30),1),"")</f>
        <v/>
      </c>
      <c r="W1324" s="22"/>
      <c r="X1324" s="21" t="str">
        <f aca="false">IF(AND(F1324="Bilbo",E1324&lt;&gt;"",G1324&lt;&gt;"",H1324&lt;&gt;""),E1324&amp;"|"&amp;G1324&amp;"|"&amp;H1324,"")</f>
        <v/>
      </c>
      <c r="Y1324" s="21" t="str">
        <f aca="false">IF(B1324="","",IF(B1324&lt;&gt;B1323,1,0))</f>
        <v/>
      </c>
    </row>
    <row r="1325" customFormat="false" ht="15" hidden="false" customHeight="true" outlineLevel="0" collapsed="false">
      <c r="A1325" s="21" t="str">
        <f aca="false">IF(B1325="","",ROW()-4)</f>
        <v/>
      </c>
      <c r="B1325" s="22"/>
      <c r="C1325" s="21" t="str">
        <f aca="false">IF(B1325="","",CHOOSE(WEEKDAY(B1325,2),"LUNES","MARTES","MIÉRCOLES","JUEVES","VIERNES","SÁBADO","DOMINGO"))</f>
        <v/>
      </c>
      <c r="M1325" s="23"/>
      <c r="Q1325" s="21" t="str">
        <f aca="false">IF(OR(K1325="",N1325=""),"",K1325-N1325)</f>
        <v/>
      </c>
      <c r="R1325" s="21" t="str">
        <f aca="false">IF(OR(J1325="",K1325=""),"",J1325*K1325)</f>
        <v/>
      </c>
      <c r="S1325" s="21" t="str">
        <f aca="false">IF(AND(ISNUMBER(J1325),ISNUMBER(K1325),F1325&lt;&gt;"Calentamiento",F1325&lt;&gt;"Bilbo"),IF(AND(K1325&gt;0,K1325&lt;=12),ROUND(J1325*(1+(K1325+IF(ISNUMBER(L1325),L1325,0))/30),1),""),"")</f>
        <v/>
      </c>
      <c r="T1325" s="21" t="str">
        <f aca="false">IF(AND(F1325="Bilbo",ISNUMBER(J1325),ISNUMBER(K1325)),ROUND(J1325*(1+K1325/30),1),"")</f>
        <v/>
      </c>
      <c r="W1325" s="22"/>
      <c r="X1325" s="21" t="str">
        <f aca="false">IF(AND(F1325="Bilbo",E1325&lt;&gt;"",G1325&lt;&gt;"",H1325&lt;&gt;""),E1325&amp;"|"&amp;G1325&amp;"|"&amp;H1325,"")</f>
        <v/>
      </c>
      <c r="Y1325" s="21" t="str">
        <f aca="false">IF(B1325="","",IF(B1325&lt;&gt;B1324,1,0))</f>
        <v/>
      </c>
    </row>
    <row r="1326" customFormat="false" ht="15" hidden="false" customHeight="true" outlineLevel="0" collapsed="false">
      <c r="A1326" s="21" t="str">
        <f aca="false">IF(B1326="","",ROW()-4)</f>
        <v/>
      </c>
      <c r="B1326" s="22"/>
      <c r="C1326" s="21" t="str">
        <f aca="false">IF(B1326="","",CHOOSE(WEEKDAY(B1326,2),"LUNES","MARTES","MIÉRCOLES","JUEVES","VIERNES","SÁBADO","DOMINGO"))</f>
        <v/>
      </c>
      <c r="M1326" s="23"/>
      <c r="Q1326" s="21" t="str">
        <f aca="false">IF(OR(K1326="",N1326=""),"",K1326-N1326)</f>
        <v/>
      </c>
      <c r="R1326" s="21" t="str">
        <f aca="false">IF(OR(J1326="",K1326=""),"",J1326*K1326)</f>
        <v/>
      </c>
      <c r="S1326" s="21" t="str">
        <f aca="false">IF(AND(ISNUMBER(J1326),ISNUMBER(K1326),F1326&lt;&gt;"Calentamiento",F1326&lt;&gt;"Bilbo"),IF(AND(K1326&gt;0,K1326&lt;=12),ROUND(J1326*(1+(K1326+IF(ISNUMBER(L1326),L1326,0))/30),1),""),"")</f>
        <v/>
      </c>
      <c r="T1326" s="21" t="str">
        <f aca="false">IF(AND(F1326="Bilbo",ISNUMBER(J1326),ISNUMBER(K1326)),ROUND(J1326*(1+K1326/30),1),"")</f>
        <v/>
      </c>
      <c r="W1326" s="22"/>
      <c r="X1326" s="21" t="str">
        <f aca="false">IF(AND(F1326="Bilbo",E1326&lt;&gt;"",G1326&lt;&gt;"",H1326&lt;&gt;""),E1326&amp;"|"&amp;G1326&amp;"|"&amp;H1326,"")</f>
        <v/>
      </c>
      <c r="Y1326" s="21" t="str">
        <f aca="false">IF(B1326="","",IF(B1326&lt;&gt;B1325,1,0))</f>
        <v/>
      </c>
    </row>
    <row r="1327" customFormat="false" ht="15" hidden="false" customHeight="true" outlineLevel="0" collapsed="false">
      <c r="A1327" s="21" t="str">
        <f aca="false">IF(B1327="","",ROW()-4)</f>
        <v/>
      </c>
      <c r="B1327" s="22"/>
      <c r="C1327" s="21" t="str">
        <f aca="false">IF(B1327="","",CHOOSE(WEEKDAY(B1327,2),"LUNES","MARTES","MIÉRCOLES","JUEVES","VIERNES","SÁBADO","DOMINGO"))</f>
        <v/>
      </c>
      <c r="M1327" s="23"/>
      <c r="Q1327" s="21" t="str">
        <f aca="false">IF(OR(K1327="",N1327=""),"",K1327-N1327)</f>
        <v/>
      </c>
      <c r="R1327" s="21" t="str">
        <f aca="false">IF(OR(J1327="",K1327=""),"",J1327*K1327)</f>
        <v/>
      </c>
      <c r="S1327" s="21" t="str">
        <f aca="false">IF(AND(ISNUMBER(J1327),ISNUMBER(K1327),F1327&lt;&gt;"Calentamiento",F1327&lt;&gt;"Bilbo"),IF(AND(K1327&gt;0,K1327&lt;=12),ROUND(J1327*(1+(K1327+IF(ISNUMBER(L1327),L1327,0))/30),1),""),"")</f>
        <v/>
      </c>
      <c r="T1327" s="21" t="str">
        <f aca="false">IF(AND(F1327="Bilbo",ISNUMBER(J1327),ISNUMBER(K1327)),ROUND(J1327*(1+K1327/30),1),"")</f>
        <v/>
      </c>
      <c r="W1327" s="22"/>
      <c r="X1327" s="21" t="str">
        <f aca="false">IF(AND(F1327="Bilbo",E1327&lt;&gt;"",G1327&lt;&gt;"",H1327&lt;&gt;""),E1327&amp;"|"&amp;G1327&amp;"|"&amp;H1327,"")</f>
        <v/>
      </c>
      <c r="Y1327" s="21" t="str">
        <f aca="false">IF(B1327="","",IF(B1327&lt;&gt;B1326,1,0))</f>
        <v/>
      </c>
    </row>
    <row r="1328" customFormat="false" ht="15" hidden="false" customHeight="true" outlineLevel="0" collapsed="false">
      <c r="A1328" s="21" t="str">
        <f aca="false">IF(B1328="","",ROW()-4)</f>
        <v/>
      </c>
      <c r="B1328" s="22"/>
      <c r="C1328" s="21" t="str">
        <f aca="false">IF(B1328="","",CHOOSE(WEEKDAY(B1328,2),"LUNES","MARTES","MIÉRCOLES","JUEVES","VIERNES","SÁBADO","DOMINGO"))</f>
        <v/>
      </c>
      <c r="M1328" s="23"/>
      <c r="Q1328" s="21" t="str">
        <f aca="false">IF(OR(K1328="",N1328=""),"",K1328-N1328)</f>
        <v/>
      </c>
      <c r="R1328" s="21" t="str">
        <f aca="false">IF(OR(J1328="",K1328=""),"",J1328*K1328)</f>
        <v/>
      </c>
      <c r="S1328" s="21" t="str">
        <f aca="false">IF(AND(ISNUMBER(J1328),ISNUMBER(K1328),F1328&lt;&gt;"Calentamiento",F1328&lt;&gt;"Bilbo"),IF(AND(K1328&gt;0,K1328&lt;=12),ROUND(J1328*(1+(K1328+IF(ISNUMBER(L1328),L1328,0))/30),1),""),"")</f>
        <v/>
      </c>
      <c r="T1328" s="21" t="str">
        <f aca="false">IF(AND(F1328="Bilbo",ISNUMBER(J1328),ISNUMBER(K1328)),ROUND(J1328*(1+K1328/30),1),"")</f>
        <v/>
      </c>
      <c r="W1328" s="22"/>
      <c r="X1328" s="21" t="str">
        <f aca="false">IF(AND(F1328="Bilbo",E1328&lt;&gt;"",G1328&lt;&gt;"",H1328&lt;&gt;""),E1328&amp;"|"&amp;G1328&amp;"|"&amp;H1328,"")</f>
        <v/>
      </c>
      <c r="Y1328" s="21" t="str">
        <f aca="false">IF(B1328="","",IF(B1328&lt;&gt;B1327,1,0))</f>
        <v/>
      </c>
    </row>
    <row r="1329" customFormat="false" ht="15" hidden="false" customHeight="true" outlineLevel="0" collapsed="false">
      <c r="A1329" s="21" t="str">
        <f aca="false">IF(B1329="","",ROW()-4)</f>
        <v/>
      </c>
      <c r="B1329" s="22"/>
      <c r="C1329" s="21" t="str">
        <f aca="false">IF(B1329="","",CHOOSE(WEEKDAY(B1329,2),"LUNES","MARTES","MIÉRCOLES","JUEVES","VIERNES","SÁBADO","DOMINGO"))</f>
        <v/>
      </c>
      <c r="M1329" s="23"/>
      <c r="Q1329" s="21" t="str">
        <f aca="false">IF(OR(K1329="",N1329=""),"",K1329-N1329)</f>
        <v/>
      </c>
      <c r="R1329" s="21" t="str">
        <f aca="false">IF(OR(J1329="",K1329=""),"",J1329*K1329)</f>
        <v/>
      </c>
      <c r="S1329" s="21" t="str">
        <f aca="false">IF(AND(ISNUMBER(J1329),ISNUMBER(K1329),F1329&lt;&gt;"Calentamiento",F1329&lt;&gt;"Bilbo"),IF(AND(K1329&gt;0,K1329&lt;=12),ROUND(J1329*(1+(K1329+IF(ISNUMBER(L1329),L1329,0))/30),1),""),"")</f>
        <v/>
      </c>
      <c r="T1329" s="21" t="str">
        <f aca="false">IF(AND(F1329="Bilbo",ISNUMBER(J1329),ISNUMBER(K1329)),ROUND(J1329*(1+K1329/30),1),"")</f>
        <v/>
      </c>
      <c r="W1329" s="22"/>
      <c r="X1329" s="21" t="str">
        <f aca="false">IF(AND(F1329="Bilbo",E1329&lt;&gt;"",G1329&lt;&gt;"",H1329&lt;&gt;""),E1329&amp;"|"&amp;G1329&amp;"|"&amp;H1329,"")</f>
        <v/>
      </c>
      <c r="Y1329" s="21" t="str">
        <f aca="false">IF(B1329="","",IF(B1329&lt;&gt;B1328,1,0))</f>
        <v/>
      </c>
    </row>
    <row r="1330" customFormat="false" ht="15" hidden="false" customHeight="true" outlineLevel="0" collapsed="false">
      <c r="A1330" s="21" t="str">
        <f aca="false">IF(B1330="","",ROW()-4)</f>
        <v/>
      </c>
      <c r="B1330" s="22"/>
      <c r="C1330" s="21" t="str">
        <f aca="false">IF(B1330="","",CHOOSE(WEEKDAY(B1330,2),"LUNES","MARTES","MIÉRCOLES","JUEVES","VIERNES","SÁBADO","DOMINGO"))</f>
        <v/>
      </c>
      <c r="M1330" s="23"/>
      <c r="Q1330" s="21" t="str">
        <f aca="false">IF(OR(K1330="",N1330=""),"",K1330-N1330)</f>
        <v/>
      </c>
      <c r="R1330" s="21" t="str">
        <f aca="false">IF(OR(J1330="",K1330=""),"",J1330*K1330)</f>
        <v/>
      </c>
      <c r="S1330" s="21" t="str">
        <f aca="false">IF(AND(ISNUMBER(J1330),ISNUMBER(K1330),F1330&lt;&gt;"Calentamiento",F1330&lt;&gt;"Bilbo"),IF(AND(K1330&gt;0,K1330&lt;=12),ROUND(J1330*(1+(K1330+IF(ISNUMBER(L1330),L1330,0))/30),1),""),"")</f>
        <v/>
      </c>
      <c r="T1330" s="21" t="str">
        <f aca="false">IF(AND(F1330="Bilbo",ISNUMBER(J1330),ISNUMBER(K1330)),ROUND(J1330*(1+K1330/30),1),"")</f>
        <v/>
      </c>
      <c r="W1330" s="22"/>
      <c r="X1330" s="21" t="str">
        <f aca="false">IF(AND(F1330="Bilbo",E1330&lt;&gt;"",G1330&lt;&gt;"",H1330&lt;&gt;""),E1330&amp;"|"&amp;G1330&amp;"|"&amp;H1330,"")</f>
        <v/>
      </c>
      <c r="Y1330" s="21" t="str">
        <f aca="false">IF(B1330="","",IF(B1330&lt;&gt;B1329,1,0))</f>
        <v/>
      </c>
    </row>
    <row r="1331" customFormat="false" ht="15" hidden="false" customHeight="true" outlineLevel="0" collapsed="false">
      <c r="A1331" s="21" t="str">
        <f aca="false">IF(B1331="","",ROW()-4)</f>
        <v/>
      </c>
      <c r="B1331" s="22"/>
      <c r="C1331" s="21" t="str">
        <f aca="false">IF(B1331="","",CHOOSE(WEEKDAY(B1331,2),"LUNES","MARTES","MIÉRCOLES","JUEVES","VIERNES","SÁBADO","DOMINGO"))</f>
        <v/>
      </c>
      <c r="M1331" s="23"/>
      <c r="Q1331" s="21" t="str">
        <f aca="false">IF(OR(K1331="",N1331=""),"",K1331-N1331)</f>
        <v/>
      </c>
      <c r="R1331" s="21" t="str">
        <f aca="false">IF(OR(J1331="",K1331=""),"",J1331*K1331)</f>
        <v/>
      </c>
      <c r="S1331" s="21" t="str">
        <f aca="false">IF(AND(ISNUMBER(J1331),ISNUMBER(K1331),F1331&lt;&gt;"Calentamiento",F1331&lt;&gt;"Bilbo"),IF(AND(K1331&gt;0,K1331&lt;=12),ROUND(J1331*(1+(K1331+IF(ISNUMBER(L1331),L1331,0))/30),1),""),"")</f>
        <v/>
      </c>
      <c r="T1331" s="21" t="str">
        <f aca="false">IF(AND(F1331="Bilbo",ISNUMBER(J1331),ISNUMBER(K1331)),ROUND(J1331*(1+K1331/30),1),"")</f>
        <v/>
      </c>
      <c r="W1331" s="22"/>
      <c r="X1331" s="21" t="str">
        <f aca="false">IF(AND(F1331="Bilbo",E1331&lt;&gt;"",G1331&lt;&gt;"",H1331&lt;&gt;""),E1331&amp;"|"&amp;G1331&amp;"|"&amp;H1331,"")</f>
        <v/>
      </c>
      <c r="Y1331" s="21" t="str">
        <f aca="false">IF(B1331="","",IF(B1331&lt;&gt;B1330,1,0))</f>
        <v/>
      </c>
    </row>
    <row r="1332" customFormat="false" ht="15" hidden="false" customHeight="true" outlineLevel="0" collapsed="false">
      <c r="A1332" s="21" t="str">
        <f aca="false">IF(B1332="","",ROW()-4)</f>
        <v/>
      </c>
      <c r="B1332" s="22"/>
      <c r="C1332" s="21" t="str">
        <f aca="false">IF(B1332="","",CHOOSE(WEEKDAY(B1332,2),"LUNES","MARTES","MIÉRCOLES","JUEVES","VIERNES","SÁBADO","DOMINGO"))</f>
        <v/>
      </c>
      <c r="M1332" s="23"/>
      <c r="Q1332" s="21" t="str">
        <f aca="false">IF(OR(K1332="",N1332=""),"",K1332-N1332)</f>
        <v/>
      </c>
      <c r="R1332" s="21" t="str">
        <f aca="false">IF(OR(J1332="",K1332=""),"",J1332*K1332)</f>
        <v/>
      </c>
      <c r="S1332" s="21" t="str">
        <f aca="false">IF(AND(ISNUMBER(J1332),ISNUMBER(K1332),F1332&lt;&gt;"Calentamiento",F1332&lt;&gt;"Bilbo"),IF(AND(K1332&gt;0,K1332&lt;=12),ROUND(J1332*(1+(K1332+IF(ISNUMBER(L1332),L1332,0))/30),1),""),"")</f>
        <v/>
      </c>
      <c r="T1332" s="21" t="str">
        <f aca="false">IF(AND(F1332="Bilbo",ISNUMBER(J1332),ISNUMBER(K1332)),ROUND(J1332*(1+K1332/30),1),"")</f>
        <v/>
      </c>
      <c r="W1332" s="22"/>
      <c r="X1332" s="21" t="str">
        <f aca="false">IF(AND(F1332="Bilbo",E1332&lt;&gt;"",G1332&lt;&gt;"",H1332&lt;&gt;""),E1332&amp;"|"&amp;G1332&amp;"|"&amp;H1332,"")</f>
        <v/>
      </c>
      <c r="Y1332" s="21" t="str">
        <f aca="false">IF(B1332="","",IF(B1332&lt;&gt;B1331,1,0))</f>
        <v/>
      </c>
    </row>
    <row r="1333" customFormat="false" ht="15" hidden="false" customHeight="true" outlineLevel="0" collapsed="false">
      <c r="A1333" s="21" t="str">
        <f aca="false">IF(B1333="","",ROW()-4)</f>
        <v/>
      </c>
      <c r="B1333" s="22"/>
      <c r="C1333" s="21" t="str">
        <f aca="false">IF(B1333="","",CHOOSE(WEEKDAY(B1333,2),"LUNES","MARTES","MIÉRCOLES","JUEVES","VIERNES","SÁBADO","DOMINGO"))</f>
        <v/>
      </c>
      <c r="M1333" s="23"/>
      <c r="Q1333" s="21" t="str">
        <f aca="false">IF(OR(K1333="",N1333=""),"",K1333-N1333)</f>
        <v/>
      </c>
      <c r="R1333" s="21" t="str">
        <f aca="false">IF(OR(J1333="",K1333=""),"",J1333*K1333)</f>
        <v/>
      </c>
      <c r="S1333" s="21" t="str">
        <f aca="false">IF(AND(ISNUMBER(J1333),ISNUMBER(K1333),F1333&lt;&gt;"Calentamiento",F1333&lt;&gt;"Bilbo"),IF(AND(K1333&gt;0,K1333&lt;=12),ROUND(J1333*(1+(K1333+IF(ISNUMBER(L1333),L1333,0))/30),1),""),"")</f>
        <v/>
      </c>
      <c r="T1333" s="21" t="str">
        <f aca="false">IF(AND(F1333="Bilbo",ISNUMBER(J1333),ISNUMBER(K1333)),ROUND(J1333*(1+K1333/30),1),"")</f>
        <v/>
      </c>
      <c r="W1333" s="22"/>
      <c r="X1333" s="21" t="str">
        <f aca="false">IF(AND(F1333="Bilbo",E1333&lt;&gt;"",G1333&lt;&gt;"",H1333&lt;&gt;""),E1333&amp;"|"&amp;G1333&amp;"|"&amp;H1333,"")</f>
        <v/>
      </c>
      <c r="Y1333" s="21" t="str">
        <f aca="false">IF(B1333="","",IF(B1333&lt;&gt;B1332,1,0))</f>
        <v/>
      </c>
    </row>
    <row r="1334" customFormat="false" ht="15" hidden="false" customHeight="true" outlineLevel="0" collapsed="false">
      <c r="A1334" s="21" t="str">
        <f aca="false">IF(B1334="","",ROW()-4)</f>
        <v/>
      </c>
      <c r="B1334" s="22"/>
      <c r="C1334" s="21" t="str">
        <f aca="false">IF(B1334="","",CHOOSE(WEEKDAY(B1334,2),"LUNES","MARTES","MIÉRCOLES","JUEVES","VIERNES","SÁBADO","DOMINGO"))</f>
        <v/>
      </c>
      <c r="M1334" s="23"/>
      <c r="Q1334" s="21" t="str">
        <f aca="false">IF(OR(K1334="",N1334=""),"",K1334-N1334)</f>
        <v/>
      </c>
      <c r="R1334" s="21" t="str">
        <f aca="false">IF(OR(J1334="",K1334=""),"",J1334*K1334)</f>
        <v/>
      </c>
      <c r="S1334" s="21" t="str">
        <f aca="false">IF(AND(ISNUMBER(J1334),ISNUMBER(K1334),F1334&lt;&gt;"Calentamiento",F1334&lt;&gt;"Bilbo"),IF(AND(K1334&gt;0,K1334&lt;=12),ROUND(J1334*(1+(K1334+IF(ISNUMBER(L1334),L1334,0))/30),1),""),"")</f>
        <v/>
      </c>
      <c r="T1334" s="21" t="str">
        <f aca="false">IF(AND(F1334="Bilbo",ISNUMBER(J1334),ISNUMBER(K1334)),ROUND(J1334*(1+K1334/30),1),"")</f>
        <v/>
      </c>
      <c r="W1334" s="22"/>
      <c r="X1334" s="21" t="str">
        <f aca="false">IF(AND(F1334="Bilbo",E1334&lt;&gt;"",G1334&lt;&gt;"",H1334&lt;&gt;""),E1334&amp;"|"&amp;G1334&amp;"|"&amp;H1334,"")</f>
        <v/>
      </c>
      <c r="Y1334" s="21" t="str">
        <f aca="false">IF(B1334="","",IF(B1334&lt;&gt;B1333,1,0))</f>
        <v/>
      </c>
    </row>
    <row r="1335" customFormat="false" ht="15" hidden="false" customHeight="true" outlineLevel="0" collapsed="false">
      <c r="A1335" s="21" t="str">
        <f aca="false">IF(B1335="","",ROW()-4)</f>
        <v/>
      </c>
      <c r="B1335" s="22"/>
      <c r="C1335" s="21" t="str">
        <f aca="false">IF(B1335="","",CHOOSE(WEEKDAY(B1335,2),"LUNES","MARTES","MIÉRCOLES","JUEVES","VIERNES","SÁBADO","DOMINGO"))</f>
        <v/>
      </c>
      <c r="M1335" s="23"/>
      <c r="Q1335" s="21" t="str">
        <f aca="false">IF(OR(K1335="",N1335=""),"",K1335-N1335)</f>
        <v/>
      </c>
      <c r="R1335" s="21" t="str">
        <f aca="false">IF(OR(J1335="",K1335=""),"",J1335*K1335)</f>
        <v/>
      </c>
      <c r="S1335" s="21" t="str">
        <f aca="false">IF(AND(ISNUMBER(J1335),ISNUMBER(K1335),F1335&lt;&gt;"Calentamiento",F1335&lt;&gt;"Bilbo"),IF(AND(K1335&gt;0,K1335&lt;=12),ROUND(J1335*(1+(K1335+IF(ISNUMBER(L1335),L1335,0))/30),1),""),"")</f>
        <v/>
      </c>
      <c r="T1335" s="21" t="str">
        <f aca="false">IF(AND(F1335="Bilbo",ISNUMBER(J1335),ISNUMBER(K1335)),ROUND(J1335*(1+K1335/30),1),"")</f>
        <v/>
      </c>
      <c r="W1335" s="22"/>
      <c r="X1335" s="21" t="str">
        <f aca="false">IF(AND(F1335="Bilbo",E1335&lt;&gt;"",G1335&lt;&gt;"",H1335&lt;&gt;""),E1335&amp;"|"&amp;G1335&amp;"|"&amp;H1335,"")</f>
        <v/>
      </c>
      <c r="Y1335" s="21" t="str">
        <f aca="false">IF(B1335="","",IF(B1335&lt;&gt;B1334,1,0))</f>
        <v/>
      </c>
    </row>
    <row r="1336" customFormat="false" ht="15" hidden="false" customHeight="true" outlineLevel="0" collapsed="false">
      <c r="A1336" s="21" t="str">
        <f aca="false">IF(B1336="","",ROW()-4)</f>
        <v/>
      </c>
      <c r="B1336" s="22"/>
      <c r="C1336" s="21" t="str">
        <f aca="false">IF(B1336="","",CHOOSE(WEEKDAY(B1336,2),"LUNES","MARTES","MIÉRCOLES","JUEVES","VIERNES","SÁBADO","DOMINGO"))</f>
        <v/>
      </c>
      <c r="M1336" s="23"/>
      <c r="Q1336" s="21" t="str">
        <f aca="false">IF(OR(K1336="",N1336=""),"",K1336-N1336)</f>
        <v/>
      </c>
      <c r="R1336" s="21" t="str">
        <f aca="false">IF(OR(J1336="",K1336=""),"",J1336*K1336)</f>
        <v/>
      </c>
      <c r="S1336" s="21" t="str">
        <f aca="false">IF(AND(ISNUMBER(J1336),ISNUMBER(K1336),F1336&lt;&gt;"Calentamiento",F1336&lt;&gt;"Bilbo"),IF(AND(K1336&gt;0,K1336&lt;=12),ROUND(J1336*(1+(K1336+IF(ISNUMBER(L1336),L1336,0))/30),1),""),"")</f>
        <v/>
      </c>
      <c r="T1336" s="21" t="str">
        <f aca="false">IF(AND(F1336="Bilbo",ISNUMBER(J1336),ISNUMBER(K1336)),ROUND(J1336*(1+K1336/30),1),"")</f>
        <v/>
      </c>
      <c r="W1336" s="22"/>
      <c r="X1336" s="21" t="str">
        <f aca="false">IF(AND(F1336="Bilbo",E1336&lt;&gt;"",G1336&lt;&gt;"",H1336&lt;&gt;""),E1336&amp;"|"&amp;G1336&amp;"|"&amp;H1336,"")</f>
        <v/>
      </c>
      <c r="Y1336" s="21" t="str">
        <f aca="false">IF(B1336="","",IF(B1336&lt;&gt;B1335,1,0))</f>
        <v/>
      </c>
    </row>
    <row r="1337" customFormat="false" ht="15" hidden="false" customHeight="true" outlineLevel="0" collapsed="false">
      <c r="A1337" s="21" t="str">
        <f aca="false">IF(B1337="","",ROW()-4)</f>
        <v/>
      </c>
      <c r="B1337" s="22"/>
      <c r="C1337" s="21" t="str">
        <f aca="false">IF(B1337="","",CHOOSE(WEEKDAY(B1337,2),"LUNES","MARTES","MIÉRCOLES","JUEVES","VIERNES","SÁBADO","DOMINGO"))</f>
        <v/>
      </c>
      <c r="M1337" s="23"/>
      <c r="Q1337" s="21" t="str">
        <f aca="false">IF(OR(K1337="",N1337=""),"",K1337-N1337)</f>
        <v/>
      </c>
      <c r="R1337" s="21" t="str">
        <f aca="false">IF(OR(J1337="",K1337=""),"",J1337*K1337)</f>
        <v/>
      </c>
      <c r="S1337" s="21" t="str">
        <f aca="false">IF(AND(ISNUMBER(J1337),ISNUMBER(K1337),F1337&lt;&gt;"Calentamiento",F1337&lt;&gt;"Bilbo"),IF(AND(K1337&gt;0,K1337&lt;=12),ROUND(J1337*(1+(K1337+IF(ISNUMBER(L1337),L1337,0))/30),1),""),"")</f>
        <v/>
      </c>
      <c r="T1337" s="21" t="str">
        <f aca="false">IF(AND(F1337="Bilbo",ISNUMBER(J1337),ISNUMBER(K1337)),ROUND(J1337*(1+K1337/30),1),"")</f>
        <v/>
      </c>
      <c r="W1337" s="22"/>
      <c r="X1337" s="21" t="str">
        <f aca="false">IF(AND(F1337="Bilbo",E1337&lt;&gt;"",G1337&lt;&gt;"",H1337&lt;&gt;""),E1337&amp;"|"&amp;G1337&amp;"|"&amp;H1337,"")</f>
        <v/>
      </c>
      <c r="Y1337" s="21" t="str">
        <f aca="false">IF(B1337="","",IF(B1337&lt;&gt;B1336,1,0))</f>
        <v/>
      </c>
    </row>
    <row r="1338" customFormat="false" ht="15" hidden="false" customHeight="true" outlineLevel="0" collapsed="false">
      <c r="A1338" s="21" t="str">
        <f aca="false">IF(B1338="","",ROW()-4)</f>
        <v/>
      </c>
      <c r="B1338" s="22"/>
      <c r="C1338" s="21" t="str">
        <f aca="false">IF(B1338="","",CHOOSE(WEEKDAY(B1338,2),"LUNES","MARTES","MIÉRCOLES","JUEVES","VIERNES","SÁBADO","DOMINGO"))</f>
        <v/>
      </c>
      <c r="M1338" s="23"/>
      <c r="Q1338" s="21" t="str">
        <f aca="false">IF(OR(K1338="",N1338=""),"",K1338-N1338)</f>
        <v/>
      </c>
      <c r="R1338" s="21" t="str">
        <f aca="false">IF(OR(J1338="",K1338=""),"",J1338*K1338)</f>
        <v/>
      </c>
      <c r="S1338" s="21" t="str">
        <f aca="false">IF(AND(ISNUMBER(J1338),ISNUMBER(K1338),F1338&lt;&gt;"Calentamiento",F1338&lt;&gt;"Bilbo"),IF(AND(K1338&gt;0,K1338&lt;=12),ROUND(J1338*(1+(K1338+IF(ISNUMBER(L1338),L1338,0))/30),1),""),"")</f>
        <v/>
      </c>
      <c r="T1338" s="21" t="str">
        <f aca="false">IF(AND(F1338="Bilbo",ISNUMBER(J1338),ISNUMBER(K1338)),ROUND(J1338*(1+K1338/30),1),"")</f>
        <v/>
      </c>
      <c r="W1338" s="22"/>
      <c r="X1338" s="21" t="str">
        <f aca="false">IF(AND(F1338="Bilbo",E1338&lt;&gt;"",G1338&lt;&gt;"",H1338&lt;&gt;""),E1338&amp;"|"&amp;G1338&amp;"|"&amp;H1338,"")</f>
        <v/>
      </c>
      <c r="Y1338" s="21" t="str">
        <f aca="false">IF(B1338="","",IF(B1338&lt;&gt;B1337,1,0))</f>
        <v/>
      </c>
    </row>
    <row r="1339" customFormat="false" ht="15" hidden="false" customHeight="true" outlineLevel="0" collapsed="false">
      <c r="A1339" s="21" t="str">
        <f aca="false">IF(B1339="","",ROW()-4)</f>
        <v/>
      </c>
      <c r="B1339" s="22"/>
      <c r="C1339" s="21" t="str">
        <f aca="false">IF(B1339="","",CHOOSE(WEEKDAY(B1339,2),"LUNES","MARTES","MIÉRCOLES","JUEVES","VIERNES","SÁBADO","DOMINGO"))</f>
        <v/>
      </c>
      <c r="M1339" s="23"/>
      <c r="Q1339" s="21" t="str">
        <f aca="false">IF(OR(K1339="",N1339=""),"",K1339-N1339)</f>
        <v/>
      </c>
      <c r="R1339" s="21" t="str">
        <f aca="false">IF(OR(J1339="",K1339=""),"",J1339*K1339)</f>
        <v/>
      </c>
      <c r="S1339" s="21" t="str">
        <f aca="false">IF(AND(ISNUMBER(J1339),ISNUMBER(K1339),F1339&lt;&gt;"Calentamiento",F1339&lt;&gt;"Bilbo"),IF(AND(K1339&gt;0,K1339&lt;=12),ROUND(J1339*(1+(K1339+IF(ISNUMBER(L1339),L1339,0))/30),1),""),"")</f>
        <v/>
      </c>
      <c r="T1339" s="21" t="str">
        <f aca="false">IF(AND(F1339="Bilbo",ISNUMBER(J1339),ISNUMBER(K1339)),ROUND(J1339*(1+K1339/30),1),"")</f>
        <v/>
      </c>
      <c r="W1339" s="22"/>
      <c r="X1339" s="21" t="str">
        <f aca="false">IF(AND(F1339="Bilbo",E1339&lt;&gt;"",G1339&lt;&gt;"",H1339&lt;&gt;""),E1339&amp;"|"&amp;G1339&amp;"|"&amp;H1339,"")</f>
        <v/>
      </c>
      <c r="Y1339" s="21" t="str">
        <f aca="false">IF(B1339="","",IF(B1339&lt;&gt;B1338,1,0))</f>
        <v/>
      </c>
    </row>
    <row r="1340" customFormat="false" ht="15" hidden="false" customHeight="true" outlineLevel="0" collapsed="false">
      <c r="A1340" s="21" t="str">
        <f aca="false">IF(B1340="","",ROW()-4)</f>
        <v/>
      </c>
      <c r="B1340" s="22"/>
      <c r="C1340" s="21" t="str">
        <f aca="false">IF(B1340="","",CHOOSE(WEEKDAY(B1340,2),"LUNES","MARTES","MIÉRCOLES","JUEVES","VIERNES","SÁBADO","DOMINGO"))</f>
        <v/>
      </c>
      <c r="M1340" s="23"/>
      <c r="Q1340" s="21" t="str">
        <f aca="false">IF(OR(K1340="",N1340=""),"",K1340-N1340)</f>
        <v/>
      </c>
      <c r="R1340" s="21" t="str">
        <f aca="false">IF(OR(J1340="",K1340=""),"",J1340*K1340)</f>
        <v/>
      </c>
      <c r="S1340" s="21" t="str">
        <f aca="false">IF(AND(ISNUMBER(J1340),ISNUMBER(K1340),F1340&lt;&gt;"Calentamiento",F1340&lt;&gt;"Bilbo"),IF(AND(K1340&gt;0,K1340&lt;=12),ROUND(J1340*(1+(K1340+IF(ISNUMBER(L1340),L1340,0))/30),1),""),"")</f>
        <v/>
      </c>
      <c r="T1340" s="21" t="str">
        <f aca="false">IF(AND(F1340="Bilbo",ISNUMBER(J1340),ISNUMBER(K1340)),ROUND(J1340*(1+K1340/30),1),"")</f>
        <v/>
      </c>
      <c r="W1340" s="22"/>
      <c r="X1340" s="21" t="str">
        <f aca="false">IF(AND(F1340="Bilbo",E1340&lt;&gt;"",G1340&lt;&gt;"",H1340&lt;&gt;""),E1340&amp;"|"&amp;G1340&amp;"|"&amp;H1340,"")</f>
        <v/>
      </c>
      <c r="Y1340" s="21" t="str">
        <f aca="false">IF(B1340="","",IF(B1340&lt;&gt;B1339,1,0))</f>
        <v/>
      </c>
    </row>
    <row r="1341" customFormat="false" ht="15" hidden="false" customHeight="true" outlineLevel="0" collapsed="false">
      <c r="A1341" s="21" t="str">
        <f aca="false">IF(B1341="","",ROW()-4)</f>
        <v/>
      </c>
      <c r="B1341" s="22"/>
      <c r="C1341" s="21" t="str">
        <f aca="false">IF(B1341="","",CHOOSE(WEEKDAY(B1341,2),"LUNES","MARTES","MIÉRCOLES","JUEVES","VIERNES","SÁBADO","DOMINGO"))</f>
        <v/>
      </c>
      <c r="M1341" s="23"/>
      <c r="Q1341" s="21" t="str">
        <f aca="false">IF(OR(K1341="",N1341=""),"",K1341-N1341)</f>
        <v/>
      </c>
      <c r="R1341" s="21" t="str">
        <f aca="false">IF(OR(J1341="",K1341=""),"",J1341*K1341)</f>
        <v/>
      </c>
      <c r="S1341" s="21" t="str">
        <f aca="false">IF(AND(ISNUMBER(J1341),ISNUMBER(K1341),F1341&lt;&gt;"Calentamiento",F1341&lt;&gt;"Bilbo"),IF(AND(K1341&gt;0,K1341&lt;=12),ROUND(J1341*(1+(K1341+IF(ISNUMBER(L1341),L1341,0))/30),1),""),"")</f>
        <v/>
      </c>
      <c r="T1341" s="21" t="str">
        <f aca="false">IF(AND(F1341="Bilbo",ISNUMBER(J1341),ISNUMBER(K1341)),ROUND(J1341*(1+K1341/30),1),"")</f>
        <v/>
      </c>
      <c r="W1341" s="22"/>
      <c r="X1341" s="21" t="str">
        <f aca="false">IF(AND(F1341="Bilbo",E1341&lt;&gt;"",G1341&lt;&gt;"",H1341&lt;&gt;""),E1341&amp;"|"&amp;G1341&amp;"|"&amp;H1341,"")</f>
        <v/>
      </c>
      <c r="Y1341" s="21" t="str">
        <f aca="false">IF(B1341="","",IF(B1341&lt;&gt;B1340,1,0))</f>
        <v/>
      </c>
    </row>
    <row r="1342" customFormat="false" ht="15" hidden="false" customHeight="true" outlineLevel="0" collapsed="false">
      <c r="A1342" s="21" t="str">
        <f aca="false">IF(B1342="","",ROW()-4)</f>
        <v/>
      </c>
      <c r="B1342" s="22"/>
      <c r="C1342" s="21" t="str">
        <f aca="false">IF(B1342="","",CHOOSE(WEEKDAY(B1342,2),"LUNES","MARTES","MIÉRCOLES","JUEVES","VIERNES","SÁBADO","DOMINGO"))</f>
        <v/>
      </c>
      <c r="M1342" s="23"/>
      <c r="Q1342" s="21" t="str">
        <f aca="false">IF(OR(K1342="",N1342=""),"",K1342-N1342)</f>
        <v/>
      </c>
      <c r="R1342" s="21" t="str">
        <f aca="false">IF(OR(J1342="",K1342=""),"",J1342*K1342)</f>
        <v/>
      </c>
      <c r="S1342" s="21" t="str">
        <f aca="false">IF(AND(ISNUMBER(J1342),ISNUMBER(K1342),F1342&lt;&gt;"Calentamiento",F1342&lt;&gt;"Bilbo"),IF(AND(K1342&gt;0,K1342&lt;=12),ROUND(J1342*(1+(K1342+IF(ISNUMBER(L1342),L1342,0))/30),1),""),"")</f>
        <v/>
      </c>
      <c r="T1342" s="21" t="str">
        <f aca="false">IF(AND(F1342="Bilbo",ISNUMBER(J1342),ISNUMBER(K1342)),ROUND(J1342*(1+K1342/30),1),"")</f>
        <v/>
      </c>
      <c r="W1342" s="22"/>
      <c r="X1342" s="21" t="str">
        <f aca="false">IF(AND(F1342="Bilbo",E1342&lt;&gt;"",G1342&lt;&gt;"",H1342&lt;&gt;""),E1342&amp;"|"&amp;G1342&amp;"|"&amp;H1342,"")</f>
        <v/>
      </c>
      <c r="Y1342" s="21" t="str">
        <f aca="false">IF(B1342="","",IF(B1342&lt;&gt;B1341,1,0))</f>
        <v/>
      </c>
    </row>
    <row r="1343" customFormat="false" ht="15" hidden="false" customHeight="true" outlineLevel="0" collapsed="false">
      <c r="A1343" s="21" t="str">
        <f aca="false">IF(B1343="","",ROW()-4)</f>
        <v/>
      </c>
      <c r="B1343" s="22"/>
      <c r="C1343" s="21" t="str">
        <f aca="false">IF(B1343="","",CHOOSE(WEEKDAY(B1343,2),"LUNES","MARTES","MIÉRCOLES","JUEVES","VIERNES","SÁBADO","DOMINGO"))</f>
        <v/>
      </c>
      <c r="M1343" s="23"/>
      <c r="Q1343" s="21" t="str">
        <f aca="false">IF(OR(K1343="",N1343=""),"",K1343-N1343)</f>
        <v/>
      </c>
      <c r="R1343" s="21" t="str">
        <f aca="false">IF(OR(J1343="",K1343=""),"",J1343*K1343)</f>
        <v/>
      </c>
      <c r="S1343" s="21" t="str">
        <f aca="false">IF(AND(ISNUMBER(J1343),ISNUMBER(K1343),F1343&lt;&gt;"Calentamiento",F1343&lt;&gt;"Bilbo"),IF(AND(K1343&gt;0,K1343&lt;=12),ROUND(J1343*(1+(K1343+IF(ISNUMBER(L1343),L1343,0))/30),1),""),"")</f>
        <v/>
      </c>
      <c r="T1343" s="21" t="str">
        <f aca="false">IF(AND(F1343="Bilbo",ISNUMBER(J1343),ISNUMBER(K1343)),ROUND(J1343*(1+K1343/30),1),"")</f>
        <v/>
      </c>
      <c r="W1343" s="22"/>
      <c r="X1343" s="21" t="str">
        <f aca="false">IF(AND(F1343="Bilbo",E1343&lt;&gt;"",G1343&lt;&gt;"",H1343&lt;&gt;""),E1343&amp;"|"&amp;G1343&amp;"|"&amp;H1343,"")</f>
        <v/>
      </c>
      <c r="Y1343" s="21" t="str">
        <f aca="false">IF(B1343="","",IF(B1343&lt;&gt;B1342,1,0))</f>
        <v/>
      </c>
    </row>
    <row r="1344" customFormat="false" ht="15" hidden="false" customHeight="true" outlineLevel="0" collapsed="false">
      <c r="A1344" s="21" t="str">
        <f aca="false">IF(B1344="","",ROW()-4)</f>
        <v/>
      </c>
      <c r="B1344" s="22"/>
      <c r="C1344" s="21" t="str">
        <f aca="false">IF(B1344="","",CHOOSE(WEEKDAY(B1344,2),"LUNES","MARTES","MIÉRCOLES","JUEVES","VIERNES","SÁBADO","DOMINGO"))</f>
        <v/>
      </c>
      <c r="M1344" s="23"/>
      <c r="Q1344" s="21" t="str">
        <f aca="false">IF(OR(K1344="",N1344=""),"",K1344-N1344)</f>
        <v/>
      </c>
      <c r="R1344" s="21" t="str">
        <f aca="false">IF(OR(J1344="",K1344=""),"",J1344*K1344)</f>
        <v/>
      </c>
      <c r="S1344" s="21" t="str">
        <f aca="false">IF(AND(ISNUMBER(J1344),ISNUMBER(K1344),F1344&lt;&gt;"Calentamiento",F1344&lt;&gt;"Bilbo"),IF(AND(K1344&gt;0,K1344&lt;=12),ROUND(J1344*(1+(K1344+IF(ISNUMBER(L1344),L1344,0))/30),1),""),"")</f>
        <v/>
      </c>
      <c r="T1344" s="21" t="str">
        <f aca="false">IF(AND(F1344="Bilbo",ISNUMBER(J1344),ISNUMBER(K1344)),ROUND(J1344*(1+K1344/30),1),"")</f>
        <v/>
      </c>
      <c r="W1344" s="22"/>
      <c r="X1344" s="21" t="str">
        <f aca="false">IF(AND(F1344="Bilbo",E1344&lt;&gt;"",G1344&lt;&gt;"",H1344&lt;&gt;""),E1344&amp;"|"&amp;G1344&amp;"|"&amp;H1344,"")</f>
        <v/>
      </c>
      <c r="Y1344" s="21" t="str">
        <f aca="false">IF(B1344="","",IF(B1344&lt;&gt;B1343,1,0))</f>
        <v/>
      </c>
    </row>
    <row r="1345" customFormat="false" ht="15" hidden="false" customHeight="true" outlineLevel="0" collapsed="false">
      <c r="A1345" s="21" t="str">
        <f aca="false">IF(B1345="","",ROW()-4)</f>
        <v/>
      </c>
      <c r="B1345" s="22"/>
      <c r="C1345" s="21" t="str">
        <f aca="false">IF(B1345="","",CHOOSE(WEEKDAY(B1345,2),"LUNES","MARTES","MIÉRCOLES","JUEVES","VIERNES","SÁBADO","DOMINGO"))</f>
        <v/>
      </c>
      <c r="M1345" s="23"/>
      <c r="Q1345" s="21" t="str">
        <f aca="false">IF(OR(K1345="",N1345=""),"",K1345-N1345)</f>
        <v/>
      </c>
      <c r="R1345" s="21" t="str">
        <f aca="false">IF(OR(J1345="",K1345=""),"",J1345*K1345)</f>
        <v/>
      </c>
      <c r="S1345" s="21" t="str">
        <f aca="false">IF(AND(ISNUMBER(J1345),ISNUMBER(K1345),F1345&lt;&gt;"Calentamiento",F1345&lt;&gt;"Bilbo"),IF(AND(K1345&gt;0,K1345&lt;=12),ROUND(J1345*(1+(K1345+IF(ISNUMBER(L1345),L1345,0))/30),1),""),"")</f>
        <v/>
      </c>
      <c r="T1345" s="21" t="str">
        <f aca="false">IF(AND(F1345="Bilbo",ISNUMBER(J1345),ISNUMBER(K1345)),ROUND(J1345*(1+K1345/30),1),"")</f>
        <v/>
      </c>
      <c r="W1345" s="22"/>
      <c r="X1345" s="21" t="str">
        <f aca="false">IF(AND(F1345="Bilbo",E1345&lt;&gt;"",G1345&lt;&gt;"",H1345&lt;&gt;""),E1345&amp;"|"&amp;G1345&amp;"|"&amp;H1345,"")</f>
        <v/>
      </c>
      <c r="Y1345" s="21" t="str">
        <f aca="false">IF(B1345="","",IF(B1345&lt;&gt;B1344,1,0))</f>
        <v/>
      </c>
    </row>
    <row r="1346" customFormat="false" ht="15" hidden="false" customHeight="true" outlineLevel="0" collapsed="false">
      <c r="A1346" s="21" t="str">
        <f aca="false">IF(B1346="","",ROW()-4)</f>
        <v/>
      </c>
      <c r="B1346" s="22"/>
      <c r="C1346" s="21" t="str">
        <f aca="false">IF(B1346="","",CHOOSE(WEEKDAY(B1346,2),"LUNES","MARTES","MIÉRCOLES","JUEVES","VIERNES","SÁBADO","DOMINGO"))</f>
        <v/>
      </c>
      <c r="M1346" s="23"/>
      <c r="Q1346" s="21" t="str">
        <f aca="false">IF(OR(K1346="",N1346=""),"",K1346-N1346)</f>
        <v/>
      </c>
      <c r="R1346" s="21" t="str">
        <f aca="false">IF(OR(J1346="",K1346=""),"",J1346*K1346)</f>
        <v/>
      </c>
      <c r="S1346" s="21" t="str">
        <f aca="false">IF(AND(ISNUMBER(J1346),ISNUMBER(K1346),F1346&lt;&gt;"Calentamiento",F1346&lt;&gt;"Bilbo"),IF(AND(K1346&gt;0,K1346&lt;=12),ROUND(J1346*(1+(K1346+IF(ISNUMBER(L1346),L1346,0))/30),1),""),"")</f>
        <v/>
      </c>
      <c r="T1346" s="21" t="str">
        <f aca="false">IF(AND(F1346="Bilbo",ISNUMBER(J1346),ISNUMBER(K1346)),ROUND(J1346*(1+K1346/30),1),"")</f>
        <v/>
      </c>
      <c r="W1346" s="22"/>
      <c r="X1346" s="21" t="str">
        <f aca="false">IF(AND(F1346="Bilbo",E1346&lt;&gt;"",G1346&lt;&gt;"",H1346&lt;&gt;""),E1346&amp;"|"&amp;G1346&amp;"|"&amp;H1346,"")</f>
        <v/>
      </c>
      <c r="Y1346" s="21" t="str">
        <f aca="false">IF(B1346="","",IF(B1346&lt;&gt;B1345,1,0))</f>
        <v/>
      </c>
    </row>
    <row r="1347" customFormat="false" ht="15" hidden="false" customHeight="true" outlineLevel="0" collapsed="false">
      <c r="A1347" s="21" t="str">
        <f aca="false">IF(B1347="","",ROW()-4)</f>
        <v/>
      </c>
      <c r="B1347" s="22"/>
      <c r="C1347" s="21" t="str">
        <f aca="false">IF(B1347="","",CHOOSE(WEEKDAY(B1347,2),"LUNES","MARTES","MIÉRCOLES","JUEVES","VIERNES","SÁBADO","DOMINGO"))</f>
        <v/>
      </c>
      <c r="M1347" s="23"/>
      <c r="Q1347" s="21" t="str">
        <f aca="false">IF(OR(K1347="",N1347=""),"",K1347-N1347)</f>
        <v/>
      </c>
      <c r="R1347" s="21" t="str">
        <f aca="false">IF(OR(J1347="",K1347=""),"",J1347*K1347)</f>
        <v/>
      </c>
      <c r="S1347" s="21" t="str">
        <f aca="false">IF(AND(ISNUMBER(J1347),ISNUMBER(K1347),F1347&lt;&gt;"Calentamiento",F1347&lt;&gt;"Bilbo"),IF(AND(K1347&gt;0,K1347&lt;=12),ROUND(J1347*(1+(K1347+IF(ISNUMBER(L1347),L1347,0))/30),1),""),"")</f>
        <v/>
      </c>
      <c r="T1347" s="21" t="str">
        <f aca="false">IF(AND(F1347="Bilbo",ISNUMBER(J1347),ISNUMBER(K1347)),ROUND(J1347*(1+K1347/30),1),"")</f>
        <v/>
      </c>
      <c r="W1347" s="22"/>
      <c r="X1347" s="21" t="str">
        <f aca="false">IF(AND(F1347="Bilbo",E1347&lt;&gt;"",G1347&lt;&gt;"",H1347&lt;&gt;""),E1347&amp;"|"&amp;G1347&amp;"|"&amp;H1347,"")</f>
        <v/>
      </c>
      <c r="Y1347" s="21" t="str">
        <f aca="false">IF(B1347="","",IF(B1347&lt;&gt;B1346,1,0))</f>
        <v/>
      </c>
    </row>
    <row r="1348" customFormat="false" ht="15" hidden="false" customHeight="true" outlineLevel="0" collapsed="false">
      <c r="A1348" s="21" t="str">
        <f aca="false">IF(B1348="","",ROW()-4)</f>
        <v/>
      </c>
      <c r="B1348" s="22"/>
      <c r="C1348" s="21" t="str">
        <f aca="false">IF(B1348="","",CHOOSE(WEEKDAY(B1348,2),"LUNES","MARTES","MIÉRCOLES","JUEVES","VIERNES","SÁBADO","DOMINGO"))</f>
        <v/>
      </c>
      <c r="M1348" s="23"/>
      <c r="Q1348" s="21" t="str">
        <f aca="false">IF(OR(K1348="",N1348=""),"",K1348-N1348)</f>
        <v/>
      </c>
      <c r="R1348" s="21" t="str">
        <f aca="false">IF(OR(J1348="",K1348=""),"",J1348*K1348)</f>
        <v/>
      </c>
      <c r="S1348" s="21" t="str">
        <f aca="false">IF(AND(ISNUMBER(J1348),ISNUMBER(K1348),F1348&lt;&gt;"Calentamiento",F1348&lt;&gt;"Bilbo"),IF(AND(K1348&gt;0,K1348&lt;=12),ROUND(J1348*(1+(K1348+IF(ISNUMBER(L1348),L1348,0))/30),1),""),"")</f>
        <v/>
      </c>
      <c r="T1348" s="21" t="str">
        <f aca="false">IF(AND(F1348="Bilbo",ISNUMBER(J1348),ISNUMBER(K1348)),ROUND(J1348*(1+K1348/30),1),"")</f>
        <v/>
      </c>
      <c r="W1348" s="22"/>
      <c r="X1348" s="21" t="str">
        <f aca="false">IF(AND(F1348="Bilbo",E1348&lt;&gt;"",G1348&lt;&gt;"",H1348&lt;&gt;""),E1348&amp;"|"&amp;G1348&amp;"|"&amp;H1348,"")</f>
        <v/>
      </c>
      <c r="Y1348" s="21" t="str">
        <f aca="false">IF(B1348="","",IF(B1348&lt;&gt;B1347,1,0))</f>
        <v/>
      </c>
    </row>
    <row r="1349" customFormat="false" ht="15" hidden="false" customHeight="true" outlineLevel="0" collapsed="false">
      <c r="A1349" s="21" t="str">
        <f aca="false">IF(B1349="","",ROW()-4)</f>
        <v/>
      </c>
      <c r="B1349" s="22"/>
      <c r="C1349" s="21" t="str">
        <f aca="false">IF(B1349="","",CHOOSE(WEEKDAY(B1349,2),"LUNES","MARTES","MIÉRCOLES","JUEVES","VIERNES","SÁBADO","DOMINGO"))</f>
        <v/>
      </c>
      <c r="M1349" s="23"/>
      <c r="Q1349" s="21" t="str">
        <f aca="false">IF(OR(K1349="",N1349=""),"",K1349-N1349)</f>
        <v/>
      </c>
      <c r="R1349" s="21" t="str">
        <f aca="false">IF(OR(J1349="",K1349=""),"",J1349*K1349)</f>
        <v/>
      </c>
      <c r="S1349" s="21" t="str">
        <f aca="false">IF(AND(ISNUMBER(J1349),ISNUMBER(K1349),F1349&lt;&gt;"Calentamiento",F1349&lt;&gt;"Bilbo"),IF(AND(K1349&gt;0,K1349&lt;=12),ROUND(J1349*(1+(K1349+IF(ISNUMBER(L1349),L1349,0))/30),1),""),"")</f>
        <v/>
      </c>
      <c r="T1349" s="21" t="str">
        <f aca="false">IF(AND(F1349="Bilbo",ISNUMBER(J1349),ISNUMBER(K1349)),ROUND(J1349*(1+K1349/30),1),"")</f>
        <v/>
      </c>
      <c r="W1349" s="22"/>
      <c r="X1349" s="21" t="str">
        <f aca="false">IF(AND(F1349="Bilbo",E1349&lt;&gt;"",G1349&lt;&gt;"",H1349&lt;&gt;""),E1349&amp;"|"&amp;G1349&amp;"|"&amp;H1349,"")</f>
        <v/>
      </c>
      <c r="Y1349" s="21" t="str">
        <f aca="false">IF(B1349="","",IF(B1349&lt;&gt;B1348,1,0))</f>
        <v/>
      </c>
    </row>
    <row r="1350" customFormat="false" ht="15" hidden="false" customHeight="true" outlineLevel="0" collapsed="false">
      <c r="A1350" s="21" t="str">
        <f aca="false">IF(B1350="","",ROW()-4)</f>
        <v/>
      </c>
      <c r="B1350" s="22"/>
      <c r="C1350" s="21" t="str">
        <f aca="false">IF(B1350="","",CHOOSE(WEEKDAY(B1350,2),"LUNES","MARTES","MIÉRCOLES","JUEVES","VIERNES","SÁBADO","DOMINGO"))</f>
        <v/>
      </c>
      <c r="M1350" s="23"/>
      <c r="Q1350" s="21" t="str">
        <f aca="false">IF(OR(K1350="",N1350=""),"",K1350-N1350)</f>
        <v/>
      </c>
      <c r="R1350" s="21" t="str">
        <f aca="false">IF(OR(J1350="",K1350=""),"",J1350*K1350)</f>
        <v/>
      </c>
      <c r="S1350" s="21" t="str">
        <f aca="false">IF(AND(ISNUMBER(J1350),ISNUMBER(K1350),F1350&lt;&gt;"Calentamiento",F1350&lt;&gt;"Bilbo"),IF(AND(K1350&gt;0,K1350&lt;=12),ROUND(J1350*(1+(K1350+IF(ISNUMBER(L1350),L1350,0))/30),1),""),"")</f>
        <v/>
      </c>
      <c r="T1350" s="21" t="str">
        <f aca="false">IF(AND(F1350="Bilbo",ISNUMBER(J1350),ISNUMBER(K1350)),ROUND(J1350*(1+K1350/30),1),"")</f>
        <v/>
      </c>
      <c r="W1350" s="22"/>
      <c r="X1350" s="21" t="str">
        <f aca="false">IF(AND(F1350="Bilbo",E1350&lt;&gt;"",G1350&lt;&gt;"",H1350&lt;&gt;""),E1350&amp;"|"&amp;G1350&amp;"|"&amp;H1350,"")</f>
        <v/>
      </c>
      <c r="Y1350" s="21" t="str">
        <f aca="false">IF(B1350="","",IF(B1350&lt;&gt;B1349,1,0))</f>
        <v/>
      </c>
    </row>
    <row r="1351" customFormat="false" ht="15" hidden="false" customHeight="true" outlineLevel="0" collapsed="false">
      <c r="A1351" s="21" t="str">
        <f aca="false">IF(B1351="","",ROW()-4)</f>
        <v/>
      </c>
      <c r="B1351" s="22"/>
      <c r="C1351" s="21" t="str">
        <f aca="false">IF(B1351="","",CHOOSE(WEEKDAY(B1351,2),"LUNES","MARTES","MIÉRCOLES","JUEVES","VIERNES","SÁBADO","DOMINGO"))</f>
        <v/>
      </c>
      <c r="M1351" s="23"/>
      <c r="Q1351" s="21" t="str">
        <f aca="false">IF(OR(K1351="",N1351=""),"",K1351-N1351)</f>
        <v/>
      </c>
      <c r="R1351" s="21" t="str">
        <f aca="false">IF(OR(J1351="",K1351=""),"",J1351*K1351)</f>
        <v/>
      </c>
      <c r="S1351" s="21" t="str">
        <f aca="false">IF(AND(ISNUMBER(J1351),ISNUMBER(K1351),F1351&lt;&gt;"Calentamiento",F1351&lt;&gt;"Bilbo"),IF(AND(K1351&gt;0,K1351&lt;=12),ROUND(J1351*(1+(K1351+IF(ISNUMBER(L1351),L1351,0))/30),1),""),"")</f>
        <v/>
      </c>
      <c r="T1351" s="21" t="str">
        <f aca="false">IF(AND(F1351="Bilbo",ISNUMBER(J1351),ISNUMBER(K1351)),ROUND(J1351*(1+K1351/30),1),"")</f>
        <v/>
      </c>
      <c r="W1351" s="22"/>
      <c r="X1351" s="21" t="str">
        <f aca="false">IF(AND(F1351="Bilbo",E1351&lt;&gt;"",G1351&lt;&gt;"",H1351&lt;&gt;""),E1351&amp;"|"&amp;G1351&amp;"|"&amp;H1351,"")</f>
        <v/>
      </c>
      <c r="Y1351" s="21" t="str">
        <f aca="false">IF(B1351="","",IF(B1351&lt;&gt;B1350,1,0))</f>
        <v/>
      </c>
    </row>
    <row r="1352" customFormat="false" ht="15" hidden="false" customHeight="true" outlineLevel="0" collapsed="false">
      <c r="A1352" s="21" t="str">
        <f aca="false">IF(B1352="","",ROW()-4)</f>
        <v/>
      </c>
      <c r="B1352" s="22"/>
      <c r="C1352" s="21" t="str">
        <f aca="false">IF(B1352="","",CHOOSE(WEEKDAY(B1352,2),"LUNES","MARTES","MIÉRCOLES","JUEVES","VIERNES","SÁBADO","DOMINGO"))</f>
        <v/>
      </c>
      <c r="M1352" s="23"/>
      <c r="Q1352" s="21" t="str">
        <f aca="false">IF(OR(K1352="",N1352=""),"",K1352-N1352)</f>
        <v/>
      </c>
      <c r="R1352" s="21" t="str">
        <f aca="false">IF(OR(J1352="",K1352=""),"",J1352*K1352)</f>
        <v/>
      </c>
      <c r="S1352" s="21" t="str">
        <f aca="false">IF(AND(ISNUMBER(J1352),ISNUMBER(K1352),F1352&lt;&gt;"Calentamiento",F1352&lt;&gt;"Bilbo"),IF(AND(K1352&gt;0,K1352&lt;=12),ROUND(J1352*(1+(K1352+IF(ISNUMBER(L1352),L1352,0))/30),1),""),"")</f>
        <v/>
      </c>
      <c r="T1352" s="21" t="str">
        <f aca="false">IF(AND(F1352="Bilbo",ISNUMBER(J1352),ISNUMBER(K1352)),ROUND(J1352*(1+K1352/30),1),"")</f>
        <v/>
      </c>
      <c r="W1352" s="22"/>
      <c r="X1352" s="21" t="str">
        <f aca="false">IF(AND(F1352="Bilbo",E1352&lt;&gt;"",G1352&lt;&gt;"",H1352&lt;&gt;""),E1352&amp;"|"&amp;G1352&amp;"|"&amp;H1352,"")</f>
        <v/>
      </c>
      <c r="Y1352" s="21" t="str">
        <f aca="false">IF(B1352="","",IF(B1352&lt;&gt;B1351,1,0))</f>
        <v/>
      </c>
    </row>
    <row r="1353" customFormat="false" ht="15" hidden="false" customHeight="true" outlineLevel="0" collapsed="false">
      <c r="A1353" s="21" t="str">
        <f aca="false">IF(B1353="","",ROW()-4)</f>
        <v/>
      </c>
      <c r="B1353" s="22"/>
      <c r="C1353" s="21" t="str">
        <f aca="false">IF(B1353="","",CHOOSE(WEEKDAY(B1353,2),"LUNES","MARTES","MIÉRCOLES","JUEVES","VIERNES","SÁBADO","DOMINGO"))</f>
        <v/>
      </c>
      <c r="M1353" s="23"/>
      <c r="Q1353" s="21" t="str">
        <f aca="false">IF(OR(K1353="",N1353=""),"",K1353-N1353)</f>
        <v/>
      </c>
      <c r="R1353" s="21" t="str">
        <f aca="false">IF(OR(J1353="",K1353=""),"",J1353*K1353)</f>
        <v/>
      </c>
      <c r="S1353" s="21" t="str">
        <f aca="false">IF(AND(ISNUMBER(J1353),ISNUMBER(K1353),F1353&lt;&gt;"Calentamiento",F1353&lt;&gt;"Bilbo"),IF(AND(K1353&gt;0,K1353&lt;=12),ROUND(J1353*(1+(K1353+IF(ISNUMBER(L1353),L1353,0))/30),1),""),"")</f>
        <v/>
      </c>
      <c r="T1353" s="21" t="str">
        <f aca="false">IF(AND(F1353="Bilbo",ISNUMBER(J1353),ISNUMBER(K1353)),ROUND(J1353*(1+K1353/30),1),"")</f>
        <v/>
      </c>
      <c r="W1353" s="22"/>
      <c r="X1353" s="21" t="str">
        <f aca="false">IF(AND(F1353="Bilbo",E1353&lt;&gt;"",G1353&lt;&gt;"",H1353&lt;&gt;""),E1353&amp;"|"&amp;G1353&amp;"|"&amp;H1353,"")</f>
        <v/>
      </c>
      <c r="Y1353" s="21" t="str">
        <f aca="false">IF(B1353="","",IF(B1353&lt;&gt;B1352,1,0))</f>
        <v/>
      </c>
    </row>
    <row r="1354" customFormat="false" ht="15" hidden="false" customHeight="true" outlineLevel="0" collapsed="false">
      <c r="A1354" s="21" t="str">
        <f aca="false">IF(B1354="","",ROW()-4)</f>
        <v/>
      </c>
      <c r="B1354" s="22"/>
      <c r="C1354" s="21" t="str">
        <f aca="false">IF(B1354="","",CHOOSE(WEEKDAY(B1354,2),"LUNES","MARTES","MIÉRCOLES","JUEVES","VIERNES","SÁBADO","DOMINGO"))</f>
        <v/>
      </c>
      <c r="M1354" s="23"/>
      <c r="Q1354" s="21" t="str">
        <f aca="false">IF(OR(K1354="",N1354=""),"",K1354-N1354)</f>
        <v/>
      </c>
      <c r="R1354" s="21" t="str">
        <f aca="false">IF(OR(J1354="",K1354=""),"",J1354*K1354)</f>
        <v/>
      </c>
      <c r="S1354" s="21" t="str">
        <f aca="false">IF(AND(ISNUMBER(J1354),ISNUMBER(K1354),F1354&lt;&gt;"Calentamiento",F1354&lt;&gt;"Bilbo"),IF(AND(K1354&gt;0,K1354&lt;=12),ROUND(J1354*(1+(K1354+IF(ISNUMBER(L1354),L1354,0))/30),1),""),"")</f>
        <v/>
      </c>
      <c r="T1354" s="21" t="str">
        <f aca="false">IF(AND(F1354="Bilbo",ISNUMBER(J1354),ISNUMBER(K1354)),ROUND(J1354*(1+K1354/30),1),"")</f>
        <v/>
      </c>
      <c r="W1354" s="22"/>
      <c r="X1354" s="21" t="str">
        <f aca="false">IF(AND(F1354="Bilbo",E1354&lt;&gt;"",G1354&lt;&gt;"",H1354&lt;&gt;""),E1354&amp;"|"&amp;G1354&amp;"|"&amp;H1354,"")</f>
        <v/>
      </c>
      <c r="Y1354" s="21" t="str">
        <f aca="false">IF(B1354="","",IF(B1354&lt;&gt;B1353,1,0))</f>
        <v/>
      </c>
    </row>
    <row r="1355" customFormat="false" ht="15" hidden="false" customHeight="true" outlineLevel="0" collapsed="false">
      <c r="A1355" s="21" t="str">
        <f aca="false">IF(B1355="","",ROW()-4)</f>
        <v/>
      </c>
      <c r="B1355" s="22"/>
      <c r="C1355" s="21" t="str">
        <f aca="false">IF(B1355="","",CHOOSE(WEEKDAY(B1355,2),"LUNES","MARTES","MIÉRCOLES","JUEVES","VIERNES","SÁBADO","DOMINGO"))</f>
        <v/>
      </c>
      <c r="M1355" s="23"/>
      <c r="Q1355" s="21" t="str">
        <f aca="false">IF(OR(K1355="",N1355=""),"",K1355-N1355)</f>
        <v/>
      </c>
      <c r="R1355" s="21" t="str">
        <f aca="false">IF(OR(J1355="",K1355=""),"",J1355*K1355)</f>
        <v/>
      </c>
      <c r="S1355" s="21" t="str">
        <f aca="false">IF(AND(ISNUMBER(J1355),ISNUMBER(K1355),F1355&lt;&gt;"Calentamiento",F1355&lt;&gt;"Bilbo"),IF(AND(K1355&gt;0,K1355&lt;=12),ROUND(J1355*(1+(K1355+IF(ISNUMBER(L1355),L1355,0))/30),1),""),"")</f>
        <v/>
      </c>
      <c r="T1355" s="21" t="str">
        <f aca="false">IF(AND(F1355="Bilbo",ISNUMBER(J1355),ISNUMBER(K1355)),ROUND(J1355*(1+K1355/30),1),"")</f>
        <v/>
      </c>
      <c r="W1355" s="22"/>
      <c r="X1355" s="21" t="str">
        <f aca="false">IF(AND(F1355="Bilbo",E1355&lt;&gt;"",G1355&lt;&gt;"",H1355&lt;&gt;""),E1355&amp;"|"&amp;G1355&amp;"|"&amp;H1355,"")</f>
        <v/>
      </c>
      <c r="Y1355" s="21" t="str">
        <f aca="false">IF(B1355="","",IF(B1355&lt;&gt;B1354,1,0))</f>
        <v/>
      </c>
    </row>
    <row r="1356" customFormat="false" ht="15" hidden="false" customHeight="true" outlineLevel="0" collapsed="false">
      <c r="A1356" s="21" t="str">
        <f aca="false">IF(B1356="","",ROW()-4)</f>
        <v/>
      </c>
      <c r="B1356" s="22"/>
      <c r="C1356" s="21" t="str">
        <f aca="false">IF(B1356="","",CHOOSE(WEEKDAY(B1356,2),"LUNES","MARTES","MIÉRCOLES","JUEVES","VIERNES","SÁBADO","DOMINGO"))</f>
        <v/>
      </c>
      <c r="M1356" s="23"/>
      <c r="Q1356" s="21" t="str">
        <f aca="false">IF(OR(K1356="",N1356=""),"",K1356-N1356)</f>
        <v/>
      </c>
      <c r="R1356" s="21" t="str">
        <f aca="false">IF(OR(J1356="",K1356=""),"",J1356*K1356)</f>
        <v/>
      </c>
      <c r="S1356" s="21" t="str">
        <f aca="false">IF(AND(ISNUMBER(J1356),ISNUMBER(K1356),F1356&lt;&gt;"Calentamiento",F1356&lt;&gt;"Bilbo"),IF(AND(K1356&gt;0,K1356&lt;=12),ROUND(J1356*(1+(K1356+IF(ISNUMBER(L1356),L1356,0))/30),1),""),"")</f>
        <v/>
      </c>
      <c r="T1356" s="21" t="str">
        <f aca="false">IF(AND(F1356="Bilbo",ISNUMBER(J1356),ISNUMBER(K1356)),ROUND(J1356*(1+K1356/30),1),"")</f>
        <v/>
      </c>
      <c r="W1356" s="22"/>
      <c r="X1356" s="21" t="str">
        <f aca="false">IF(AND(F1356="Bilbo",E1356&lt;&gt;"",G1356&lt;&gt;"",H1356&lt;&gt;""),E1356&amp;"|"&amp;G1356&amp;"|"&amp;H1356,"")</f>
        <v/>
      </c>
      <c r="Y1356" s="21" t="str">
        <f aca="false">IF(B1356="","",IF(B1356&lt;&gt;B1355,1,0))</f>
        <v/>
      </c>
    </row>
    <row r="1357" customFormat="false" ht="15" hidden="false" customHeight="true" outlineLevel="0" collapsed="false">
      <c r="A1357" s="21" t="str">
        <f aca="false">IF(B1357="","",ROW()-4)</f>
        <v/>
      </c>
      <c r="B1357" s="22"/>
      <c r="C1357" s="21" t="str">
        <f aca="false">IF(B1357="","",CHOOSE(WEEKDAY(B1357,2),"LUNES","MARTES","MIÉRCOLES","JUEVES","VIERNES","SÁBADO","DOMINGO"))</f>
        <v/>
      </c>
      <c r="M1357" s="23"/>
      <c r="Q1357" s="21" t="str">
        <f aca="false">IF(OR(K1357="",N1357=""),"",K1357-N1357)</f>
        <v/>
      </c>
      <c r="R1357" s="21" t="str">
        <f aca="false">IF(OR(J1357="",K1357=""),"",J1357*K1357)</f>
        <v/>
      </c>
      <c r="S1357" s="21" t="str">
        <f aca="false">IF(AND(ISNUMBER(J1357),ISNUMBER(K1357),F1357&lt;&gt;"Calentamiento",F1357&lt;&gt;"Bilbo"),IF(AND(K1357&gt;0,K1357&lt;=12),ROUND(J1357*(1+(K1357+IF(ISNUMBER(L1357),L1357,0))/30),1),""),"")</f>
        <v/>
      </c>
      <c r="T1357" s="21" t="str">
        <f aca="false">IF(AND(F1357="Bilbo",ISNUMBER(J1357),ISNUMBER(K1357)),ROUND(J1357*(1+K1357/30),1),"")</f>
        <v/>
      </c>
      <c r="W1357" s="22"/>
      <c r="X1357" s="21" t="str">
        <f aca="false">IF(AND(F1357="Bilbo",E1357&lt;&gt;"",G1357&lt;&gt;"",H1357&lt;&gt;""),E1357&amp;"|"&amp;G1357&amp;"|"&amp;H1357,"")</f>
        <v/>
      </c>
      <c r="Y1357" s="21" t="str">
        <f aca="false">IF(B1357="","",IF(B1357&lt;&gt;B1356,1,0))</f>
        <v/>
      </c>
    </row>
    <row r="1358" customFormat="false" ht="15" hidden="false" customHeight="true" outlineLevel="0" collapsed="false">
      <c r="A1358" s="21" t="str">
        <f aca="false">IF(B1358="","",ROW()-4)</f>
        <v/>
      </c>
      <c r="B1358" s="22"/>
      <c r="C1358" s="21" t="str">
        <f aca="false">IF(B1358="","",CHOOSE(WEEKDAY(B1358,2),"LUNES","MARTES","MIÉRCOLES","JUEVES","VIERNES","SÁBADO","DOMINGO"))</f>
        <v/>
      </c>
      <c r="M1358" s="23"/>
      <c r="Q1358" s="21" t="str">
        <f aca="false">IF(OR(K1358="",N1358=""),"",K1358-N1358)</f>
        <v/>
      </c>
      <c r="R1358" s="21" t="str">
        <f aca="false">IF(OR(J1358="",K1358=""),"",J1358*K1358)</f>
        <v/>
      </c>
      <c r="S1358" s="21" t="str">
        <f aca="false">IF(AND(ISNUMBER(J1358),ISNUMBER(K1358),F1358&lt;&gt;"Calentamiento",F1358&lt;&gt;"Bilbo"),IF(AND(K1358&gt;0,K1358&lt;=12),ROUND(J1358*(1+(K1358+IF(ISNUMBER(L1358),L1358,0))/30),1),""),"")</f>
        <v/>
      </c>
      <c r="T1358" s="21" t="str">
        <f aca="false">IF(AND(F1358="Bilbo",ISNUMBER(J1358),ISNUMBER(K1358)),ROUND(J1358*(1+K1358/30),1),"")</f>
        <v/>
      </c>
      <c r="W1358" s="22"/>
      <c r="X1358" s="21" t="str">
        <f aca="false">IF(AND(F1358="Bilbo",E1358&lt;&gt;"",G1358&lt;&gt;"",H1358&lt;&gt;""),E1358&amp;"|"&amp;G1358&amp;"|"&amp;H1358,"")</f>
        <v/>
      </c>
      <c r="Y1358" s="21" t="str">
        <f aca="false">IF(B1358="","",IF(B1358&lt;&gt;B1357,1,0))</f>
        <v/>
      </c>
    </row>
    <row r="1359" customFormat="false" ht="15" hidden="false" customHeight="true" outlineLevel="0" collapsed="false">
      <c r="A1359" s="21" t="str">
        <f aca="false">IF(B1359="","",ROW()-4)</f>
        <v/>
      </c>
      <c r="B1359" s="22"/>
      <c r="C1359" s="21" t="str">
        <f aca="false">IF(B1359="","",CHOOSE(WEEKDAY(B1359,2),"LUNES","MARTES","MIÉRCOLES","JUEVES","VIERNES","SÁBADO","DOMINGO"))</f>
        <v/>
      </c>
      <c r="M1359" s="23"/>
      <c r="Q1359" s="21" t="str">
        <f aca="false">IF(OR(K1359="",N1359=""),"",K1359-N1359)</f>
        <v/>
      </c>
      <c r="R1359" s="21" t="str">
        <f aca="false">IF(OR(J1359="",K1359=""),"",J1359*K1359)</f>
        <v/>
      </c>
      <c r="S1359" s="21" t="str">
        <f aca="false">IF(AND(ISNUMBER(J1359),ISNUMBER(K1359),F1359&lt;&gt;"Calentamiento",F1359&lt;&gt;"Bilbo"),IF(AND(K1359&gt;0,K1359&lt;=12),ROUND(J1359*(1+(K1359+IF(ISNUMBER(L1359),L1359,0))/30),1),""),"")</f>
        <v/>
      </c>
      <c r="T1359" s="21" t="str">
        <f aca="false">IF(AND(F1359="Bilbo",ISNUMBER(J1359),ISNUMBER(K1359)),ROUND(J1359*(1+K1359/30),1),"")</f>
        <v/>
      </c>
      <c r="W1359" s="22"/>
      <c r="X1359" s="21" t="str">
        <f aca="false">IF(AND(F1359="Bilbo",E1359&lt;&gt;"",G1359&lt;&gt;"",H1359&lt;&gt;""),E1359&amp;"|"&amp;G1359&amp;"|"&amp;H1359,"")</f>
        <v/>
      </c>
      <c r="Y1359" s="21" t="str">
        <f aca="false">IF(B1359="","",IF(B1359&lt;&gt;B1358,1,0))</f>
        <v/>
      </c>
    </row>
    <row r="1360" customFormat="false" ht="15" hidden="false" customHeight="true" outlineLevel="0" collapsed="false">
      <c r="A1360" s="21" t="str">
        <f aca="false">IF(B1360="","",ROW()-4)</f>
        <v/>
      </c>
      <c r="B1360" s="22"/>
      <c r="C1360" s="21" t="str">
        <f aca="false">IF(B1360="","",CHOOSE(WEEKDAY(B1360,2),"LUNES","MARTES","MIÉRCOLES","JUEVES","VIERNES","SÁBADO","DOMINGO"))</f>
        <v/>
      </c>
      <c r="M1360" s="23"/>
      <c r="Q1360" s="21" t="str">
        <f aca="false">IF(OR(K1360="",N1360=""),"",K1360-N1360)</f>
        <v/>
      </c>
      <c r="R1360" s="21" t="str">
        <f aca="false">IF(OR(J1360="",K1360=""),"",J1360*K1360)</f>
        <v/>
      </c>
      <c r="S1360" s="21" t="str">
        <f aca="false">IF(AND(ISNUMBER(J1360),ISNUMBER(K1360),F1360&lt;&gt;"Calentamiento",F1360&lt;&gt;"Bilbo"),IF(AND(K1360&gt;0,K1360&lt;=12),ROUND(J1360*(1+(K1360+IF(ISNUMBER(L1360),L1360,0))/30),1),""),"")</f>
        <v/>
      </c>
      <c r="T1360" s="21" t="str">
        <f aca="false">IF(AND(F1360="Bilbo",ISNUMBER(J1360),ISNUMBER(K1360)),ROUND(J1360*(1+K1360/30),1),"")</f>
        <v/>
      </c>
      <c r="W1360" s="22"/>
      <c r="X1360" s="21" t="str">
        <f aca="false">IF(AND(F1360="Bilbo",E1360&lt;&gt;"",G1360&lt;&gt;"",H1360&lt;&gt;""),E1360&amp;"|"&amp;G1360&amp;"|"&amp;H1360,"")</f>
        <v/>
      </c>
      <c r="Y1360" s="21" t="str">
        <f aca="false">IF(B1360="","",IF(B1360&lt;&gt;B1359,1,0))</f>
        <v/>
      </c>
    </row>
    <row r="1361" customFormat="false" ht="15" hidden="false" customHeight="true" outlineLevel="0" collapsed="false">
      <c r="A1361" s="21" t="str">
        <f aca="false">IF(B1361="","",ROW()-4)</f>
        <v/>
      </c>
      <c r="B1361" s="22"/>
      <c r="C1361" s="21" t="str">
        <f aca="false">IF(B1361="","",CHOOSE(WEEKDAY(B1361,2),"LUNES","MARTES","MIÉRCOLES","JUEVES","VIERNES","SÁBADO","DOMINGO"))</f>
        <v/>
      </c>
      <c r="M1361" s="23"/>
      <c r="Q1361" s="21" t="str">
        <f aca="false">IF(OR(K1361="",N1361=""),"",K1361-N1361)</f>
        <v/>
      </c>
      <c r="R1361" s="21" t="str">
        <f aca="false">IF(OR(J1361="",K1361=""),"",J1361*K1361)</f>
        <v/>
      </c>
      <c r="S1361" s="21" t="str">
        <f aca="false">IF(AND(ISNUMBER(J1361),ISNUMBER(K1361),F1361&lt;&gt;"Calentamiento",F1361&lt;&gt;"Bilbo"),IF(AND(K1361&gt;0,K1361&lt;=12),ROUND(J1361*(1+(K1361+IF(ISNUMBER(L1361),L1361,0))/30),1),""),"")</f>
        <v/>
      </c>
      <c r="T1361" s="21" t="str">
        <f aca="false">IF(AND(F1361="Bilbo",ISNUMBER(J1361),ISNUMBER(K1361)),ROUND(J1361*(1+K1361/30),1),"")</f>
        <v/>
      </c>
      <c r="W1361" s="22"/>
      <c r="X1361" s="21" t="str">
        <f aca="false">IF(AND(F1361="Bilbo",E1361&lt;&gt;"",G1361&lt;&gt;"",H1361&lt;&gt;""),E1361&amp;"|"&amp;G1361&amp;"|"&amp;H1361,"")</f>
        <v/>
      </c>
      <c r="Y1361" s="21" t="str">
        <f aca="false">IF(B1361="","",IF(B1361&lt;&gt;B1360,1,0))</f>
        <v/>
      </c>
    </row>
    <row r="1362" customFormat="false" ht="15" hidden="false" customHeight="true" outlineLevel="0" collapsed="false">
      <c r="A1362" s="21" t="str">
        <f aca="false">IF(B1362="","",ROW()-4)</f>
        <v/>
      </c>
      <c r="B1362" s="22"/>
      <c r="C1362" s="21" t="str">
        <f aca="false">IF(B1362="","",CHOOSE(WEEKDAY(B1362,2),"LUNES","MARTES","MIÉRCOLES","JUEVES","VIERNES","SÁBADO","DOMINGO"))</f>
        <v/>
      </c>
      <c r="M1362" s="23"/>
      <c r="Q1362" s="21" t="str">
        <f aca="false">IF(OR(K1362="",N1362=""),"",K1362-N1362)</f>
        <v/>
      </c>
      <c r="R1362" s="21" t="str">
        <f aca="false">IF(OR(J1362="",K1362=""),"",J1362*K1362)</f>
        <v/>
      </c>
      <c r="S1362" s="21" t="str">
        <f aca="false">IF(AND(ISNUMBER(J1362),ISNUMBER(K1362),F1362&lt;&gt;"Calentamiento",F1362&lt;&gt;"Bilbo"),IF(AND(K1362&gt;0,K1362&lt;=12),ROUND(J1362*(1+(K1362+IF(ISNUMBER(L1362),L1362,0))/30),1),""),"")</f>
        <v/>
      </c>
      <c r="T1362" s="21" t="str">
        <f aca="false">IF(AND(F1362="Bilbo",ISNUMBER(J1362),ISNUMBER(K1362)),ROUND(J1362*(1+K1362/30),1),"")</f>
        <v/>
      </c>
      <c r="W1362" s="22"/>
      <c r="X1362" s="21" t="str">
        <f aca="false">IF(AND(F1362="Bilbo",E1362&lt;&gt;"",G1362&lt;&gt;"",H1362&lt;&gt;""),E1362&amp;"|"&amp;G1362&amp;"|"&amp;H1362,"")</f>
        <v/>
      </c>
      <c r="Y1362" s="21" t="str">
        <f aca="false">IF(B1362="","",IF(B1362&lt;&gt;B1361,1,0))</f>
        <v/>
      </c>
    </row>
    <row r="1363" customFormat="false" ht="15" hidden="false" customHeight="true" outlineLevel="0" collapsed="false">
      <c r="A1363" s="21" t="str">
        <f aca="false">IF(B1363="","",ROW()-4)</f>
        <v/>
      </c>
      <c r="B1363" s="22"/>
      <c r="C1363" s="21" t="str">
        <f aca="false">IF(B1363="","",CHOOSE(WEEKDAY(B1363,2),"LUNES","MARTES","MIÉRCOLES","JUEVES","VIERNES","SÁBADO","DOMINGO"))</f>
        <v/>
      </c>
      <c r="M1363" s="23"/>
      <c r="Q1363" s="21" t="str">
        <f aca="false">IF(OR(K1363="",N1363=""),"",K1363-N1363)</f>
        <v/>
      </c>
      <c r="R1363" s="21" t="str">
        <f aca="false">IF(OR(J1363="",K1363=""),"",J1363*K1363)</f>
        <v/>
      </c>
      <c r="S1363" s="21" t="str">
        <f aca="false">IF(AND(ISNUMBER(J1363),ISNUMBER(K1363),F1363&lt;&gt;"Calentamiento",F1363&lt;&gt;"Bilbo"),IF(AND(K1363&gt;0,K1363&lt;=12),ROUND(J1363*(1+(K1363+IF(ISNUMBER(L1363),L1363,0))/30),1),""),"")</f>
        <v/>
      </c>
      <c r="T1363" s="21" t="str">
        <f aca="false">IF(AND(F1363="Bilbo",ISNUMBER(J1363),ISNUMBER(K1363)),ROUND(J1363*(1+K1363/30),1),"")</f>
        <v/>
      </c>
      <c r="W1363" s="22"/>
      <c r="X1363" s="21" t="str">
        <f aca="false">IF(AND(F1363="Bilbo",E1363&lt;&gt;"",G1363&lt;&gt;"",H1363&lt;&gt;""),E1363&amp;"|"&amp;G1363&amp;"|"&amp;H1363,"")</f>
        <v/>
      </c>
      <c r="Y1363" s="21" t="str">
        <f aca="false">IF(B1363="","",IF(B1363&lt;&gt;B1362,1,0))</f>
        <v/>
      </c>
    </row>
    <row r="1364" customFormat="false" ht="15" hidden="false" customHeight="true" outlineLevel="0" collapsed="false">
      <c r="A1364" s="21" t="str">
        <f aca="false">IF(B1364="","",ROW()-4)</f>
        <v/>
      </c>
      <c r="B1364" s="22"/>
      <c r="C1364" s="21" t="str">
        <f aca="false">IF(B1364="","",CHOOSE(WEEKDAY(B1364,2),"LUNES","MARTES","MIÉRCOLES","JUEVES","VIERNES","SÁBADO","DOMINGO"))</f>
        <v/>
      </c>
      <c r="M1364" s="23"/>
      <c r="Q1364" s="21" t="str">
        <f aca="false">IF(OR(K1364="",N1364=""),"",K1364-N1364)</f>
        <v/>
      </c>
      <c r="R1364" s="21" t="str">
        <f aca="false">IF(OR(J1364="",K1364=""),"",J1364*K1364)</f>
        <v/>
      </c>
      <c r="S1364" s="21" t="str">
        <f aca="false">IF(AND(ISNUMBER(J1364),ISNUMBER(K1364),F1364&lt;&gt;"Calentamiento",F1364&lt;&gt;"Bilbo"),IF(AND(K1364&gt;0,K1364&lt;=12),ROUND(J1364*(1+(K1364+IF(ISNUMBER(L1364),L1364,0))/30),1),""),"")</f>
        <v/>
      </c>
      <c r="T1364" s="21" t="str">
        <f aca="false">IF(AND(F1364="Bilbo",ISNUMBER(J1364),ISNUMBER(K1364)),ROUND(J1364*(1+K1364/30),1),"")</f>
        <v/>
      </c>
      <c r="W1364" s="22"/>
      <c r="X1364" s="21" t="str">
        <f aca="false">IF(AND(F1364="Bilbo",E1364&lt;&gt;"",G1364&lt;&gt;"",H1364&lt;&gt;""),E1364&amp;"|"&amp;G1364&amp;"|"&amp;H1364,"")</f>
        <v/>
      </c>
      <c r="Y1364" s="21" t="str">
        <f aca="false">IF(B1364="","",IF(B1364&lt;&gt;B1363,1,0))</f>
        <v/>
      </c>
    </row>
    <row r="1365" customFormat="false" ht="15" hidden="false" customHeight="true" outlineLevel="0" collapsed="false">
      <c r="A1365" s="21" t="str">
        <f aca="false">IF(B1365="","",ROW()-4)</f>
        <v/>
      </c>
      <c r="B1365" s="22"/>
      <c r="C1365" s="21" t="str">
        <f aca="false">IF(B1365="","",CHOOSE(WEEKDAY(B1365,2),"LUNES","MARTES","MIÉRCOLES","JUEVES","VIERNES","SÁBADO","DOMINGO"))</f>
        <v/>
      </c>
      <c r="M1365" s="23"/>
      <c r="Q1365" s="21" t="str">
        <f aca="false">IF(OR(K1365="",N1365=""),"",K1365-N1365)</f>
        <v/>
      </c>
      <c r="R1365" s="21" t="str">
        <f aca="false">IF(OR(J1365="",K1365=""),"",J1365*K1365)</f>
        <v/>
      </c>
      <c r="S1365" s="21" t="str">
        <f aca="false">IF(AND(ISNUMBER(J1365),ISNUMBER(K1365),F1365&lt;&gt;"Calentamiento",F1365&lt;&gt;"Bilbo"),IF(AND(K1365&gt;0,K1365&lt;=12),ROUND(J1365*(1+(K1365+IF(ISNUMBER(L1365),L1365,0))/30),1),""),"")</f>
        <v/>
      </c>
      <c r="T1365" s="21" t="str">
        <f aca="false">IF(AND(F1365="Bilbo",ISNUMBER(J1365),ISNUMBER(K1365)),ROUND(J1365*(1+K1365/30),1),"")</f>
        <v/>
      </c>
      <c r="W1365" s="22"/>
      <c r="X1365" s="21" t="str">
        <f aca="false">IF(AND(F1365="Bilbo",E1365&lt;&gt;"",G1365&lt;&gt;"",H1365&lt;&gt;""),E1365&amp;"|"&amp;G1365&amp;"|"&amp;H1365,"")</f>
        <v/>
      </c>
      <c r="Y1365" s="21" t="str">
        <f aca="false">IF(B1365="","",IF(B1365&lt;&gt;B1364,1,0))</f>
        <v/>
      </c>
    </row>
    <row r="1366" customFormat="false" ht="15" hidden="false" customHeight="true" outlineLevel="0" collapsed="false">
      <c r="A1366" s="21" t="str">
        <f aca="false">IF(B1366="","",ROW()-4)</f>
        <v/>
      </c>
      <c r="B1366" s="22"/>
      <c r="C1366" s="21" t="str">
        <f aca="false">IF(B1366="","",CHOOSE(WEEKDAY(B1366,2),"LUNES","MARTES","MIÉRCOLES","JUEVES","VIERNES","SÁBADO","DOMINGO"))</f>
        <v/>
      </c>
      <c r="M1366" s="23"/>
      <c r="Q1366" s="21" t="str">
        <f aca="false">IF(OR(K1366="",N1366=""),"",K1366-N1366)</f>
        <v/>
      </c>
      <c r="R1366" s="21" t="str">
        <f aca="false">IF(OR(J1366="",K1366=""),"",J1366*K1366)</f>
        <v/>
      </c>
      <c r="S1366" s="21" t="str">
        <f aca="false">IF(AND(ISNUMBER(J1366),ISNUMBER(K1366),F1366&lt;&gt;"Calentamiento",F1366&lt;&gt;"Bilbo"),IF(AND(K1366&gt;0,K1366&lt;=12),ROUND(J1366*(1+(K1366+IF(ISNUMBER(L1366),L1366,0))/30),1),""),"")</f>
        <v/>
      </c>
      <c r="T1366" s="21" t="str">
        <f aca="false">IF(AND(F1366="Bilbo",ISNUMBER(J1366),ISNUMBER(K1366)),ROUND(J1366*(1+K1366/30),1),"")</f>
        <v/>
      </c>
      <c r="W1366" s="22"/>
      <c r="X1366" s="21" t="str">
        <f aca="false">IF(AND(F1366="Bilbo",E1366&lt;&gt;"",G1366&lt;&gt;"",H1366&lt;&gt;""),E1366&amp;"|"&amp;G1366&amp;"|"&amp;H1366,"")</f>
        <v/>
      </c>
      <c r="Y1366" s="21" t="str">
        <f aca="false">IF(B1366="","",IF(B1366&lt;&gt;B1365,1,0))</f>
        <v/>
      </c>
    </row>
    <row r="1367" customFormat="false" ht="15" hidden="false" customHeight="true" outlineLevel="0" collapsed="false">
      <c r="A1367" s="21" t="str">
        <f aca="false">IF(B1367="","",ROW()-4)</f>
        <v/>
      </c>
      <c r="B1367" s="22"/>
      <c r="C1367" s="21" t="str">
        <f aca="false">IF(B1367="","",CHOOSE(WEEKDAY(B1367,2),"LUNES","MARTES","MIÉRCOLES","JUEVES","VIERNES","SÁBADO","DOMINGO"))</f>
        <v/>
      </c>
      <c r="M1367" s="23"/>
      <c r="Q1367" s="21" t="str">
        <f aca="false">IF(OR(K1367="",N1367=""),"",K1367-N1367)</f>
        <v/>
      </c>
      <c r="R1367" s="21" t="str">
        <f aca="false">IF(OR(J1367="",K1367=""),"",J1367*K1367)</f>
        <v/>
      </c>
      <c r="S1367" s="21" t="str">
        <f aca="false">IF(AND(ISNUMBER(J1367),ISNUMBER(K1367),F1367&lt;&gt;"Calentamiento",F1367&lt;&gt;"Bilbo"),IF(AND(K1367&gt;0,K1367&lt;=12),ROUND(J1367*(1+(K1367+IF(ISNUMBER(L1367),L1367,0))/30),1),""),"")</f>
        <v/>
      </c>
      <c r="T1367" s="21" t="str">
        <f aca="false">IF(AND(F1367="Bilbo",ISNUMBER(J1367),ISNUMBER(K1367)),ROUND(J1367*(1+K1367/30),1),"")</f>
        <v/>
      </c>
      <c r="W1367" s="22"/>
      <c r="X1367" s="21" t="str">
        <f aca="false">IF(AND(F1367="Bilbo",E1367&lt;&gt;"",G1367&lt;&gt;"",H1367&lt;&gt;""),E1367&amp;"|"&amp;G1367&amp;"|"&amp;H1367,"")</f>
        <v/>
      </c>
      <c r="Y1367" s="21" t="str">
        <f aca="false">IF(B1367="","",IF(B1367&lt;&gt;B1366,1,0))</f>
        <v/>
      </c>
    </row>
    <row r="1368" customFormat="false" ht="15" hidden="false" customHeight="true" outlineLevel="0" collapsed="false">
      <c r="A1368" s="21" t="str">
        <f aca="false">IF(B1368="","",ROW()-4)</f>
        <v/>
      </c>
      <c r="B1368" s="22"/>
      <c r="C1368" s="21" t="str">
        <f aca="false">IF(B1368="","",CHOOSE(WEEKDAY(B1368,2),"LUNES","MARTES","MIÉRCOLES","JUEVES","VIERNES","SÁBADO","DOMINGO"))</f>
        <v/>
      </c>
      <c r="M1368" s="23"/>
      <c r="Q1368" s="21" t="str">
        <f aca="false">IF(OR(K1368="",N1368=""),"",K1368-N1368)</f>
        <v/>
      </c>
      <c r="R1368" s="21" t="str">
        <f aca="false">IF(OR(J1368="",K1368=""),"",J1368*K1368)</f>
        <v/>
      </c>
      <c r="S1368" s="21" t="str">
        <f aca="false">IF(AND(ISNUMBER(J1368),ISNUMBER(K1368),F1368&lt;&gt;"Calentamiento",F1368&lt;&gt;"Bilbo"),IF(AND(K1368&gt;0,K1368&lt;=12),ROUND(J1368*(1+(K1368+IF(ISNUMBER(L1368),L1368,0))/30),1),""),"")</f>
        <v/>
      </c>
      <c r="T1368" s="21" t="str">
        <f aca="false">IF(AND(F1368="Bilbo",ISNUMBER(J1368),ISNUMBER(K1368)),ROUND(J1368*(1+K1368/30),1),"")</f>
        <v/>
      </c>
      <c r="W1368" s="22"/>
      <c r="X1368" s="21" t="str">
        <f aca="false">IF(AND(F1368="Bilbo",E1368&lt;&gt;"",G1368&lt;&gt;"",H1368&lt;&gt;""),E1368&amp;"|"&amp;G1368&amp;"|"&amp;H1368,"")</f>
        <v/>
      </c>
      <c r="Y1368" s="21" t="str">
        <f aca="false">IF(B1368="","",IF(B1368&lt;&gt;B1367,1,0))</f>
        <v/>
      </c>
    </row>
    <row r="1369" customFormat="false" ht="15" hidden="false" customHeight="true" outlineLevel="0" collapsed="false">
      <c r="A1369" s="21" t="str">
        <f aca="false">IF(B1369="","",ROW()-4)</f>
        <v/>
      </c>
      <c r="B1369" s="22"/>
      <c r="C1369" s="21" t="str">
        <f aca="false">IF(B1369="","",CHOOSE(WEEKDAY(B1369,2),"LUNES","MARTES","MIÉRCOLES","JUEVES","VIERNES","SÁBADO","DOMINGO"))</f>
        <v/>
      </c>
      <c r="M1369" s="23"/>
      <c r="Q1369" s="21" t="str">
        <f aca="false">IF(OR(K1369="",N1369=""),"",K1369-N1369)</f>
        <v/>
      </c>
      <c r="R1369" s="21" t="str">
        <f aca="false">IF(OR(J1369="",K1369=""),"",J1369*K1369)</f>
        <v/>
      </c>
      <c r="S1369" s="21" t="str">
        <f aca="false">IF(AND(ISNUMBER(J1369),ISNUMBER(K1369),F1369&lt;&gt;"Calentamiento",F1369&lt;&gt;"Bilbo"),IF(AND(K1369&gt;0,K1369&lt;=12),ROUND(J1369*(1+(K1369+IF(ISNUMBER(L1369),L1369,0))/30),1),""),"")</f>
        <v/>
      </c>
      <c r="T1369" s="21" t="str">
        <f aca="false">IF(AND(F1369="Bilbo",ISNUMBER(J1369),ISNUMBER(K1369)),ROUND(J1369*(1+K1369/30),1),"")</f>
        <v/>
      </c>
      <c r="W1369" s="22"/>
      <c r="X1369" s="21" t="str">
        <f aca="false">IF(AND(F1369="Bilbo",E1369&lt;&gt;"",G1369&lt;&gt;"",H1369&lt;&gt;""),E1369&amp;"|"&amp;G1369&amp;"|"&amp;H1369,"")</f>
        <v/>
      </c>
      <c r="Y1369" s="21" t="str">
        <f aca="false">IF(B1369="","",IF(B1369&lt;&gt;B1368,1,0))</f>
        <v/>
      </c>
    </row>
    <row r="1370" customFormat="false" ht="15" hidden="false" customHeight="true" outlineLevel="0" collapsed="false">
      <c r="A1370" s="21" t="str">
        <f aca="false">IF(B1370="","",ROW()-4)</f>
        <v/>
      </c>
      <c r="B1370" s="22"/>
      <c r="C1370" s="21" t="str">
        <f aca="false">IF(B1370="","",CHOOSE(WEEKDAY(B1370,2),"LUNES","MARTES","MIÉRCOLES","JUEVES","VIERNES","SÁBADO","DOMINGO"))</f>
        <v/>
      </c>
      <c r="M1370" s="23"/>
      <c r="Q1370" s="21" t="str">
        <f aca="false">IF(OR(K1370="",N1370=""),"",K1370-N1370)</f>
        <v/>
      </c>
      <c r="R1370" s="21" t="str">
        <f aca="false">IF(OR(J1370="",K1370=""),"",J1370*K1370)</f>
        <v/>
      </c>
      <c r="S1370" s="21" t="str">
        <f aca="false">IF(AND(ISNUMBER(J1370),ISNUMBER(K1370),F1370&lt;&gt;"Calentamiento",F1370&lt;&gt;"Bilbo"),IF(AND(K1370&gt;0,K1370&lt;=12),ROUND(J1370*(1+(K1370+IF(ISNUMBER(L1370),L1370,0))/30),1),""),"")</f>
        <v/>
      </c>
      <c r="T1370" s="21" t="str">
        <f aca="false">IF(AND(F1370="Bilbo",ISNUMBER(J1370),ISNUMBER(K1370)),ROUND(J1370*(1+K1370/30),1),"")</f>
        <v/>
      </c>
      <c r="W1370" s="22"/>
      <c r="X1370" s="21" t="str">
        <f aca="false">IF(AND(F1370="Bilbo",E1370&lt;&gt;"",G1370&lt;&gt;"",H1370&lt;&gt;""),E1370&amp;"|"&amp;G1370&amp;"|"&amp;H1370,"")</f>
        <v/>
      </c>
      <c r="Y1370" s="21" t="str">
        <f aca="false">IF(B1370="","",IF(B1370&lt;&gt;B1369,1,0))</f>
        <v/>
      </c>
    </row>
    <row r="1371" customFormat="false" ht="15" hidden="false" customHeight="true" outlineLevel="0" collapsed="false">
      <c r="A1371" s="21" t="str">
        <f aca="false">IF(B1371="","",ROW()-4)</f>
        <v/>
      </c>
      <c r="B1371" s="22"/>
      <c r="C1371" s="21" t="str">
        <f aca="false">IF(B1371="","",CHOOSE(WEEKDAY(B1371,2),"LUNES","MARTES","MIÉRCOLES","JUEVES","VIERNES","SÁBADO","DOMINGO"))</f>
        <v/>
      </c>
      <c r="M1371" s="23"/>
      <c r="Q1371" s="21" t="str">
        <f aca="false">IF(OR(K1371="",N1371=""),"",K1371-N1371)</f>
        <v/>
      </c>
      <c r="R1371" s="21" t="str">
        <f aca="false">IF(OR(J1371="",K1371=""),"",J1371*K1371)</f>
        <v/>
      </c>
      <c r="S1371" s="21" t="str">
        <f aca="false">IF(AND(ISNUMBER(J1371),ISNUMBER(K1371),F1371&lt;&gt;"Calentamiento",F1371&lt;&gt;"Bilbo"),IF(AND(K1371&gt;0,K1371&lt;=12),ROUND(J1371*(1+(K1371+IF(ISNUMBER(L1371),L1371,0))/30),1),""),"")</f>
        <v/>
      </c>
      <c r="T1371" s="21" t="str">
        <f aca="false">IF(AND(F1371="Bilbo",ISNUMBER(J1371),ISNUMBER(K1371)),ROUND(J1371*(1+K1371/30),1),"")</f>
        <v/>
      </c>
      <c r="W1371" s="22"/>
      <c r="X1371" s="21" t="str">
        <f aca="false">IF(AND(F1371="Bilbo",E1371&lt;&gt;"",G1371&lt;&gt;"",H1371&lt;&gt;""),E1371&amp;"|"&amp;G1371&amp;"|"&amp;H1371,"")</f>
        <v/>
      </c>
      <c r="Y1371" s="21" t="str">
        <f aca="false">IF(B1371="","",IF(B1371&lt;&gt;B1370,1,0))</f>
        <v/>
      </c>
    </row>
    <row r="1372" customFormat="false" ht="15" hidden="false" customHeight="true" outlineLevel="0" collapsed="false">
      <c r="A1372" s="21" t="str">
        <f aca="false">IF(B1372="","",ROW()-4)</f>
        <v/>
      </c>
      <c r="B1372" s="22"/>
      <c r="C1372" s="21" t="str">
        <f aca="false">IF(B1372="","",CHOOSE(WEEKDAY(B1372,2),"LUNES","MARTES","MIÉRCOLES","JUEVES","VIERNES","SÁBADO","DOMINGO"))</f>
        <v/>
      </c>
      <c r="M1372" s="23"/>
      <c r="Q1372" s="21" t="str">
        <f aca="false">IF(OR(K1372="",N1372=""),"",K1372-N1372)</f>
        <v/>
      </c>
      <c r="R1372" s="21" t="str">
        <f aca="false">IF(OR(J1372="",K1372=""),"",J1372*K1372)</f>
        <v/>
      </c>
      <c r="S1372" s="21" t="str">
        <f aca="false">IF(AND(ISNUMBER(J1372),ISNUMBER(K1372),F1372&lt;&gt;"Calentamiento",F1372&lt;&gt;"Bilbo"),IF(AND(K1372&gt;0,K1372&lt;=12),ROUND(J1372*(1+(K1372+IF(ISNUMBER(L1372),L1372,0))/30),1),""),"")</f>
        <v/>
      </c>
      <c r="T1372" s="21" t="str">
        <f aca="false">IF(AND(F1372="Bilbo",ISNUMBER(J1372),ISNUMBER(K1372)),ROUND(J1372*(1+K1372/30),1),"")</f>
        <v/>
      </c>
      <c r="W1372" s="22"/>
      <c r="X1372" s="21" t="str">
        <f aca="false">IF(AND(F1372="Bilbo",E1372&lt;&gt;"",G1372&lt;&gt;"",H1372&lt;&gt;""),E1372&amp;"|"&amp;G1372&amp;"|"&amp;H1372,"")</f>
        <v/>
      </c>
      <c r="Y1372" s="21" t="str">
        <f aca="false">IF(B1372="","",IF(B1372&lt;&gt;B1371,1,0))</f>
        <v/>
      </c>
    </row>
    <row r="1373" customFormat="false" ht="15" hidden="false" customHeight="true" outlineLevel="0" collapsed="false">
      <c r="A1373" s="21" t="str">
        <f aca="false">IF(B1373="","",ROW()-4)</f>
        <v/>
      </c>
      <c r="B1373" s="22"/>
      <c r="C1373" s="21" t="str">
        <f aca="false">IF(B1373="","",CHOOSE(WEEKDAY(B1373,2),"LUNES","MARTES","MIÉRCOLES","JUEVES","VIERNES","SÁBADO","DOMINGO"))</f>
        <v/>
      </c>
      <c r="M1373" s="23"/>
      <c r="Q1373" s="21" t="str">
        <f aca="false">IF(OR(K1373="",N1373=""),"",K1373-N1373)</f>
        <v/>
      </c>
      <c r="R1373" s="21" t="str">
        <f aca="false">IF(OR(J1373="",K1373=""),"",J1373*K1373)</f>
        <v/>
      </c>
      <c r="S1373" s="21" t="str">
        <f aca="false">IF(AND(ISNUMBER(J1373),ISNUMBER(K1373),F1373&lt;&gt;"Calentamiento",F1373&lt;&gt;"Bilbo"),IF(AND(K1373&gt;0,K1373&lt;=12),ROUND(J1373*(1+(K1373+IF(ISNUMBER(L1373),L1373,0))/30),1),""),"")</f>
        <v/>
      </c>
      <c r="T1373" s="21" t="str">
        <f aca="false">IF(AND(F1373="Bilbo",ISNUMBER(J1373),ISNUMBER(K1373)),ROUND(J1373*(1+K1373/30),1),"")</f>
        <v/>
      </c>
      <c r="W1373" s="22"/>
      <c r="X1373" s="21" t="str">
        <f aca="false">IF(AND(F1373="Bilbo",E1373&lt;&gt;"",G1373&lt;&gt;"",H1373&lt;&gt;""),E1373&amp;"|"&amp;G1373&amp;"|"&amp;H1373,"")</f>
        <v/>
      </c>
      <c r="Y1373" s="21" t="str">
        <f aca="false">IF(B1373="","",IF(B1373&lt;&gt;B1372,1,0))</f>
        <v/>
      </c>
    </row>
    <row r="1374" customFormat="false" ht="15" hidden="false" customHeight="true" outlineLevel="0" collapsed="false">
      <c r="A1374" s="21" t="str">
        <f aca="false">IF(B1374="","",ROW()-4)</f>
        <v/>
      </c>
      <c r="B1374" s="22"/>
      <c r="C1374" s="21" t="str">
        <f aca="false">IF(B1374="","",CHOOSE(WEEKDAY(B1374,2),"LUNES","MARTES","MIÉRCOLES","JUEVES","VIERNES","SÁBADO","DOMINGO"))</f>
        <v/>
      </c>
      <c r="M1374" s="23"/>
      <c r="Q1374" s="21" t="str">
        <f aca="false">IF(OR(K1374="",N1374=""),"",K1374-N1374)</f>
        <v/>
      </c>
      <c r="R1374" s="21" t="str">
        <f aca="false">IF(OR(J1374="",K1374=""),"",J1374*K1374)</f>
        <v/>
      </c>
      <c r="S1374" s="21" t="str">
        <f aca="false">IF(AND(ISNUMBER(J1374),ISNUMBER(K1374),F1374&lt;&gt;"Calentamiento",F1374&lt;&gt;"Bilbo"),IF(AND(K1374&gt;0,K1374&lt;=12),ROUND(J1374*(1+(K1374+IF(ISNUMBER(L1374),L1374,0))/30),1),""),"")</f>
        <v/>
      </c>
      <c r="T1374" s="21" t="str">
        <f aca="false">IF(AND(F1374="Bilbo",ISNUMBER(J1374),ISNUMBER(K1374)),ROUND(J1374*(1+K1374/30),1),"")</f>
        <v/>
      </c>
      <c r="W1374" s="22"/>
      <c r="X1374" s="21" t="str">
        <f aca="false">IF(AND(F1374="Bilbo",E1374&lt;&gt;"",G1374&lt;&gt;"",H1374&lt;&gt;""),E1374&amp;"|"&amp;G1374&amp;"|"&amp;H1374,"")</f>
        <v/>
      </c>
      <c r="Y1374" s="21" t="str">
        <f aca="false">IF(B1374="","",IF(B1374&lt;&gt;B1373,1,0))</f>
        <v/>
      </c>
    </row>
    <row r="1375" customFormat="false" ht="15" hidden="false" customHeight="true" outlineLevel="0" collapsed="false">
      <c r="A1375" s="21" t="str">
        <f aca="false">IF(B1375="","",ROW()-4)</f>
        <v/>
      </c>
      <c r="B1375" s="22"/>
      <c r="C1375" s="21" t="str">
        <f aca="false">IF(B1375="","",CHOOSE(WEEKDAY(B1375,2),"LUNES","MARTES","MIÉRCOLES","JUEVES","VIERNES","SÁBADO","DOMINGO"))</f>
        <v/>
      </c>
      <c r="M1375" s="23"/>
      <c r="Q1375" s="21" t="str">
        <f aca="false">IF(OR(K1375="",N1375=""),"",K1375-N1375)</f>
        <v/>
      </c>
      <c r="R1375" s="21" t="str">
        <f aca="false">IF(OR(J1375="",K1375=""),"",J1375*K1375)</f>
        <v/>
      </c>
      <c r="S1375" s="21" t="str">
        <f aca="false">IF(AND(ISNUMBER(J1375),ISNUMBER(K1375),F1375&lt;&gt;"Calentamiento",F1375&lt;&gt;"Bilbo"),IF(AND(K1375&gt;0,K1375&lt;=12),ROUND(J1375*(1+(K1375+IF(ISNUMBER(L1375),L1375,0))/30),1),""),"")</f>
        <v/>
      </c>
      <c r="T1375" s="21" t="str">
        <f aca="false">IF(AND(F1375="Bilbo",ISNUMBER(J1375),ISNUMBER(K1375)),ROUND(J1375*(1+K1375/30),1),"")</f>
        <v/>
      </c>
      <c r="W1375" s="22"/>
      <c r="X1375" s="21" t="str">
        <f aca="false">IF(AND(F1375="Bilbo",E1375&lt;&gt;"",G1375&lt;&gt;"",H1375&lt;&gt;""),E1375&amp;"|"&amp;G1375&amp;"|"&amp;H1375,"")</f>
        <v/>
      </c>
      <c r="Y1375" s="21" t="str">
        <f aca="false">IF(B1375="","",IF(B1375&lt;&gt;B1374,1,0))</f>
        <v/>
      </c>
    </row>
    <row r="1376" customFormat="false" ht="15" hidden="false" customHeight="true" outlineLevel="0" collapsed="false">
      <c r="A1376" s="21" t="str">
        <f aca="false">IF(B1376="","",ROW()-4)</f>
        <v/>
      </c>
      <c r="B1376" s="22"/>
      <c r="C1376" s="21" t="str">
        <f aca="false">IF(B1376="","",CHOOSE(WEEKDAY(B1376,2),"LUNES","MARTES","MIÉRCOLES","JUEVES","VIERNES","SÁBADO","DOMINGO"))</f>
        <v/>
      </c>
      <c r="M1376" s="23"/>
      <c r="Q1376" s="21" t="str">
        <f aca="false">IF(OR(K1376="",N1376=""),"",K1376-N1376)</f>
        <v/>
      </c>
      <c r="R1376" s="21" t="str">
        <f aca="false">IF(OR(J1376="",K1376=""),"",J1376*K1376)</f>
        <v/>
      </c>
      <c r="S1376" s="21" t="str">
        <f aca="false">IF(AND(ISNUMBER(J1376),ISNUMBER(K1376),F1376&lt;&gt;"Calentamiento",F1376&lt;&gt;"Bilbo"),IF(AND(K1376&gt;0,K1376&lt;=12),ROUND(J1376*(1+(K1376+IF(ISNUMBER(L1376),L1376,0))/30),1),""),"")</f>
        <v/>
      </c>
      <c r="T1376" s="21" t="str">
        <f aca="false">IF(AND(F1376="Bilbo",ISNUMBER(J1376),ISNUMBER(K1376)),ROUND(J1376*(1+K1376/30),1),"")</f>
        <v/>
      </c>
      <c r="W1376" s="22"/>
      <c r="X1376" s="21" t="str">
        <f aca="false">IF(AND(F1376="Bilbo",E1376&lt;&gt;"",G1376&lt;&gt;"",H1376&lt;&gt;""),E1376&amp;"|"&amp;G1376&amp;"|"&amp;H1376,"")</f>
        <v/>
      </c>
      <c r="Y1376" s="21" t="str">
        <f aca="false">IF(B1376="","",IF(B1376&lt;&gt;B1375,1,0))</f>
        <v/>
      </c>
    </row>
    <row r="1377" customFormat="false" ht="15" hidden="false" customHeight="true" outlineLevel="0" collapsed="false">
      <c r="A1377" s="21" t="str">
        <f aca="false">IF(B1377="","",ROW()-4)</f>
        <v/>
      </c>
      <c r="B1377" s="22"/>
      <c r="C1377" s="21" t="str">
        <f aca="false">IF(B1377="","",CHOOSE(WEEKDAY(B1377,2),"LUNES","MARTES","MIÉRCOLES","JUEVES","VIERNES","SÁBADO","DOMINGO"))</f>
        <v/>
      </c>
      <c r="M1377" s="23"/>
      <c r="Q1377" s="21" t="str">
        <f aca="false">IF(OR(K1377="",N1377=""),"",K1377-N1377)</f>
        <v/>
      </c>
      <c r="R1377" s="21" t="str">
        <f aca="false">IF(OR(J1377="",K1377=""),"",J1377*K1377)</f>
        <v/>
      </c>
      <c r="S1377" s="21" t="str">
        <f aca="false">IF(AND(ISNUMBER(J1377),ISNUMBER(K1377),F1377&lt;&gt;"Calentamiento",F1377&lt;&gt;"Bilbo"),IF(AND(K1377&gt;0,K1377&lt;=12),ROUND(J1377*(1+(K1377+IF(ISNUMBER(L1377),L1377,0))/30),1),""),"")</f>
        <v/>
      </c>
      <c r="T1377" s="21" t="str">
        <f aca="false">IF(AND(F1377="Bilbo",ISNUMBER(J1377),ISNUMBER(K1377)),ROUND(J1377*(1+K1377/30),1),"")</f>
        <v/>
      </c>
      <c r="W1377" s="22"/>
      <c r="X1377" s="21" t="str">
        <f aca="false">IF(AND(F1377="Bilbo",E1377&lt;&gt;"",G1377&lt;&gt;"",H1377&lt;&gt;""),E1377&amp;"|"&amp;G1377&amp;"|"&amp;H1377,"")</f>
        <v/>
      </c>
      <c r="Y1377" s="21" t="str">
        <f aca="false">IF(B1377="","",IF(B1377&lt;&gt;B1376,1,0))</f>
        <v/>
      </c>
    </row>
    <row r="1378" customFormat="false" ht="15" hidden="false" customHeight="true" outlineLevel="0" collapsed="false">
      <c r="A1378" s="21" t="str">
        <f aca="false">IF(B1378="","",ROW()-4)</f>
        <v/>
      </c>
      <c r="B1378" s="22"/>
      <c r="C1378" s="21" t="str">
        <f aca="false">IF(B1378="","",CHOOSE(WEEKDAY(B1378,2),"LUNES","MARTES","MIÉRCOLES","JUEVES","VIERNES","SÁBADO","DOMINGO"))</f>
        <v/>
      </c>
      <c r="M1378" s="23"/>
      <c r="Q1378" s="21" t="str">
        <f aca="false">IF(OR(K1378="",N1378=""),"",K1378-N1378)</f>
        <v/>
      </c>
      <c r="R1378" s="21" t="str">
        <f aca="false">IF(OR(J1378="",K1378=""),"",J1378*K1378)</f>
        <v/>
      </c>
      <c r="S1378" s="21" t="str">
        <f aca="false">IF(AND(ISNUMBER(J1378),ISNUMBER(K1378),F1378&lt;&gt;"Calentamiento",F1378&lt;&gt;"Bilbo"),IF(AND(K1378&gt;0,K1378&lt;=12),ROUND(J1378*(1+(K1378+IF(ISNUMBER(L1378),L1378,0))/30),1),""),"")</f>
        <v/>
      </c>
      <c r="T1378" s="21" t="str">
        <f aca="false">IF(AND(F1378="Bilbo",ISNUMBER(J1378),ISNUMBER(K1378)),ROUND(J1378*(1+K1378/30),1),"")</f>
        <v/>
      </c>
      <c r="W1378" s="22"/>
      <c r="X1378" s="21" t="str">
        <f aca="false">IF(AND(F1378="Bilbo",E1378&lt;&gt;"",G1378&lt;&gt;"",H1378&lt;&gt;""),E1378&amp;"|"&amp;G1378&amp;"|"&amp;H1378,"")</f>
        <v/>
      </c>
      <c r="Y1378" s="21" t="str">
        <f aca="false">IF(B1378="","",IF(B1378&lt;&gt;B1377,1,0))</f>
        <v/>
      </c>
    </row>
    <row r="1379" customFormat="false" ht="15" hidden="false" customHeight="true" outlineLevel="0" collapsed="false">
      <c r="A1379" s="21" t="str">
        <f aca="false">IF(B1379="","",ROW()-4)</f>
        <v/>
      </c>
      <c r="B1379" s="22"/>
      <c r="C1379" s="21" t="str">
        <f aca="false">IF(B1379="","",CHOOSE(WEEKDAY(B1379,2),"LUNES","MARTES","MIÉRCOLES","JUEVES","VIERNES","SÁBADO","DOMINGO"))</f>
        <v/>
      </c>
      <c r="M1379" s="23"/>
      <c r="Q1379" s="21" t="str">
        <f aca="false">IF(OR(K1379="",N1379=""),"",K1379-N1379)</f>
        <v/>
      </c>
      <c r="R1379" s="21" t="str">
        <f aca="false">IF(OR(J1379="",K1379=""),"",J1379*K1379)</f>
        <v/>
      </c>
      <c r="S1379" s="21" t="str">
        <f aca="false">IF(AND(ISNUMBER(J1379),ISNUMBER(K1379),F1379&lt;&gt;"Calentamiento",F1379&lt;&gt;"Bilbo"),IF(AND(K1379&gt;0,K1379&lt;=12),ROUND(J1379*(1+(K1379+IF(ISNUMBER(L1379),L1379,0))/30),1),""),"")</f>
        <v/>
      </c>
      <c r="T1379" s="21" t="str">
        <f aca="false">IF(AND(F1379="Bilbo",ISNUMBER(J1379),ISNUMBER(K1379)),ROUND(J1379*(1+K1379/30),1),"")</f>
        <v/>
      </c>
      <c r="W1379" s="22"/>
      <c r="X1379" s="21" t="str">
        <f aca="false">IF(AND(F1379="Bilbo",E1379&lt;&gt;"",G1379&lt;&gt;"",H1379&lt;&gt;""),E1379&amp;"|"&amp;G1379&amp;"|"&amp;H1379,"")</f>
        <v/>
      </c>
      <c r="Y1379" s="21" t="str">
        <f aca="false">IF(B1379="","",IF(B1379&lt;&gt;B1378,1,0))</f>
        <v/>
      </c>
    </row>
    <row r="1380" customFormat="false" ht="15" hidden="false" customHeight="true" outlineLevel="0" collapsed="false">
      <c r="A1380" s="21" t="str">
        <f aca="false">IF(B1380="","",ROW()-4)</f>
        <v/>
      </c>
      <c r="B1380" s="22"/>
      <c r="C1380" s="21" t="str">
        <f aca="false">IF(B1380="","",CHOOSE(WEEKDAY(B1380,2),"LUNES","MARTES","MIÉRCOLES","JUEVES","VIERNES","SÁBADO","DOMINGO"))</f>
        <v/>
      </c>
      <c r="M1380" s="23"/>
      <c r="Q1380" s="21" t="str">
        <f aca="false">IF(OR(K1380="",N1380=""),"",K1380-N1380)</f>
        <v/>
      </c>
      <c r="R1380" s="21" t="str">
        <f aca="false">IF(OR(J1380="",K1380=""),"",J1380*K1380)</f>
        <v/>
      </c>
      <c r="S1380" s="21" t="str">
        <f aca="false">IF(AND(ISNUMBER(J1380),ISNUMBER(K1380),F1380&lt;&gt;"Calentamiento",F1380&lt;&gt;"Bilbo"),IF(AND(K1380&gt;0,K1380&lt;=12),ROUND(J1380*(1+(K1380+IF(ISNUMBER(L1380),L1380,0))/30),1),""),"")</f>
        <v/>
      </c>
      <c r="T1380" s="21" t="str">
        <f aca="false">IF(AND(F1380="Bilbo",ISNUMBER(J1380),ISNUMBER(K1380)),ROUND(J1380*(1+K1380/30),1),"")</f>
        <v/>
      </c>
      <c r="W1380" s="22"/>
      <c r="X1380" s="21" t="str">
        <f aca="false">IF(AND(F1380="Bilbo",E1380&lt;&gt;"",G1380&lt;&gt;"",H1380&lt;&gt;""),E1380&amp;"|"&amp;G1380&amp;"|"&amp;H1380,"")</f>
        <v/>
      </c>
      <c r="Y1380" s="21" t="str">
        <f aca="false">IF(B1380="","",IF(B1380&lt;&gt;B1379,1,0))</f>
        <v/>
      </c>
    </row>
    <row r="1381" customFormat="false" ht="15" hidden="false" customHeight="true" outlineLevel="0" collapsed="false">
      <c r="A1381" s="21" t="str">
        <f aca="false">IF(B1381="","",ROW()-4)</f>
        <v/>
      </c>
      <c r="B1381" s="22"/>
      <c r="C1381" s="21" t="str">
        <f aca="false">IF(B1381="","",CHOOSE(WEEKDAY(B1381,2),"LUNES","MARTES","MIÉRCOLES","JUEVES","VIERNES","SÁBADO","DOMINGO"))</f>
        <v/>
      </c>
      <c r="M1381" s="23"/>
      <c r="Q1381" s="21" t="str">
        <f aca="false">IF(OR(K1381="",N1381=""),"",K1381-N1381)</f>
        <v/>
      </c>
      <c r="R1381" s="21" t="str">
        <f aca="false">IF(OR(J1381="",K1381=""),"",J1381*K1381)</f>
        <v/>
      </c>
      <c r="S1381" s="21" t="str">
        <f aca="false">IF(AND(ISNUMBER(J1381),ISNUMBER(K1381),F1381&lt;&gt;"Calentamiento",F1381&lt;&gt;"Bilbo"),IF(AND(K1381&gt;0,K1381&lt;=12),ROUND(J1381*(1+(K1381+IF(ISNUMBER(L1381),L1381,0))/30),1),""),"")</f>
        <v/>
      </c>
      <c r="T1381" s="21" t="str">
        <f aca="false">IF(AND(F1381="Bilbo",ISNUMBER(J1381),ISNUMBER(K1381)),ROUND(J1381*(1+K1381/30),1),"")</f>
        <v/>
      </c>
      <c r="W1381" s="22"/>
      <c r="X1381" s="21" t="str">
        <f aca="false">IF(AND(F1381="Bilbo",E1381&lt;&gt;"",G1381&lt;&gt;"",H1381&lt;&gt;""),E1381&amp;"|"&amp;G1381&amp;"|"&amp;H1381,"")</f>
        <v/>
      </c>
      <c r="Y1381" s="21" t="str">
        <f aca="false">IF(B1381="","",IF(B1381&lt;&gt;B1380,1,0))</f>
        <v/>
      </c>
    </row>
    <row r="1382" customFormat="false" ht="15" hidden="false" customHeight="true" outlineLevel="0" collapsed="false">
      <c r="A1382" s="21" t="str">
        <f aca="false">IF(B1382="","",ROW()-4)</f>
        <v/>
      </c>
      <c r="B1382" s="22"/>
      <c r="C1382" s="21" t="str">
        <f aca="false">IF(B1382="","",CHOOSE(WEEKDAY(B1382,2),"LUNES","MARTES","MIÉRCOLES","JUEVES","VIERNES","SÁBADO","DOMINGO"))</f>
        <v/>
      </c>
      <c r="M1382" s="23"/>
      <c r="Q1382" s="21" t="str">
        <f aca="false">IF(OR(K1382="",N1382=""),"",K1382-N1382)</f>
        <v/>
      </c>
      <c r="R1382" s="21" t="str">
        <f aca="false">IF(OR(J1382="",K1382=""),"",J1382*K1382)</f>
        <v/>
      </c>
      <c r="S1382" s="21" t="str">
        <f aca="false">IF(AND(ISNUMBER(J1382),ISNUMBER(K1382),F1382&lt;&gt;"Calentamiento",F1382&lt;&gt;"Bilbo"),IF(AND(K1382&gt;0,K1382&lt;=12),ROUND(J1382*(1+(K1382+IF(ISNUMBER(L1382),L1382,0))/30),1),""),"")</f>
        <v/>
      </c>
      <c r="T1382" s="21" t="str">
        <f aca="false">IF(AND(F1382="Bilbo",ISNUMBER(J1382),ISNUMBER(K1382)),ROUND(J1382*(1+K1382/30),1),"")</f>
        <v/>
      </c>
      <c r="W1382" s="22"/>
      <c r="X1382" s="21" t="str">
        <f aca="false">IF(AND(F1382="Bilbo",E1382&lt;&gt;"",G1382&lt;&gt;"",H1382&lt;&gt;""),E1382&amp;"|"&amp;G1382&amp;"|"&amp;H1382,"")</f>
        <v/>
      </c>
      <c r="Y1382" s="21" t="str">
        <f aca="false">IF(B1382="","",IF(B1382&lt;&gt;B1381,1,0))</f>
        <v/>
      </c>
    </row>
    <row r="1383" customFormat="false" ht="15" hidden="false" customHeight="true" outlineLevel="0" collapsed="false">
      <c r="A1383" s="21" t="str">
        <f aca="false">IF(B1383="","",ROW()-4)</f>
        <v/>
      </c>
      <c r="B1383" s="22"/>
      <c r="C1383" s="21" t="str">
        <f aca="false">IF(B1383="","",CHOOSE(WEEKDAY(B1383,2),"LUNES","MARTES","MIÉRCOLES","JUEVES","VIERNES","SÁBADO","DOMINGO"))</f>
        <v/>
      </c>
      <c r="M1383" s="23"/>
      <c r="Q1383" s="21" t="str">
        <f aca="false">IF(OR(K1383="",N1383=""),"",K1383-N1383)</f>
        <v/>
      </c>
      <c r="R1383" s="21" t="str">
        <f aca="false">IF(OR(J1383="",K1383=""),"",J1383*K1383)</f>
        <v/>
      </c>
      <c r="S1383" s="21" t="str">
        <f aca="false">IF(AND(ISNUMBER(J1383),ISNUMBER(K1383),F1383&lt;&gt;"Calentamiento",F1383&lt;&gt;"Bilbo"),IF(AND(K1383&gt;0,K1383&lt;=12),ROUND(J1383*(1+(K1383+IF(ISNUMBER(L1383),L1383,0))/30),1),""),"")</f>
        <v/>
      </c>
      <c r="T1383" s="21" t="str">
        <f aca="false">IF(AND(F1383="Bilbo",ISNUMBER(J1383),ISNUMBER(K1383)),ROUND(J1383*(1+K1383/30),1),"")</f>
        <v/>
      </c>
      <c r="W1383" s="22"/>
      <c r="X1383" s="21" t="str">
        <f aca="false">IF(AND(F1383="Bilbo",E1383&lt;&gt;"",G1383&lt;&gt;"",H1383&lt;&gt;""),E1383&amp;"|"&amp;G1383&amp;"|"&amp;H1383,"")</f>
        <v/>
      </c>
      <c r="Y1383" s="21" t="str">
        <f aca="false">IF(B1383="","",IF(B1383&lt;&gt;B1382,1,0))</f>
        <v/>
      </c>
    </row>
    <row r="1384" customFormat="false" ht="15" hidden="false" customHeight="true" outlineLevel="0" collapsed="false">
      <c r="A1384" s="21" t="str">
        <f aca="false">IF(B1384="","",ROW()-4)</f>
        <v/>
      </c>
      <c r="B1384" s="22"/>
      <c r="C1384" s="21" t="str">
        <f aca="false">IF(B1384="","",CHOOSE(WEEKDAY(B1384,2),"LUNES","MARTES","MIÉRCOLES","JUEVES","VIERNES","SÁBADO","DOMINGO"))</f>
        <v/>
      </c>
      <c r="M1384" s="23"/>
      <c r="Q1384" s="21" t="str">
        <f aca="false">IF(OR(K1384="",N1384=""),"",K1384-N1384)</f>
        <v/>
      </c>
      <c r="R1384" s="21" t="str">
        <f aca="false">IF(OR(J1384="",K1384=""),"",J1384*K1384)</f>
        <v/>
      </c>
      <c r="S1384" s="21" t="str">
        <f aca="false">IF(AND(ISNUMBER(J1384),ISNUMBER(K1384),F1384&lt;&gt;"Calentamiento",F1384&lt;&gt;"Bilbo"),IF(AND(K1384&gt;0,K1384&lt;=12),ROUND(J1384*(1+(K1384+IF(ISNUMBER(L1384),L1384,0))/30),1),""),"")</f>
        <v/>
      </c>
      <c r="T1384" s="21" t="str">
        <f aca="false">IF(AND(F1384="Bilbo",ISNUMBER(J1384),ISNUMBER(K1384)),ROUND(J1384*(1+K1384/30),1),"")</f>
        <v/>
      </c>
      <c r="W1384" s="22"/>
      <c r="X1384" s="21" t="str">
        <f aca="false">IF(AND(F1384="Bilbo",E1384&lt;&gt;"",G1384&lt;&gt;"",H1384&lt;&gt;""),E1384&amp;"|"&amp;G1384&amp;"|"&amp;H1384,"")</f>
        <v/>
      </c>
      <c r="Y1384" s="21" t="str">
        <f aca="false">IF(B1384="","",IF(B1384&lt;&gt;B1383,1,0))</f>
        <v/>
      </c>
    </row>
    <row r="1385" customFormat="false" ht="15" hidden="false" customHeight="true" outlineLevel="0" collapsed="false">
      <c r="A1385" s="21" t="str">
        <f aca="false">IF(B1385="","",ROW()-4)</f>
        <v/>
      </c>
      <c r="B1385" s="22"/>
      <c r="C1385" s="21" t="str">
        <f aca="false">IF(B1385="","",CHOOSE(WEEKDAY(B1385,2),"LUNES","MARTES","MIÉRCOLES","JUEVES","VIERNES","SÁBADO","DOMINGO"))</f>
        <v/>
      </c>
      <c r="M1385" s="23"/>
      <c r="Q1385" s="21" t="str">
        <f aca="false">IF(OR(K1385="",N1385=""),"",K1385-N1385)</f>
        <v/>
      </c>
      <c r="R1385" s="21" t="str">
        <f aca="false">IF(OR(J1385="",K1385=""),"",J1385*K1385)</f>
        <v/>
      </c>
      <c r="S1385" s="21" t="str">
        <f aca="false">IF(AND(ISNUMBER(J1385),ISNUMBER(K1385),F1385&lt;&gt;"Calentamiento",F1385&lt;&gt;"Bilbo"),IF(AND(K1385&gt;0,K1385&lt;=12),ROUND(J1385*(1+(K1385+IF(ISNUMBER(L1385),L1385,0))/30),1),""),"")</f>
        <v/>
      </c>
      <c r="T1385" s="21" t="str">
        <f aca="false">IF(AND(F1385="Bilbo",ISNUMBER(J1385),ISNUMBER(K1385)),ROUND(J1385*(1+K1385/30),1),"")</f>
        <v/>
      </c>
      <c r="W1385" s="22"/>
      <c r="X1385" s="21" t="str">
        <f aca="false">IF(AND(F1385="Bilbo",E1385&lt;&gt;"",G1385&lt;&gt;"",H1385&lt;&gt;""),E1385&amp;"|"&amp;G1385&amp;"|"&amp;H1385,"")</f>
        <v/>
      </c>
      <c r="Y1385" s="21" t="str">
        <f aca="false">IF(B1385="","",IF(B1385&lt;&gt;B1384,1,0))</f>
        <v/>
      </c>
    </row>
    <row r="1386" customFormat="false" ht="15" hidden="false" customHeight="true" outlineLevel="0" collapsed="false">
      <c r="A1386" s="21" t="str">
        <f aca="false">IF(B1386="","",ROW()-4)</f>
        <v/>
      </c>
      <c r="B1386" s="22"/>
      <c r="C1386" s="21" t="str">
        <f aca="false">IF(B1386="","",CHOOSE(WEEKDAY(B1386,2),"LUNES","MARTES","MIÉRCOLES","JUEVES","VIERNES","SÁBADO","DOMINGO"))</f>
        <v/>
      </c>
      <c r="M1386" s="23"/>
      <c r="Q1386" s="21" t="str">
        <f aca="false">IF(OR(K1386="",N1386=""),"",K1386-N1386)</f>
        <v/>
      </c>
      <c r="R1386" s="21" t="str">
        <f aca="false">IF(OR(J1386="",K1386=""),"",J1386*K1386)</f>
        <v/>
      </c>
      <c r="S1386" s="21" t="str">
        <f aca="false">IF(AND(ISNUMBER(J1386),ISNUMBER(K1386),F1386&lt;&gt;"Calentamiento",F1386&lt;&gt;"Bilbo"),IF(AND(K1386&gt;0,K1386&lt;=12),ROUND(J1386*(1+(K1386+IF(ISNUMBER(L1386),L1386,0))/30),1),""),"")</f>
        <v/>
      </c>
      <c r="T1386" s="21" t="str">
        <f aca="false">IF(AND(F1386="Bilbo",ISNUMBER(J1386),ISNUMBER(K1386)),ROUND(J1386*(1+K1386/30),1),"")</f>
        <v/>
      </c>
      <c r="W1386" s="22"/>
      <c r="X1386" s="21" t="str">
        <f aca="false">IF(AND(F1386="Bilbo",E1386&lt;&gt;"",G1386&lt;&gt;"",H1386&lt;&gt;""),E1386&amp;"|"&amp;G1386&amp;"|"&amp;H1386,"")</f>
        <v/>
      </c>
      <c r="Y1386" s="21" t="str">
        <f aca="false">IF(B1386="","",IF(B1386&lt;&gt;B1385,1,0))</f>
        <v/>
      </c>
    </row>
    <row r="1387" customFormat="false" ht="15" hidden="false" customHeight="true" outlineLevel="0" collapsed="false">
      <c r="A1387" s="21" t="str">
        <f aca="false">IF(B1387="","",ROW()-4)</f>
        <v/>
      </c>
      <c r="B1387" s="22"/>
      <c r="C1387" s="21" t="str">
        <f aca="false">IF(B1387="","",CHOOSE(WEEKDAY(B1387,2),"LUNES","MARTES","MIÉRCOLES","JUEVES","VIERNES","SÁBADO","DOMINGO"))</f>
        <v/>
      </c>
      <c r="M1387" s="23"/>
      <c r="Q1387" s="21" t="str">
        <f aca="false">IF(OR(K1387="",N1387=""),"",K1387-N1387)</f>
        <v/>
      </c>
      <c r="R1387" s="21" t="str">
        <f aca="false">IF(OR(J1387="",K1387=""),"",J1387*K1387)</f>
        <v/>
      </c>
      <c r="S1387" s="21" t="str">
        <f aca="false">IF(AND(ISNUMBER(J1387),ISNUMBER(K1387),F1387&lt;&gt;"Calentamiento",F1387&lt;&gt;"Bilbo"),IF(AND(K1387&gt;0,K1387&lt;=12),ROUND(J1387*(1+(K1387+IF(ISNUMBER(L1387),L1387,0))/30),1),""),"")</f>
        <v/>
      </c>
      <c r="T1387" s="21" t="str">
        <f aca="false">IF(AND(F1387="Bilbo",ISNUMBER(J1387),ISNUMBER(K1387)),ROUND(J1387*(1+K1387/30),1),"")</f>
        <v/>
      </c>
      <c r="W1387" s="22"/>
      <c r="X1387" s="21" t="str">
        <f aca="false">IF(AND(F1387="Bilbo",E1387&lt;&gt;"",G1387&lt;&gt;"",H1387&lt;&gt;""),E1387&amp;"|"&amp;G1387&amp;"|"&amp;H1387,"")</f>
        <v/>
      </c>
      <c r="Y1387" s="21" t="str">
        <f aca="false">IF(B1387="","",IF(B1387&lt;&gt;B1386,1,0))</f>
        <v/>
      </c>
    </row>
    <row r="1388" customFormat="false" ht="15" hidden="false" customHeight="true" outlineLevel="0" collapsed="false">
      <c r="A1388" s="21" t="str">
        <f aca="false">IF(B1388="","",ROW()-4)</f>
        <v/>
      </c>
      <c r="B1388" s="22"/>
      <c r="C1388" s="21" t="str">
        <f aca="false">IF(B1388="","",CHOOSE(WEEKDAY(B1388,2),"LUNES","MARTES","MIÉRCOLES","JUEVES","VIERNES","SÁBADO","DOMINGO"))</f>
        <v/>
      </c>
      <c r="M1388" s="23"/>
      <c r="Q1388" s="21" t="str">
        <f aca="false">IF(OR(K1388="",N1388=""),"",K1388-N1388)</f>
        <v/>
      </c>
      <c r="R1388" s="21" t="str">
        <f aca="false">IF(OR(J1388="",K1388=""),"",J1388*K1388)</f>
        <v/>
      </c>
      <c r="S1388" s="21" t="str">
        <f aca="false">IF(AND(ISNUMBER(J1388),ISNUMBER(K1388),F1388&lt;&gt;"Calentamiento",F1388&lt;&gt;"Bilbo"),IF(AND(K1388&gt;0,K1388&lt;=12),ROUND(J1388*(1+(K1388+IF(ISNUMBER(L1388),L1388,0))/30),1),""),"")</f>
        <v/>
      </c>
      <c r="T1388" s="21" t="str">
        <f aca="false">IF(AND(F1388="Bilbo",ISNUMBER(J1388),ISNUMBER(K1388)),ROUND(J1388*(1+K1388/30),1),"")</f>
        <v/>
      </c>
      <c r="W1388" s="22"/>
      <c r="X1388" s="21" t="str">
        <f aca="false">IF(AND(F1388="Bilbo",E1388&lt;&gt;"",G1388&lt;&gt;"",H1388&lt;&gt;""),E1388&amp;"|"&amp;G1388&amp;"|"&amp;H1388,"")</f>
        <v/>
      </c>
      <c r="Y1388" s="21" t="str">
        <f aca="false">IF(B1388="","",IF(B1388&lt;&gt;B1387,1,0))</f>
        <v/>
      </c>
    </row>
    <row r="1389" customFormat="false" ht="15" hidden="false" customHeight="true" outlineLevel="0" collapsed="false">
      <c r="A1389" s="21" t="str">
        <f aca="false">IF(B1389="","",ROW()-4)</f>
        <v/>
      </c>
      <c r="B1389" s="22"/>
      <c r="C1389" s="21" t="str">
        <f aca="false">IF(B1389="","",CHOOSE(WEEKDAY(B1389,2),"LUNES","MARTES","MIÉRCOLES","JUEVES","VIERNES","SÁBADO","DOMINGO"))</f>
        <v/>
      </c>
      <c r="M1389" s="23"/>
      <c r="Q1389" s="21" t="str">
        <f aca="false">IF(OR(K1389="",N1389=""),"",K1389-N1389)</f>
        <v/>
      </c>
      <c r="R1389" s="21" t="str">
        <f aca="false">IF(OR(J1389="",K1389=""),"",J1389*K1389)</f>
        <v/>
      </c>
      <c r="S1389" s="21" t="str">
        <f aca="false">IF(AND(ISNUMBER(J1389),ISNUMBER(K1389),F1389&lt;&gt;"Calentamiento",F1389&lt;&gt;"Bilbo"),IF(AND(K1389&gt;0,K1389&lt;=12),ROUND(J1389*(1+(K1389+IF(ISNUMBER(L1389),L1389,0))/30),1),""),"")</f>
        <v/>
      </c>
      <c r="T1389" s="21" t="str">
        <f aca="false">IF(AND(F1389="Bilbo",ISNUMBER(J1389),ISNUMBER(K1389)),ROUND(J1389*(1+K1389/30),1),"")</f>
        <v/>
      </c>
      <c r="W1389" s="22"/>
      <c r="X1389" s="21" t="str">
        <f aca="false">IF(AND(F1389="Bilbo",E1389&lt;&gt;"",G1389&lt;&gt;"",H1389&lt;&gt;""),E1389&amp;"|"&amp;G1389&amp;"|"&amp;H1389,"")</f>
        <v/>
      </c>
      <c r="Y1389" s="21" t="str">
        <f aca="false">IF(B1389="","",IF(B1389&lt;&gt;B1388,1,0))</f>
        <v/>
      </c>
    </row>
    <row r="1390" customFormat="false" ht="15" hidden="false" customHeight="true" outlineLevel="0" collapsed="false">
      <c r="A1390" s="21" t="str">
        <f aca="false">IF(B1390="","",ROW()-4)</f>
        <v/>
      </c>
      <c r="B1390" s="22"/>
      <c r="C1390" s="21" t="str">
        <f aca="false">IF(B1390="","",CHOOSE(WEEKDAY(B1390,2),"LUNES","MARTES","MIÉRCOLES","JUEVES","VIERNES","SÁBADO","DOMINGO"))</f>
        <v/>
      </c>
      <c r="M1390" s="23"/>
      <c r="Q1390" s="21" t="str">
        <f aca="false">IF(OR(K1390="",N1390=""),"",K1390-N1390)</f>
        <v/>
      </c>
      <c r="R1390" s="21" t="str">
        <f aca="false">IF(OR(J1390="",K1390=""),"",J1390*K1390)</f>
        <v/>
      </c>
      <c r="S1390" s="21" t="str">
        <f aca="false">IF(AND(ISNUMBER(J1390),ISNUMBER(K1390),F1390&lt;&gt;"Calentamiento",F1390&lt;&gt;"Bilbo"),IF(AND(K1390&gt;0,K1390&lt;=12),ROUND(J1390*(1+(K1390+IF(ISNUMBER(L1390),L1390,0))/30),1),""),"")</f>
        <v/>
      </c>
      <c r="T1390" s="21" t="str">
        <f aca="false">IF(AND(F1390="Bilbo",ISNUMBER(J1390),ISNUMBER(K1390)),ROUND(J1390*(1+K1390/30),1),"")</f>
        <v/>
      </c>
      <c r="W1390" s="22"/>
      <c r="X1390" s="21" t="str">
        <f aca="false">IF(AND(F1390="Bilbo",E1390&lt;&gt;"",G1390&lt;&gt;"",H1390&lt;&gt;""),E1390&amp;"|"&amp;G1390&amp;"|"&amp;H1390,"")</f>
        <v/>
      </c>
      <c r="Y1390" s="21" t="str">
        <f aca="false">IF(B1390="","",IF(B1390&lt;&gt;B1389,1,0))</f>
        <v/>
      </c>
    </row>
    <row r="1391" customFormat="false" ht="15" hidden="false" customHeight="true" outlineLevel="0" collapsed="false">
      <c r="A1391" s="21" t="str">
        <f aca="false">IF(B1391="","",ROW()-4)</f>
        <v/>
      </c>
      <c r="B1391" s="22"/>
      <c r="C1391" s="21" t="str">
        <f aca="false">IF(B1391="","",CHOOSE(WEEKDAY(B1391,2),"LUNES","MARTES","MIÉRCOLES","JUEVES","VIERNES","SÁBADO","DOMINGO"))</f>
        <v/>
      </c>
      <c r="M1391" s="23"/>
      <c r="Q1391" s="21" t="str">
        <f aca="false">IF(OR(K1391="",N1391=""),"",K1391-N1391)</f>
        <v/>
      </c>
      <c r="R1391" s="21" t="str">
        <f aca="false">IF(OR(J1391="",K1391=""),"",J1391*K1391)</f>
        <v/>
      </c>
      <c r="S1391" s="21" t="str">
        <f aca="false">IF(AND(ISNUMBER(J1391),ISNUMBER(K1391),F1391&lt;&gt;"Calentamiento",F1391&lt;&gt;"Bilbo"),IF(AND(K1391&gt;0,K1391&lt;=12),ROUND(J1391*(1+(K1391+IF(ISNUMBER(L1391),L1391,0))/30),1),""),"")</f>
        <v/>
      </c>
      <c r="T1391" s="21" t="str">
        <f aca="false">IF(AND(F1391="Bilbo",ISNUMBER(J1391),ISNUMBER(K1391)),ROUND(J1391*(1+K1391/30),1),"")</f>
        <v/>
      </c>
      <c r="W1391" s="22"/>
      <c r="X1391" s="21" t="str">
        <f aca="false">IF(AND(F1391="Bilbo",E1391&lt;&gt;"",G1391&lt;&gt;"",H1391&lt;&gt;""),E1391&amp;"|"&amp;G1391&amp;"|"&amp;H1391,"")</f>
        <v/>
      </c>
      <c r="Y1391" s="21" t="str">
        <f aca="false">IF(B1391="","",IF(B1391&lt;&gt;B1390,1,0))</f>
        <v/>
      </c>
    </row>
    <row r="1392" customFormat="false" ht="15" hidden="false" customHeight="true" outlineLevel="0" collapsed="false">
      <c r="A1392" s="21" t="str">
        <f aca="false">IF(B1392="","",ROW()-4)</f>
        <v/>
      </c>
      <c r="B1392" s="22"/>
      <c r="C1392" s="21" t="str">
        <f aca="false">IF(B1392="","",CHOOSE(WEEKDAY(B1392,2),"LUNES","MARTES","MIÉRCOLES","JUEVES","VIERNES","SÁBADO","DOMINGO"))</f>
        <v/>
      </c>
      <c r="M1392" s="23"/>
      <c r="Q1392" s="21" t="str">
        <f aca="false">IF(OR(K1392="",N1392=""),"",K1392-N1392)</f>
        <v/>
      </c>
      <c r="R1392" s="21" t="str">
        <f aca="false">IF(OR(J1392="",K1392=""),"",J1392*K1392)</f>
        <v/>
      </c>
      <c r="S1392" s="21" t="str">
        <f aca="false">IF(AND(ISNUMBER(J1392),ISNUMBER(K1392),F1392&lt;&gt;"Calentamiento",F1392&lt;&gt;"Bilbo"),IF(AND(K1392&gt;0,K1392&lt;=12),ROUND(J1392*(1+(K1392+IF(ISNUMBER(L1392),L1392,0))/30),1),""),"")</f>
        <v/>
      </c>
      <c r="T1392" s="21" t="str">
        <f aca="false">IF(AND(F1392="Bilbo",ISNUMBER(J1392),ISNUMBER(K1392)),ROUND(J1392*(1+K1392/30),1),"")</f>
        <v/>
      </c>
      <c r="W1392" s="22"/>
      <c r="X1392" s="21" t="str">
        <f aca="false">IF(AND(F1392="Bilbo",E1392&lt;&gt;"",G1392&lt;&gt;"",H1392&lt;&gt;""),E1392&amp;"|"&amp;G1392&amp;"|"&amp;H1392,"")</f>
        <v/>
      </c>
      <c r="Y1392" s="21" t="str">
        <f aca="false">IF(B1392="","",IF(B1392&lt;&gt;B1391,1,0))</f>
        <v/>
      </c>
    </row>
    <row r="1393" customFormat="false" ht="15" hidden="false" customHeight="true" outlineLevel="0" collapsed="false">
      <c r="A1393" s="21" t="str">
        <f aca="false">IF(B1393="","",ROW()-4)</f>
        <v/>
      </c>
      <c r="B1393" s="22"/>
      <c r="C1393" s="21" t="str">
        <f aca="false">IF(B1393="","",CHOOSE(WEEKDAY(B1393,2),"LUNES","MARTES","MIÉRCOLES","JUEVES","VIERNES","SÁBADO","DOMINGO"))</f>
        <v/>
      </c>
      <c r="M1393" s="23"/>
      <c r="Q1393" s="21" t="str">
        <f aca="false">IF(OR(K1393="",N1393=""),"",K1393-N1393)</f>
        <v/>
      </c>
      <c r="R1393" s="21" t="str">
        <f aca="false">IF(OR(J1393="",K1393=""),"",J1393*K1393)</f>
        <v/>
      </c>
      <c r="S1393" s="21" t="str">
        <f aca="false">IF(AND(ISNUMBER(J1393),ISNUMBER(K1393),F1393&lt;&gt;"Calentamiento",F1393&lt;&gt;"Bilbo"),IF(AND(K1393&gt;0,K1393&lt;=12),ROUND(J1393*(1+(K1393+IF(ISNUMBER(L1393),L1393,0))/30),1),""),"")</f>
        <v/>
      </c>
      <c r="T1393" s="21" t="str">
        <f aca="false">IF(AND(F1393="Bilbo",ISNUMBER(J1393),ISNUMBER(K1393)),ROUND(J1393*(1+K1393/30),1),"")</f>
        <v/>
      </c>
      <c r="W1393" s="22"/>
      <c r="X1393" s="21" t="str">
        <f aca="false">IF(AND(F1393="Bilbo",E1393&lt;&gt;"",G1393&lt;&gt;"",H1393&lt;&gt;""),E1393&amp;"|"&amp;G1393&amp;"|"&amp;H1393,"")</f>
        <v/>
      </c>
      <c r="Y1393" s="21" t="str">
        <f aca="false">IF(B1393="","",IF(B1393&lt;&gt;B1392,1,0))</f>
        <v/>
      </c>
    </row>
    <row r="1394" customFormat="false" ht="15" hidden="false" customHeight="true" outlineLevel="0" collapsed="false">
      <c r="A1394" s="21" t="str">
        <f aca="false">IF(B1394="","",ROW()-4)</f>
        <v/>
      </c>
      <c r="B1394" s="22"/>
      <c r="C1394" s="21" t="str">
        <f aca="false">IF(B1394="","",CHOOSE(WEEKDAY(B1394,2),"LUNES","MARTES","MIÉRCOLES","JUEVES","VIERNES","SÁBADO","DOMINGO"))</f>
        <v/>
      </c>
      <c r="M1394" s="23"/>
      <c r="Q1394" s="21" t="str">
        <f aca="false">IF(OR(K1394="",N1394=""),"",K1394-N1394)</f>
        <v/>
      </c>
      <c r="R1394" s="21" t="str">
        <f aca="false">IF(OR(J1394="",K1394=""),"",J1394*K1394)</f>
        <v/>
      </c>
      <c r="S1394" s="21" t="str">
        <f aca="false">IF(AND(ISNUMBER(J1394),ISNUMBER(K1394),F1394&lt;&gt;"Calentamiento",F1394&lt;&gt;"Bilbo"),IF(AND(K1394&gt;0,K1394&lt;=12),ROUND(J1394*(1+(K1394+IF(ISNUMBER(L1394),L1394,0))/30),1),""),"")</f>
        <v/>
      </c>
      <c r="T1394" s="21" t="str">
        <f aca="false">IF(AND(F1394="Bilbo",ISNUMBER(J1394),ISNUMBER(K1394)),ROUND(J1394*(1+K1394/30),1),"")</f>
        <v/>
      </c>
      <c r="W1394" s="22"/>
      <c r="X1394" s="21" t="str">
        <f aca="false">IF(AND(F1394="Bilbo",E1394&lt;&gt;"",G1394&lt;&gt;"",H1394&lt;&gt;""),E1394&amp;"|"&amp;G1394&amp;"|"&amp;H1394,"")</f>
        <v/>
      </c>
      <c r="Y1394" s="21" t="str">
        <f aca="false">IF(B1394="","",IF(B1394&lt;&gt;B1393,1,0))</f>
        <v/>
      </c>
    </row>
    <row r="1395" customFormat="false" ht="15" hidden="false" customHeight="true" outlineLevel="0" collapsed="false">
      <c r="A1395" s="21" t="str">
        <f aca="false">IF(B1395="","",ROW()-4)</f>
        <v/>
      </c>
      <c r="B1395" s="22"/>
      <c r="C1395" s="21" t="str">
        <f aca="false">IF(B1395="","",CHOOSE(WEEKDAY(B1395,2),"LUNES","MARTES","MIÉRCOLES","JUEVES","VIERNES","SÁBADO","DOMINGO"))</f>
        <v/>
      </c>
      <c r="M1395" s="23"/>
      <c r="Q1395" s="21" t="str">
        <f aca="false">IF(OR(K1395="",N1395=""),"",K1395-N1395)</f>
        <v/>
      </c>
      <c r="R1395" s="21" t="str">
        <f aca="false">IF(OR(J1395="",K1395=""),"",J1395*K1395)</f>
        <v/>
      </c>
      <c r="S1395" s="21" t="str">
        <f aca="false">IF(AND(ISNUMBER(J1395),ISNUMBER(K1395),F1395&lt;&gt;"Calentamiento",F1395&lt;&gt;"Bilbo"),IF(AND(K1395&gt;0,K1395&lt;=12),ROUND(J1395*(1+(K1395+IF(ISNUMBER(L1395),L1395,0))/30),1),""),"")</f>
        <v/>
      </c>
      <c r="T1395" s="21" t="str">
        <f aca="false">IF(AND(F1395="Bilbo",ISNUMBER(J1395),ISNUMBER(K1395)),ROUND(J1395*(1+K1395/30),1),"")</f>
        <v/>
      </c>
      <c r="W1395" s="22"/>
      <c r="X1395" s="21" t="str">
        <f aca="false">IF(AND(F1395="Bilbo",E1395&lt;&gt;"",G1395&lt;&gt;"",H1395&lt;&gt;""),E1395&amp;"|"&amp;G1395&amp;"|"&amp;H1395,"")</f>
        <v/>
      </c>
      <c r="Y1395" s="21" t="str">
        <f aca="false">IF(B1395="","",IF(B1395&lt;&gt;B1394,1,0))</f>
        <v/>
      </c>
    </row>
    <row r="1396" customFormat="false" ht="15" hidden="false" customHeight="true" outlineLevel="0" collapsed="false">
      <c r="A1396" s="21" t="str">
        <f aca="false">IF(B1396="","",ROW()-4)</f>
        <v/>
      </c>
      <c r="B1396" s="22"/>
      <c r="C1396" s="21" t="str">
        <f aca="false">IF(B1396="","",CHOOSE(WEEKDAY(B1396,2),"LUNES","MARTES","MIÉRCOLES","JUEVES","VIERNES","SÁBADO","DOMINGO"))</f>
        <v/>
      </c>
      <c r="M1396" s="23"/>
      <c r="Q1396" s="21" t="str">
        <f aca="false">IF(OR(K1396="",N1396=""),"",K1396-N1396)</f>
        <v/>
      </c>
      <c r="R1396" s="21" t="str">
        <f aca="false">IF(OR(J1396="",K1396=""),"",J1396*K1396)</f>
        <v/>
      </c>
      <c r="S1396" s="21" t="str">
        <f aca="false">IF(AND(ISNUMBER(J1396),ISNUMBER(K1396),F1396&lt;&gt;"Calentamiento",F1396&lt;&gt;"Bilbo"),IF(AND(K1396&gt;0,K1396&lt;=12),ROUND(J1396*(1+(K1396+IF(ISNUMBER(L1396),L1396,0))/30),1),""),"")</f>
        <v/>
      </c>
      <c r="T1396" s="21" t="str">
        <f aca="false">IF(AND(F1396="Bilbo",ISNUMBER(J1396),ISNUMBER(K1396)),ROUND(J1396*(1+K1396/30),1),"")</f>
        <v/>
      </c>
      <c r="W1396" s="22"/>
      <c r="X1396" s="21" t="str">
        <f aca="false">IF(AND(F1396="Bilbo",E1396&lt;&gt;"",G1396&lt;&gt;"",H1396&lt;&gt;""),E1396&amp;"|"&amp;G1396&amp;"|"&amp;H1396,"")</f>
        <v/>
      </c>
      <c r="Y1396" s="21" t="str">
        <f aca="false">IF(B1396="","",IF(B1396&lt;&gt;B1395,1,0))</f>
        <v/>
      </c>
    </row>
    <row r="1397" customFormat="false" ht="15" hidden="false" customHeight="true" outlineLevel="0" collapsed="false">
      <c r="A1397" s="21" t="str">
        <f aca="false">IF(B1397="","",ROW()-4)</f>
        <v/>
      </c>
      <c r="B1397" s="22"/>
      <c r="C1397" s="21" t="str">
        <f aca="false">IF(B1397="","",CHOOSE(WEEKDAY(B1397,2),"LUNES","MARTES","MIÉRCOLES","JUEVES","VIERNES","SÁBADO","DOMINGO"))</f>
        <v/>
      </c>
      <c r="M1397" s="23"/>
      <c r="Q1397" s="21" t="str">
        <f aca="false">IF(OR(K1397="",N1397=""),"",K1397-N1397)</f>
        <v/>
      </c>
      <c r="R1397" s="21" t="str">
        <f aca="false">IF(OR(J1397="",K1397=""),"",J1397*K1397)</f>
        <v/>
      </c>
      <c r="S1397" s="21" t="str">
        <f aca="false">IF(AND(ISNUMBER(J1397),ISNUMBER(K1397),F1397&lt;&gt;"Calentamiento",F1397&lt;&gt;"Bilbo"),IF(AND(K1397&gt;0,K1397&lt;=12),ROUND(J1397*(1+(K1397+IF(ISNUMBER(L1397),L1397,0))/30),1),""),"")</f>
        <v/>
      </c>
      <c r="T1397" s="21" t="str">
        <f aca="false">IF(AND(F1397="Bilbo",ISNUMBER(J1397),ISNUMBER(K1397)),ROUND(J1397*(1+K1397/30),1),"")</f>
        <v/>
      </c>
      <c r="W1397" s="22"/>
      <c r="X1397" s="21" t="str">
        <f aca="false">IF(AND(F1397="Bilbo",E1397&lt;&gt;"",G1397&lt;&gt;"",H1397&lt;&gt;""),E1397&amp;"|"&amp;G1397&amp;"|"&amp;H1397,"")</f>
        <v/>
      </c>
      <c r="Y1397" s="21" t="str">
        <f aca="false">IF(B1397="","",IF(B1397&lt;&gt;B1396,1,0))</f>
        <v/>
      </c>
    </row>
    <row r="1398" customFormat="false" ht="15" hidden="false" customHeight="true" outlineLevel="0" collapsed="false">
      <c r="A1398" s="21" t="str">
        <f aca="false">IF(B1398="","",ROW()-4)</f>
        <v/>
      </c>
      <c r="B1398" s="22"/>
      <c r="C1398" s="21" t="str">
        <f aca="false">IF(B1398="","",CHOOSE(WEEKDAY(B1398,2),"LUNES","MARTES","MIÉRCOLES","JUEVES","VIERNES","SÁBADO","DOMINGO"))</f>
        <v/>
      </c>
      <c r="M1398" s="23"/>
      <c r="Q1398" s="21" t="str">
        <f aca="false">IF(OR(K1398="",N1398=""),"",K1398-N1398)</f>
        <v/>
      </c>
      <c r="R1398" s="21" t="str">
        <f aca="false">IF(OR(J1398="",K1398=""),"",J1398*K1398)</f>
        <v/>
      </c>
      <c r="S1398" s="21" t="str">
        <f aca="false">IF(AND(ISNUMBER(J1398),ISNUMBER(K1398),F1398&lt;&gt;"Calentamiento",F1398&lt;&gt;"Bilbo"),IF(AND(K1398&gt;0,K1398&lt;=12),ROUND(J1398*(1+(K1398+IF(ISNUMBER(L1398),L1398,0))/30),1),""),"")</f>
        <v/>
      </c>
      <c r="T1398" s="21" t="str">
        <f aca="false">IF(AND(F1398="Bilbo",ISNUMBER(J1398),ISNUMBER(K1398)),ROUND(J1398*(1+K1398/30),1),"")</f>
        <v/>
      </c>
      <c r="W1398" s="22"/>
      <c r="X1398" s="21" t="str">
        <f aca="false">IF(AND(F1398="Bilbo",E1398&lt;&gt;"",G1398&lt;&gt;"",H1398&lt;&gt;""),E1398&amp;"|"&amp;G1398&amp;"|"&amp;H1398,"")</f>
        <v/>
      </c>
      <c r="Y1398" s="21" t="str">
        <f aca="false">IF(B1398="","",IF(B1398&lt;&gt;B1397,1,0))</f>
        <v/>
      </c>
    </row>
    <row r="1399" customFormat="false" ht="15" hidden="false" customHeight="true" outlineLevel="0" collapsed="false">
      <c r="A1399" s="21" t="str">
        <f aca="false">IF(B1399="","",ROW()-4)</f>
        <v/>
      </c>
      <c r="B1399" s="22"/>
      <c r="C1399" s="21" t="str">
        <f aca="false">IF(B1399="","",CHOOSE(WEEKDAY(B1399,2),"LUNES","MARTES","MIÉRCOLES","JUEVES","VIERNES","SÁBADO","DOMINGO"))</f>
        <v/>
      </c>
      <c r="M1399" s="23"/>
      <c r="Q1399" s="21" t="str">
        <f aca="false">IF(OR(K1399="",N1399=""),"",K1399-N1399)</f>
        <v/>
      </c>
      <c r="R1399" s="21" t="str">
        <f aca="false">IF(OR(J1399="",K1399=""),"",J1399*K1399)</f>
        <v/>
      </c>
      <c r="S1399" s="21" t="str">
        <f aca="false">IF(AND(ISNUMBER(J1399),ISNUMBER(K1399),F1399&lt;&gt;"Calentamiento",F1399&lt;&gt;"Bilbo"),IF(AND(K1399&gt;0,K1399&lt;=12),ROUND(J1399*(1+(K1399+IF(ISNUMBER(L1399),L1399,0))/30),1),""),"")</f>
        <v/>
      </c>
      <c r="T1399" s="21" t="str">
        <f aca="false">IF(AND(F1399="Bilbo",ISNUMBER(J1399),ISNUMBER(K1399)),ROUND(J1399*(1+K1399/30),1),"")</f>
        <v/>
      </c>
      <c r="W1399" s="22"/>
      <c r="X1399" s="21" t="str">
        <f aca="false">IF(AND(F1399="Bilbo",E1399&lt;&gt;"",G1399&lt;&gt;"",H1399&lt;&gt;""),E1399&amp;"|"&amp;G1399&amp;"|"&amp;H1399,"")</f>
        <v/>
      </c>
      <c r="Y1399" s="21" t="str">
        <f aca="false">IF(B1399="","",IF(B1399&lt;&gt;B1398,1,0))</f>
        <v/>
      </c>
    </row>
    <row r="1400" customFormat="false" ht="15" hidden="false" customHeight="true" outlineLevel="0" collapsed="false">
      <c r="A1400" s="21" t="str">
        <f aca="false">IF(B1400="","",ROW()-4)</f>
        <v/>
      </c>
      <c r="B1400" s="22"/>
      <c r="C1400" s="21" t="str">
        <f aca="false">IF(B1400="","",CHOOSE(WEEKDAY(B1400,2),"LUNES","MARTES","MIÉRCOLES","JUEVES","VIERNES","SÁBADO","DOMINGO"))</f>
        <v/>
      </c>
      <c r="M1400" s="23"/>
      <c r="Q1400" s="21" t="str">
        <f aca="false">IF(OR(K1400="",N1400=""),"",K1400-N1400)</f>
        <v/>
      </c>
      <c r="R1400" s="21" t="str">
        <f aca="false">IF(OR(J1400="",K1400=""),"",J1400*K1400)</f>
        <v/>
      </c>
      <c r="S1400" s="21" t="str">
        <f aca="false">IF(AND(ISNUMBER(J1400),ISNUMBER(K1400),F1400&lt;&gt;"Calentamiento",F1400&lt;&gt;"Bilbo"),IF(AND(K1400&gt;0,K1400&lt;=12),ROUND(J1400*(1+(K1400+IF(ISNUMBER(L1400),L1400,0))/30),1),""),"")</f>
        <v/>
      </c>
      <c r="T1400" s="21" t="str">
        <f aca="false">IF(AND(F1400="Bilbo",ISNUMBER(J1400),ISNUMBER(K1400)),ROUND(J1400*(1+K1400/30),1),"")</f>
        <v/>
      </c>
      <c r="W1400" s="22"/>
      <c r="X1400" s="21" t="str">
        <f aca="false">IF(AND(F1400="Bilbo",E1400&lt;&gt;"",G1400&lt;&gt;"",H1400&lt;&gt;""),E1400&amp;"|"&amp;G1400&amp;"|"&amp;H1400,"")</f>
        <v/>
      </c>
      <c r="Y1400" s="21" t="str">
        <f aca="false">IF(B1400="","",IF(B1400&lt;&gt;B1399,1,0))</f>
        <v/>
      </c>
    </row>
    <row r="1401" customFormat="false" ht="15" hidden="false" customHeight="true" outlineLevel="0" collapsed="false">
      <c r="A1401" s="21" t="str">
        <f aca="false">IF(B1401="","",ROW()-4)</f>
        <v/>
      </c>
      <c r="B1401" s="22"/>
      <c r="C1401" s="21" t="str">
        <f aca="false">IF(B1401="","",CHOOSE(WEEKDAY(B1401,2),"LUNES","MARTES","MIÉRCOLES","JUEVES","VIERNES","SÁBADO","DOMINGO"))</f>
        <v/>
      </c>
      <c r="M1401" s="23"/>
      <c r="Q1401" s="21" t="str">
        <f aca="false">IF(OR(K1401="",N1401=""),"",K1401-N1401)</f>
        <v/>
      </c>
      <c r="R1401" s="21" t="str">
        <f aca="false">IF(OR(J1401="",K1401=""),"",J1401*K1401)</f>
        <v/>
      </c>
      <c r="S1401" s="21" t="str">
        <f aca="false">IF(AND(ISNUMBER(J1401),ISNUMBER(K1401),F1401&lt;&gt;"Calentamiento",F1401&lt;&gt;"Bilbo"),IF(AND(K1401&gt;0,K1401&lt;=12),ROUND(J1401*(1+(K1401+IF(ISNUMBER(L1401),L1401,0))/30),1),""),"")</f>
        <v/>
      </c>
      <c r="T1401" s="21" t="str">
        <f aca="false">IF(AND(F1401="Bilbo",ISNUMBER(J1401),ISNUMBER(K1401)),ROUND(J1401*(1+K1401/30),1),"")</f>
        <v/>
      </c>
      <c r="W1401" s="22"/>
      <c r="X1401" s="21" t="str">
        <f aca="false">IF(AND(F1401="Bilbo",E1401&lt;&gt;"",G1401&lt;&gt;"",H1401&lt;&gt;""),E1401&amp;"|"&amp;G1401&amp;"|"&amp;H1401,"")</f>
        <v/>
      </c>
      <c r="Y1401" s="21" t="str">
        <f aca="false">IF(B1401="","",IF(B1401&lt;&gt;B1400,1,0))</f>
        <v/>
      </c>
    </row>
    <row r="1402" customFormat="false" ht="15" hidden="false" customHeight="true" outlineLevel="0" collapsed="false">
      <c r="A1402" s="21" t="str">
        <f aca="false">IF(B1402="","",ROW()-4)</f>
        <v/>
      </c>
      <c r="B1402" s="22"/>
      <c r="C1402" s="21" t="str">
        <f aca="false">IF(B1402="","",CHOOSE(WEEKDAY(B1402,2),"LUNES","MARTES","MIÉRCOLES","JUEVES","VIERNES","SÁBADO","DOMINGO"))</f>
        <v/>
      </c>
      <c r="M1402" s="23"/>
      <c r="Q1402" s="21" t="str">
        <f aca="false">IF(OR(K1402="",N1402=""),"",K1402-N1402)</f>
        <v/>
      </c>
      <c r="R1402" s="21" t="str">
        <f aca="false">IF(OR(J1402="",K1402=""),"",J1402*K1402)</f>
        <v/>
      </c>
      <c r="S1402" s="21" t="str">
        <f aca="false">IF(AND(ISNUMBER(J1402),ISNUMBER(K1402),F1402&lt;&gt;"Calentamiento",F1402&lt;&gt;"Bilbo"),IF(AND(K1402&gt;0,K1402&lt;=12),ROUND(J1402*(1+(K1402+IF(ISNUMBER(L1402),L1402,0))/30),1),""),"")</f>
        <v/>
      </c>
      <c r="T1402" s="21" t="str">
        <f aca="false">IF(AND(F1402="Bilbo",ISNUMBER(J1402),ISNUMBER(K1402)),ROUND(J1402*(1+K1402/30),1),"")</f>
        <v/>
      </c>
      <c r="W1402" s="22"/>
      <c r="X1402" s="21" t="str">
        <f aca="false">IF(AND(F1402="Bilbo",E1402&lt;&gt;"",G1402&lt;&gt;"",H1402&lt;&gt;""),E1402&amp;"|"&amp;G1402&amp;"|"&amp;H1402,"")</f>
        <v/>
      </c>
      <c r="Y1402" s="21" t="str">
        <f aca="false">IF(B1402="","",IF(B1402&lt;&gt;B1401,1,0))</f>
        <v/>
      </c>
    </row>
    <row r="1403" customFormat="false" ht="15" hidden="false" customHeight="true" outlineLevel="0" collapsed="false">
      <c r="A1403" s="21" t="str">
        <f aca="false">IF(B1403="","",ROW()-4)</f>
        <v/>
      </c>
      <c r="B1403" s="22"/>
      <c r="C1403" s="21" t="str">
        <f aca="false">IF(B1403="","",CHOOSE(WEEKDAY(B1403,2),"LUNES","MARTES","MIÉRCOLES","JUEVES","VIERNES","SÁBADO","DOMINGO"))</f>
        <v/>
      </c>
      <c r="M1403" s="23"/>
      <c r="Q1403" s="21" t="str">
        <f aca="false">IF(OR(K1403="",N1403=""),"",K1403-N1403)</f>
        <v/>
      </c>
      <c r="R1403" s="21" t="str">
        <f aca="false">IF(OR(J1403="",K1403=""),"",J1403*K1403)</f>
        <v/>
      </c>
      <c r="S1403" s="21" t="str">
        <f aca="false">IF(AND(ISNUMBER(J1403),ISNUMBER(K1403),F1403&lt;&gt;"Calentamiento",F1403&lt;&gt;"Bilbo"),IF(AND(K1403&gt;0,K1403&lt;=12),ROUND(J1403*(1+(K1403+IF(ISNUMBER(L1403),L1403,0))/30),1),""),"")</f>
        <v/>
      </c>
      <c r="T1403" s="21" t="str">
        <f aca="false">IF(AND(F1403="Bilbo",ISNUMBER(J1403),ISNUMBER(K1403)),ROUND(J1403*(1+K1403/30),1),"")</f>
        <v/>
      </c>
      <c r="W1403" s="22"/>
      <c r="X1403" s="21" t="str">
        <f aca="false">IF(AND(F1403="Bilbo",E1403&lt;&gt;"",G1403&lt;&gt;"",H1403&lt;&gt;""),E1403&amp;"|"&amp;G1403&amp;"|"&amp;H1403,"")</f>
        <v/>
      </c>
      <c r="Y1403" s="21" t="str">
        <f aca="false">IF(B1403="","",IF(B1403&lt;&gt;B1402,1,0))</f>
        <v/>
      </c>
    </row>
    <row r="1404" customFormat="false" ht="15" hidden="false" customHeight="true" outlineLevel="0" collapsed="false">
      <c r="A1404" s="21" t="str">
        <f aca="false">IF(B1404="","",ROW()-4)</f>
        <v/>
      </c>
      <c r="B1404" s="22"/>
      <c r="C1404" s="21" t="str">
        <f aca="false">IF(B1404="","",CHOOSE(WEEKDAY(B1404,2),"LUNES","MARTES","MIÉRCOLES","JUEVES","VIERNES","SÁBADO","DOMINGO"))</f>
        <v/>
      </c>
      <c r="M1404" s="23"/>
      <c r="Q1404" s="21" t="str">
        <f aca="false">IF(OR(K1404="",N1404=""),"",K1404-N1404)</f>
        <v/>
      </c>
      <c r="R1404" s="21" t="str">
        <f aca="false">IF(OR(J1404="",K1404=""),"",J1404*K1404)</f>
        <v/>
      </c>
      <c r="S1404" s="21" t="str">
        <f aca="false">IF(AND(ISNUMBER(J1404),ISNUMBER(K1404),F1404&lt;&gt;"Calentamiento",F1404&lt;&gt;"Bilbo"),IF(AND(K1404&gt;0,K1404&lt;=12),ROUND(J1404*(1+(K1404+IF(ISNUMBER(L1404),L1404,0))/30),1),""),"")</f>
        <v/>
      </c>
      <c r="T1404" s="21" t="str">
        <f aca="false">IF(AND(F1404="Bilbo",ISNUMBER(J1404),ISNUMBER(K1404)),ROUND(J1404*(1+K1404/30),1),"")</f>
        <v/>
      </c>
      <c r="W1404" s="22"/>
      <c r="X1404" s="21" t="str">
        <f aca="false">IF(AND(F1404="Bilbo",E1404&lt;&gt;"",G1404&lt;&gt;"",H1404&lt;&gt;""),E1404&amp;"|"&amp;G1404&amp;"|"&amp;H1404,"")</f>
        <v/>
      </c>
      <c r="Y1404" s="21" t="str">
        <f aca="false">IF(B1404="","",IF(B1404&lt;&gt;B1403,1,0))</f>
        <v/>
      </c>
    </row>
    <row r="1405" customFormat="false" ht="15" hidden="false" customHeight="true" outlineLevel="0" collapsed="false">
      <c r="A1405" s="21" t="str">
        <f aca="false">IF(B1405="","",ROW()-4)</f>
        <v/>
      </c>
      <c r="B1405" s="22"/>
      <c r="C1405" s="21" t="str">
        <f aca="false">IF(B1405="","",CHOOSE(WEEKDAY(B1405,2),"LUNES","MARTES","MIÉRCOLES","JUEVES","VIERNES","SÁBADO","DOMINGO"))</f>
        <v/>
      </c>
      <c r="M1405" s="23"/>
      <c r="Q1405" s="21" t="str">
        <f aca="false">IF(OR(K1405="",N1405=""),"",K1405-N1405)</f>
        <v/>
      </c>
      <c r="R1405" s="21" t="str">
        <f aca="false">IF(OR(J1405="",K1405=""),"",J1405*K1405)</f>
        <v/>
      </c>
      <c r="S1405" s="21" t="str">
        <f aca="false">IF(AND(ISNUMBER(J1405),ISNUMBER(K1405),F1405&lt;&gt;"Calentamiento",F1405&lt;&gt;"Bilbo"),IF(AND(K1405&gt;0,K1405&lt;=12),ROUND(J1405*(1+(K1405+IF(ISNUMBER(L1405),L1405,0))/30),1),""),"")</f>
        <v/>
      </c>
      <c r="T1405" s="21" t="str">
        <f aca="false">IF(AND(F1405="Bilbo",ISNUMBER(J1405),ISNUMBER(K1405)),ROUND(J1405*(1+K1405/30),1),"")</f>
        <v/>
      </c>
      <c r="W1405" s="22"/>
      <c r="X1405" s="21" t="str">
        <f aca="false">IF(AND(F1405="Bilbo",E1405&lt;&gt;"",G1405&lt;&gt;"",H1405&lt;&gt;""),E1405&amp;"|"&amp;G1405&amp;"|"&amp;H1405,"")</f>
        <v/>
      </c>
      <c r="Y1405" s="21" t="str">
        <f aca="false">IF(B1405="","",IF(B1405&lt;&gt;B1404,1,0))</f>
        <v/>
      </c>
    </row>
    <row r="1406" customFormat="false" ht="15" hidden="false" customHeight="true" outlineLevel="0" collapsed="false">
      <c r="A1406" s="21" t="str">
        <f aca="false">IF(B1406="","",ROW()-4)</f>
        <v/>
      </c>
      <c r="B1406" s="22"/>
      <c r="C1406" s="21" t="str">
        <f aca="false">IF(B1406="","",CHOOSE(WEEKDAY(B1406,2),"LUNES","MARTES","MIÉRCOLES","JUEVES","VIERNES","SÁBADO","DOMINGO"))</f>
        <v/>
      </c>
      <c r="M1406" s="23"/>
      <c r="Q1406" s="21" t="str">
        <f aca="false">IF(OR(K1406="",N1406=""),"",K1406-N1406)</f>
        <v/>
      </c>
      <c r="R1406" s="21" t="str">
        <f aca="false">IF(OR(J1406="",K1406=""),"",J1406*K1406)</f>
        <v/>
      </c>
      <c r="S1406" s="21" t="str">
        <f aca="false">IF(AND(ISNUMBER(J1406),ISNUMBER(K1406),F1406&lt;&gt;"Calentamiento",F1406&lt;&gt;"Bilbo"),IF(AND(K1406&gt;0,K1406&lt;=12),ROUND(J1406*(1+(K1406+IF(ISNUMBER(L1406),L1406,0))/30),1),""),"")</f>
        <v/>
      </c>
      <c r="T1406" s="21" t="str">
        <f aca="false">IF(AND(F1406="Bilbo",ISNUMBER(J1406),ISNUMBER(K1406)),ROUND(J1406*(1+K1406/30),1),"")</f>
        <v/>
      </c>
      <c r="W1406" s="22"/>
      <c r="X1406" s="21" t="str">
        <f aca="false">IF(AND(F1406="Bilbo",E1406&lt;&gt;"",G1406&lt;&gt;"",H1406&lt;&gt;""),E1406&amp;"|"&amp;G1406&amp;"|"&amp;H1406,"")</f>
        <v/>
      </c>
      <c r="Y1406" s="21" t="str">
        <f aca="false">IF(B1406="","",IF(B1406&lt;&gt;B1405,1,0))</f>
        <v/>
      </c>
    </row>
    <row r="1407" customFormat="false" ht="15" hidden="false" customHeight="true" outlineLevel="0" collapsed="false">
      <c r="A1407" s="21" t="str">
        <f aca="false">IF(B1407="","",ROW()-4)</f>
        <v/>
      </c>
      <c r="B1407" s="22"/>
      <c r="C1407" s="21" t="str">
        <f aca="false">IF(B1407="","",CHOOSE(WEEKDAY(B1407,2),"LUNES","MARTES","MIÉRCOLES","JUEVES","VIERNES","SÁBADO","DOMINGO"))</f>
        <v/>
      </c>
      <c r="M1407" s="23"/>
      <c r="Q1407" s="21" t="str">
        <f aca="false">IF(OR(K1407="",N1407=""),"",K1407-N1407)</f>
        <v/>
      </c>
      <c r="R1407" s="21" t="str">
        <f aca="false">IF(OR(J1407="",K1407=""),"",J1407*K1407)</f>
        <v/>
      </c>
      <c r="S1407" s="21" t="str">
        <f aca="false">IF(AND(ISNUMBER(J1407),ISNUMBER(K1407),F1407&lt;&gt;"Calentamiento",F1407&lt;&gt;"Bilbo"),IF(AND(K1407&gt;0,K1407&lt;=12),ROUND(J1407*(1+(K1407+IF(ISNUMBER(L1407),L1407,0))/30),1),""),"")</f>
        <v/>
      </c>
      <c r="T1407" s="21" t="str">
        <f aca="false">IF(AND(F1407="Bilbo",ISNUMBER(J1407),ISNUMBER(K1407)),ROUND(J1407*(1+K1407/30),1),"")</f>
        <v/>
      </c>
      <c r="W1407" s="22"/>
      <c r="X1407" s="21" t="str">
        <f aca="false">IF(AND(F1407="Bilbo",E1407&lt;&gt;"",G1407&lt;&gt;"",H1407&lt;&gt;""),E1407&amp;"|"&amp;G1407&amp;"|"&amp;H1407,"")</f>
        <v/>
      </c>
      <c r="Y1407" s="21" t="str">
        <f aca="false">IF(B1407="","",IF(B1407&lt;&gt;B1406,1,0))</f>
        <v/>
      </c>
    </row>
    <row r="1408" customFormat="false" ht="15" hidden="false" customHeight="true" outlineLevel="0" collapsed="false">
      <c r="A1408" s="21" t="str">
        <f aca="false">IF(B1408="","",ROW()-4)</f>
        <v/>
      </c>
      <c r="B1408" s="22"/>
      <c r="C1408" s="21" t="str">
        <f aca="false">IF(B1408="","",CHOOSE(WEEKDAY(B1408,2),"LUNES","MARTES","MIÉRCOLES","JUEVES","VIERNES","SÁBADO","DOMINGO"))</f>
        <v/>
      </c>
      <c r="M1408" s="23"/>
      <c r="Q1408" s="21" t="str">
        <f aca="false">IF(OR(K1408="",N1408=""),"",K1408-N1408)</f>
        <v/>
      </c>
      <c r="R1408" s="21" t="str">
        <f aca="false">IF(OR(J1408="",K1408=""),"",J1408*K1408)</f>
        <v/>
      </c>
      <c r="S1408" s="21" t="str">
        <f aca="false">IF(AND(ISNUMBER(J1408),ISNUMBER(K1408),F1408&lt;&gt;"Calentamiento",F1408&lt;&gt;"Bilbo"),IF(AND(K1408&gt;0,K1408&lt;=12),ROUND(J1408*(1+(K1408+IF(ISNUMBER(L1408),L1408,0))/30),1),""),"")</f>
        <v/>
      </c>
      <c r="T1408" s="21" t="str">
        <f aca="false">IF(AND(F1408="Bilbo",ISNUMBER(J1408),ISNUMBER(K1408)),ROUND(J1408*(1+K1408/30),1),"")</f>
        <v/>
      </c>
      <c r="W1408" s="22"/>
      <c r="X1408" s="21" t="str">
        <f aca="false">IF(AND(F1408="Bilbo",E1408&lt;&gt;"",G1408&lt;&gt;"",H1408&lt;&gt;""),E1408&amp;"|"&amp;G1408&amp;"|"&amp;H1408,"")</f>
        <v/>
      </c>
      <c r="Y1408" s="21" t="str">
        <f aca="false">IF(B1408="","",IF(B1408&lt;&gt;B1407,1,0))</f>
        <v/>
      </c>
    </row>
    <row r="1409" customFormat="false" ht="15" hidden="false" customHeight="true" outlineLevel="0" collapsed="false">
      <c r="A1409" s="21" t="str">
        <f aca="false">IF(B1409="","",ROW()-4)</f>
        <v/>
      </c>
      <c r="B1409" s="22"/>
      <c r="C1409" s="21" t="str">
        <f aca="false">IF(B1409="","",CHOOSE(WEEKDAY(B1409,2),"LUNES","MARTES","MIÉRCOLES","JUEVES","VIERNES","SÁBADO","DOMINGO"))</f>
        <v/>
      </c>
      <c r="M1409" s="23"/>
      <c r="Q1409" s="21" t="str">
        <f aca="false">IF(OR(K1409="",N1409=""),"",K1409-N1409)</f>
        <v/>
      </c>
      <c r="R1409" s="21" t="str">
        <f aca="false">IF(OR(J1409="",K1409=""),"",J1409*K1409)</f>
        <v/>
      </c>
      <c r="S1409" s="21" t="str">
        <f aca="false">IF(AND(ISNUMBER(J1409),ISNUMBER(K1409),F1409&lt;&gt;"Calentamiento",F1409&lt;&gt;"Bilbo"),IF(AND(K1409&gt;0,K1409&lt;=12),ROUND(J1409*(1+(K1409+IF(ISNUMBER(L1409),L1409,0))/30),1),""),"")</f>
        <v/>
      </c>
      <c r="T1409" s="21" t="str">
        <f aca="false">IF(AND(F1409="Bilbo",ISNUMBER(J1409),ISNUMBER(K1409)),ROUND(J1409*(1+K1409/30),1),"")</f>
        <v/>
      </c>
      <c r="W1409" s="22"/>
      <c r="X1409" s="21" t="str">
        <f aca="false">IF(AND(F1409="Bilbo",E1409&lt;&gt;"",G1409&lt;&gt;"",H1409&lt;&gt;""),E1409&amp;"|"&amp;G1409&amp;"|"&amp;H1409,"")</f>
        <v/>
      </c>
      <c r="Y1409" s="21" t="str">
        <f aca="false">IF(B1409="","",IF(B1409&lt;&gt;B1408,1,0))</f>
        <v/>
      </c>
    </row>
    <row r="1410" customFormat="false" ht="15" hidden="false" customHeight="true" outlineLevel="0" collapsed="false">
      <c r="A1410" s="21" t="str">
        <f aca="false">IF(B1410="","",ROW()-4)</f>
        <v/>
      </c>
      <c r="B1410" s="22"/>
      <c r="C1410" s="21" t="str">
        <f aca="false">IF(B1410="","",CHOOSE(WEEKDAY(B1410,2),"LUNES","MARTES","MIÉRCOLES","JUEVES","VIERNES","SÁBADO","DOMINGO"))</f>
        <v/>
      </c>
      <c r="M1410" s="23"/>
      <c r="Q1410" s="21" t="str">
        <f aca="false">IF(OR(K1410="",N1410=""),"",K1410-N1410)</f>
        <v/>
      </c>
      <c r="R1410" s="21" t="str">
        <f aca="false">IF(OR(J1410="",K1410=""),"",J1410*K1410)</f>
        <v/>
      </c>
      <c r="S1410" s="21" t="str">
        <f aca="false">IF(AND(ISNUMBER(J1410),ISNUMBER(K1410),F1410&lt;&gt;"Calentamiento",F1410&lt;&gt;"Bilbo"),IF(AND(K1410&gt;0,K1410&lt;=12),ROUND(J1410*(1+(K1410+IF(ISNUMBER(L1410),L1410,0))/30),1),""),"")</f>
        <v/>
      </c>
      <c r="T1410" s="21" t="str">
        <f aca="false">IF(AND(F1410="Bilbo",ISNUMBER(J1410),ISNUMBER(K1410)),ROUND(J1410*(1+K1410/30),1),"")</f>
        <v/>
      </c>
      <c r="W1410" s="22"/>
      <c r="X1410" s="21" t="str">
        <f aca="false">IF(AND(F1410="Bilbo",E1410&lt;&gt;"",G1410&lt;&gt;"",H1410&lt;&gt;""),E1410&amp;"|"&amp;G1410&amp;"|"&amp;H1410,"")</f>
        <v/>
      </c>
      <c r="Y1410" s="21" t="str">
        <f aca="false">IF(B1410="","",IF(B1410&lt;&gt;B1409,1,0))</f>
        <v/>
      </c>
    </row>
    <row r="1411" customFormat="false" ht="15" hidden="false" customHeight="true" outlineLevel="0" collapsed="false">
      <c r="A1411" s="21" t="str">
        <f aca="false">IF(B1411="","",ROW()-4)</f>
        <v/>
      </c>
      <c r="B1411" s="22"/>
      <c r="C1411" s="21" t="str">
        <f aca="false">IF(B1411="","",CHOOSE(WEEKDAY(B1411,2),"LUNES","MARTES","MIÉRCOLES","JUEVES","VIERNES","SÁBADO","DOMINGO"))</f>
        <v/>
      </c>
      <c r="M1411" s="23"/>
      <c r="Q1411" s="21" t="str">
        <f aca="false">IF(OR(K1411="",N1411=""),"",K1411-N1411)</f>
        <v/>
      </c>
      <c r="R1411" s="21" t="str">
        <f aca="false">IF(OR(J1411="",K1411=""),"",J1411*K1411)</f>
        <v/>
      </c>
      <c r="S1411" s="21" t="str">
        <f aca="false">IF(AND(ISNUMBER(J1411),ISNUMBER(K1411),F1411&lt;&gt;"Calentamiento",F1411&lt;&gt;"Bilbo"),IF(AND(K1411&gt;0,K1411&lt;=12),ROUND(J1411*(1+(K1411+IF(ISNUMBER(L1411),L1411,0))/30),1),""),"")</f>
        <v/>
      </c>
      <c r="T1411" s="21" t="str">
        <f aca="false">IF(AND(F1411="Bilbo",ISNUMBER(J1411),ISNUMBER(K1411)),ROUND(J1411*(1+K1411/30),1),"")</f>
        <v/>
      </c>
      <c r="W1411" s="22"/>
      <c r="X1411" s="21" t="str">
        <f aca="false">IF(AND(F1411="Bilbo",E1411&lt;&gt;"",G1411&lt;&gt;"",H1411&lt;&gt;""),E1411&amp;"|"&amp;G1411&amp;"|"&amp;H1411,"")</f>
        <v/>
      </c>
      <c r="Y1411" s="21" t="str">
        <f aca="false">IF(B1411="","",IF(B1411&lt;&gt;B1410,1,0))</f>
        <v/>
      </c>
    </row>
    <row r="1412" customFormat="false" ht="15" hidden="false" customHeight="true" outlineLevel="0" collapsed="false">
      <c r="A1412" s="21" t="str">
        <f aca="false">IF(B1412="","",ROW()-4)</f>
        <v/>
      </c>
      <c r="B1412" s="22"/>
      <c r="C1412" s="21" t="str">
        <f aca="false">IF(B1412="","",CHOOSE(WEEKDAY(B1412,2),"LUNES","MARTES","MIÉRCOLES","JUEVES","VIERNES","SÁBADO","DOMINGO"))</f>
        <v/>
      </c>
      <c r="M1412" s="23"/>
      <c r="Q1412" s="21" t="str">
        <f aca="false">IF(OR(K1412="",N1412=""),"",K1412-N1412)</f>
        <v/>
      </c>
      <c r="R1412" s="21" t="str">
        <f aca="false">IF(OR(J1412="",K1412=""),"",J1412*K1412)</f>
        <v/>
      </c>
      <c r="S1412" s="21" t="str">
        <f aca="false">IF(AND(ISNUMBER(J1412),ISNUMBER(K1412),F1412&lt;&gt;"Calentamiento",F1412&lt;&gt;"Bilbo"),IF(AND(K1412&gt;0,K1412&lt;=12),ROUND(J1412*(1+(K1412+IF(ISNUMBER(L1412),L1412,0))/30),1),""),"")</f>
        <v/>
      </c>
      <c r="T1412" s="21" t="str">
        <f aca="false">IF(AND(F1412="Bilbo",ISNUMBER(J1412),ISNUMBER(K1412)),ROUND(J1412*(1+K1412/30),1),"")</f>
        <v/>
      </c>
      <c r="W1412" s="22"/>
      <c r="X1412" s="21" t="str">
        <f aca="false">IF(AND(F1412="Bilbo",E1412&lt;&gt;"",G1412&lt;&gt;"",H1412&lt;&gt;""),E1412&amp;"|"&amp;G1412&amp;"|"&amp;H1412,"")</f>
        <v/>
      </c>
      <c r="Y1412" s="21" t="str">
        <f aca="false">IF(B1412="","",IF(B1412&lt;&gt;B1411,1,0))</f>
        <v/>
      </c>
    </row>
    <row r="1413" customFormat="false" ht="15" hidden="false" customHeight="true" outlineLevel="0" collapsed="false">
      <c r="A1413" s="21" t="str">
        <f aca="false">IF(B1413="","",ROW()-4)</f>
        <v/>
      </c>
      <c r="B1413" s="22"/>
      <c r="C1413" s="21" t="str">
        <f aca="false">IF(B1413="","",CHOOSE(WEEKDAY(B1413,2),"LUNES","MARTES","MIÉRCOLES","JUEVES","VIERNES","SÁBADO","DOMINGO"))</f>
        <v/>
      </c>
      <c r="M1413" s="23"/>
      <c r="Q1413" s="21" t="str">
        <f aca="false">IF(OR(K1413="",N1413=""),"",K1413-N1413)</f>
        <v/>
      </c>
      <c r="R1413" s="21" t="str">
        <f aca="false">IF(OR(J1413="",K1413=""),"",J1413*K1413)</f>
        <v/>
      </c>
      <c r="S1413" s="21" t="str">
        <f aca="false">IF(AND(ISNUMBER(J1413),ISNUMBER(K1413),F1413&lt;&gt;"Calentamiento",F1413&lt;&gt;"Bilbo"),IF(AND(K1413&gt;0,K1413&lt;=12),ROUND(J1413*(1+(K1413+IF(ISNUMBER(L1413),L1413,0))/30),1),""),"")</f>
        <v/>
      </c>
      <c r="T1413" s="21" t="str">
        <f aca="false">IF(AND(F1413="Bilbo",ISNUMBER(J1413),ISNUMBER(K1413)),ROUND(J1413*(1+K1413/30),1),"")</f>
        <v/>
      </c>
      <c r="W1413" s="22"/>
      <c r="X1413" s="21" t="str">
        <f aca="false">IF(AND(F1413="Bilbo",E1413&lt;&gt;"",G1413&lt;&gt;"",H1413&lt;&gt;""),E1413&amp;"|"&amp;G1413&amp;"|"&amp;H1413,"")</f>
        <v/>
      </c>
      <c r="Y1413" s="21" t="str">
        <f aca="false">IF(B1413="","",IF(B1413&lt;&gt;B1412,1,0))</f>
        <v/>
      </c>
    </row>
    <row r="1414" customFormat="false" ht="15" hidden="false" customHeight="true" outlineLevel="0" collapsed="false">
      <c r="A1414" s="21" t="str">
        <f aca="false">IF(B1414="","",ROW()-4)</f>
        <v/>
      </c>
      <c r="B1414" s="22"/>
      <c r="C1414" s="21" t="str">
        <f aca="false">IF(B1414="","",CHOOSE(WEEKDAY(B1414,2),"LUNES","MARTES","MIÉRCOLES","JUEVES","VIERNES","SÁBADO","DOMINGO"))</f>
        <v/>
      </c>
      <c r="M1414" s="23"/>
      <c r="Q1414" s="21" t="str">
        <f aca="false">IF(OR(K1414="",N1414=""),"",K1414-N1414)</f>
        <v/>
      </c>
      <c r="R1414" s="21" t="str">
        <f aca="false">IF(OR(J1414="",K1414=""),"",J1414*K1414)</f>
        <v/>
      </c>
      <c r="S1414" s="21" t="str">
        <f aca="false">IF(AND(ISNUMBER(J1414),ISNUMBER(K1414),F1414&lt;&gt;"Calentamiento",F1414&lt;&gt;"Bilbo"),IF(AND(K1414&gt;0,K1414&lt;=12),ROUND(J1414*(1+(K1414+IF(ISNUMBER(L1414),L1414,0))/30),1),""),"")</f>
        <v/>
      </c>
      <c r="T1414" s="21" t="str">
        <f aca="false">IF(AND(F1414="Bilbo",ISNUMBER(J1414),ISNUMBER(K1414)),ROUND(J1414*(1+K1414/30),1),"")</f>
        <v/>
      </c>
      <c r="W1414" s="22"/>
      <c r="X1414" s="21" t="str">
        <f aca="false">IF(AND(F1414="Bilbo",E1414&lt;&gt;"",G1414&lt;&gt;"",H1414&lt;&gt;""),E1414&amp;"|"&amp;G1414&amp;"|"&amp;H1414,"")</f>
        <v/>
      </c>
      <c r="Y1414" s="21" t="str">
        <f aca="false">IF(B1414="","",IF(B1414&lt;&gt;B1413,1,0))</f>
        <v/>
      </c>
    </row>
    <row r="1415" customFormat="false" ht="15" hidden="false" customHeight="true" outlineLevel="0" collapsed="false">
      <c r="A1415" s="21" t="str">
        <f aca="false">IF(B1415="","",ROW()-4)</f>
        <v/>
      </c>
      <c r="B1415" s="22"/>
      <c r="C1415" s="21" t="str">
        <f aca="false">IF(B1415="","",CHOOSE(WEEKDAY(B1415,2),"LUNES","MARTES","MIÉRCOLES","JUEVES","VIERNES","SÁBADO","DOMINGO"))</f>
        <v/>
      </c>
      <c r="M1415" s="23"/>
      <c r="Q1415" s="21" t="str">
        <f aca="false">IF(OR(K1415="",N1415=""),"",K1415-N1415)</f>
        <v/>
      </c>
      <c r="R1415" s="21" t="str">
        <f aca="false">IF(OR(J1415="",K1415=""),"",J1415*K1415)</f>
        <v/>
      </c>
      <c r="S1415" s="21" t="str">
        <f aca="false">IF(AND(ISNUMBER(J1415),ISNUMBER(K1415),F1415&lt;&gt;"Calentamiento",F1415&lt;&gt;"Bilbo"),IF(AND(K1415&gt;0,K1415&lt;=12),ROUND(J1415*(1+(K1415+IF(ISNUMBER(L1415),L1415,0))/30),1),""),"")</f>
        <v/>
      </c>
      <c r="T1415" s="21" t="str">
        <f aca="false">IF(AND(F1415="Bilbo",ISNUMBER(J1415),ISNUMBER(K1415)),ROUND(J1415*(1+K1415/30),1),"")</f>
        <v/>
      </c>
      <c r="W1415" s="22"/>
      <c r="X1415" s="21" t="str">
        <f aca="false">IF(AND(F1415="Bilbo",E1415&lt;&gt;"",G1415&lt;&gt;"",H1415&lt;&gt;""),E1415&amp;"|"&amp;G1415&amp;"|"&amp;H1415,"")</f>
        <v/>
      </c>
      <c r="Y1415" s="21" t="str">
        <f aca="false">IF(B1415="","",IF(B1415&lt;&gt;B1414,1,0))</f>
        <v/>
      </c>
    </row>
    <row r="1416" customFormat="false" ht="15" hidden="false" customHeight="true" outlineLevel="0" collapsed="false">
      <c r="A1416" s="21" t="str">
        <f aca="false">IF(B1416="","",ROW()-4)</f>
        <v/>
      </c>
      <c r="B1416" s="22"/>
      <c r="C1416" s="21" t="str">
        <f aca="false">IF(B1416="","",CHOOSE(WEEKDAY(B1416,2),"LUNES","MARTES","MIÉRCOLES","JUEVES","VIERNES","SÁBADO","DOMINGO"))</f>
        <v/>
      </c>
      <c r="M1416" s="23"/>
      <c r="Q1416" s="21" t="str">
        <f aca="false">IF(OR(K1416="",N1416=""),"",K1416-N1416)</f>
        <v/>
      </c>
      <c r="R1416" s="21" t="str">
        <f aca="false">IF(OR(J1416="",K1416=""),"",J1416*K1416)</f>
        <v/>
      </c>
      <c r="S1416" s="21" t="str">
        <f aca="false">IF(AND(ISNUMBER(J1416),ISNUMBER(K1416),F1416&lt;&gt;"Calentamiento",F1416&lt;&gt;"Bilbo"),IF(AND(K1416&gt;0,K1416&lt;=12),ROUND(J1416*(1+(K1416+IF(ISNUMBER(L1416),L1416,0))/30),1),""),"")</f>
        <v/>
      </c>
      <c r="T1416" s="21" t="str">
        <f aca="false">IF(AND(F1416="Bilbo",ISNUMBER(J1416),ISNUMBER(K1416)),ROUND(J1416*(1+K1416/30),1),"")</f>
        <v/>
      </c>
      <c r="W1416" s="22"/>
      <c r="X1416" s="21" t="str">
        <f aca="false">IF(AND(F1416="Bilbo",E1416&lt;&gt;"",G1416&lt;&gt;"",H1416&lt;&gt;""),E1416&amp;"|"&amp;G1416&amp;"|"&amp;H1416,"")</f>
        <v/>
      </c>
      <c r="Y1416" s="21" t="str">
        <f aca="false">IF(B1416="","",IF(B1416&lt;&gt;B1415,1,0))</f>
        <v/>
      </c>
    </row>
    <row r="1417" customFormat="false" ht="15" hidden="false" customHeight="true" outlineLevel="0" collapsed="false">
      <c r="A1417" s="21" t="str">
        <f aca="false">IF(B1417="","",ROW()-4)</f>
        <v/>
      </c>
      <c r="B1417" s="22"/>
      <c r="C1417" s="21" t="str">
        <f aca="false">IF(B1417="","",CHOOSE(WEEKDAY(B1417,2),"LUNES","MARTES","MIÉRCOLES","JUEVES","VIERNES","SÁBADO","DOMINGO"))</f>
        <v/>
      </c>
      <c r="M1417" s="23"/>
      <c r="Q1417" s="21" t="str">
        <f aca="false">IF(OR(K1417="",N1417=""),"",K1417-N1417)</f>
        <v/>
      </c>
      <c r="R1417" s="21" t="str">
        <f aca="false">IF(OR(J1417="",K1417=""),"",J1417*K1417)</f>
        <v/>
      </c>
      <c r="S1417" s="21" t="str">
        <f aca="false">IF(AND(ISNUMBER(J1417),ISNUMBER(K1417),F1417&lt;&gt;"Calentamiento",F1417&lt;&gt;"Bilbo"),IF(AND(K1417&gt;0,K1417&lt;=12),ROUND(J1417*(1+(K1417+IF(ISNUMBER(L1417),L1417,0))/30),1),""),"")</f>
        <v/>
      </c>
      <c r="T1417" s="21" t="str">
        <f aca="false">IF(AND(F1417="Bilbo",ISNUMBER(J1417),ISNUMBER(K1417)),ROUND(J1417*(1+K1417/30),1),"")</f>
        <v/>
      </c>
      <c r="W1417" s="22"/>
      <c r="X1417" s="21" t="str">
        <f aca="false">IF(AND(F1417="Bilbo",E1417&lt;&gt;"",G1417&lt;&gt;"",H1417&lt;&gt;""),E1417&amp;"|"&amp;G1417&amp;"|"&amp;H1417,"")</f>
        <v/>
      </c>
      <c r="Y1417" s="21" t="str">
        <f aca="false">IF(B1417="","",IF(B1417&lt;&gt;B1416,1,0))</f>
        <v/>
      </c>
    </row>
    <row r="1418" customFormat="false" ht="15" hidden="false" customHeight="true" outlineLevel="0" collapsed="false">
      <c r="A1418" s="21" t="str">
        <f aca="false">IF(B1418="","",ROW()-4)</f>
        <v/>
      </c>
      <c r="B1418" s="22"/>
      <c r="C1418" s="21" t="str">
        <f aca="false">IF(B1418="","",CHOOSE(WEEKDAY(B1418,2),"LUNES","MARTES","MIÉRCOLES","JUEVES","VIERNES","SÁBADO","DOMINGO"))</f>
        <v/>
      </c>
      <c r="M1418" s="23"/>
      <c r="Q1418" s="21" t="str">
        <f aca="false">IF(OR(K1418="",N1418=""),"",K1418-N1418)</f>
        <v/>
      </c>
      <c r="R1418" s="21" t="str">
        <f aca="false">IF(OR(J1418="",K1418=""),"",J1418*K1418)</f>
        <v/>
      </c>
      <c r="S1418" s="21" t="str">
        <f aca="false">IF(AND(ISNUMBER(J1418),ISNUMBER(K1418),F1418&lt;&gt;"Calentamiento",F1418&lt;&gt;"Bilbo"),IF(AND(K1418&gt;0,K1418&lt;=12),ROUND(J1418*(1+(K1418+IF(ISNUMBER(L1418),L1418,0))/30),1),""),"")</f>
        <v/>
      </c>
      <c r="T1418" s="21" t="str">
        <f aca="false">IF(AND(F1418="Bilbo",ISNUMBER(J1418),ISNUMBER(K1418)),ROUND(J1418*(1+K1418/30),1),"")</f>
        <v/>
      </c>
      <c r="W1418" s="22"/>
      <c r="X1418" s="21" t="str">
        <f aca="false">IF(AND(F1418="Bilbo",E1418&lt;&gt;"",G1418&lt;&gt;"",H1418&lt;&gt;""),E1418&amp;"|"&amp;G1418&amp;"|"&amp;H1418,"")</f>
        <v/>
      </c>
      <c r="Y1418" s="21" t="str">
        <f aca="false">IF(B1418="","",IF(B1418&lt;&gt;B1417,1,0))</f>
        <v/>
      </c>
    </row>
    <row r="1419" customFormat="false" ht="15" hidden="false" customHeight="true" outlineLevel="0" collapsed="false">
      <c r="A1419" s="21" t="str">
        <f aca="false">IF(B1419="","",ROW()-4)</f>
        <v/>
      </c>
      <c r="B1419" s="22"/>
      <c r="C1419" s="21" t="str">
        <f aca="false">IF(B1419="","",CHOOSE(WEEKDAY(B1419,2),"LUNES","MARTES","MIÉRCOLES","JUEVES","VIERNES","SÁBADO","DOMINGO"))</f>
        <v/>
      </c>
      <c r="M1419" s="23"/>
      <c r="Q1419" s="21" t="str">
        <f aca="false">IF(OR(K1419="",N1419=""),"",K1419-N1419)</f>
        <v/>
      </c>
      <c r="R1419" s="21" t="str">
        <f aca="false">IF(OR(J1419="",K1419=""),"",J1419*K1419)</f>
        <v/>
      </c>
      <c r="S1419" s="21" t="str">
        <f aca="false">IF(AND(ISNUMBER(J1419),ISNUMBER(K1419),F1419&lt;&gt;"Calentamiento",F1419&lt;&gt;"Bilbo"),IF(AND(K1419&gt;0,K1419&lt;=12),ROUND(J1419*(1+(K1419+IF(ISNUMBER(L1419),L1419,0))/30),1),""),"")</f>
        <v/>
      </c>
      <c r="T1419" s="21" t="str">
        <f aca="false">IF(AND(F1419="Bilbo",ISNUMBER(J1419),ISNUMBER(K1419)),ROUND(J1419*(1+K1419/30),1),"")</f>
        <v/>
      </c>
      <c r="W1419" s="22"/>
      <c r="X1419" s="21" t="str">
        <f aca="false">IF(AND(F1419="Bilbo",E1419&lt;&gt;"",G1419&lt;&gt;"",H1419&lt;&gt;""),E1419&amp;"|"&amp;G1419&amp;"|"&amp;H1419,"")</f>
        <v/>
      </c>
      <c r="Y1419" s="21" t="str">
        <f aca="false">IF(B1419="","",IF(B1419&lt;&gt;B1418,1,0))</f>
        <v/>
      </c>
    </row>
    <row r="1420" customFormat="false" ht="15" hidden="false" customHeight="true" outlineLevel="0" collapsed="false">
      <c r="A1420" s="21" t="str">
        <f aca="false">IF(B1420="","",ROW()-4)</f>
        <v/>
      </c>
      <c r="B1420" s="22"/>
      <c r="C1420" s="21" t="str">
        <f aca="false">IF(B1420="","",CHOOSE(WEEKDAY(B1420,2),"LUNES","MARTES","MIÉRCOLES","JUEVES","VIERNES","SÁBADO","DOMINGO"))</f>
        <v/>
      </c>
      <c r="M1420" s="23"/>
      <c r="Q1420" s="21" t="str">
        <f aca="false">IF(OR(K1420="",N1420=""),"",K1420-N1420)</f>
        <v/>
      </c>
      <c r="R1420" s="21" t="str">
        <f aca="false">IF(OR(J1420="",K1420=""),"",J1420*K1420)</f>
        <v/>
      </c>
      <c r="S1420" s="21" t="str">
        <f aca="false">IF(AND(ISNUMBER(J1420),ISNUMBER(K1420),F1420&lt;&gt;"Calentamiento",F1420&lt;&gt;"Bilbo"),IF(AND(K1420&gt;0,K1420&lt;=12),ROUND(J1420*(1+(K1420+IF(ISNUMBER(L1420),L1420,0))/30),1),""),"")</f>
        <v/>
      </c>
      <c r="T1420" s="21" t="str">
        <f aca="false">IF(AND(F1420="Bilbo",ISNUMBER(J1420),ISNUMBER(K1420)),ROUND(J1420*(1+K1420/30),1),"")</f>
        <v/>
      </c>
      <c r="W1420" s="22"/>
      <c r="X1420" s="21" t="str">
        <f aca="false">IF(AND(F1420="Bilbo",E1420&lt;&gt;"",G1420&lt;&gt;"",H1420&lt;&gt;""),E1420&amp;"|"&amp;G1420&amp;"|"&amp;H1420,"")</f>
        <v/>
      </c>
      <c r="Y1420" s="21" t="str">
        <f aca="false">IF(B1420="","",IF(B1420&lt;&gt;B1419,1,0))</f>
        <v/>
      </c>
    </row>
    <row r="1421" customFormat="false" ht="15" hidden="false" customHeight="true" outlineLevel="0" collapsed="false">
      <c r="A1421" s="21" t="str">
        <f aca="false">IF(B1421="","",ROW()-4)</f>
        <v/>
      </c>
      <c r="B1421" s="22"/>
      <c r="C1421" s="21" t="str">
        <f aca="false">IF(B1421="","",CHOOSE(WEEKDAY(B1421,2),"LUNES","MARTES","MIÉRCOLES","JUEVES","VIERNES","SÁBADO","DOMINGO"))</f>
        <v/>
      </c>
      <c r="M1421" s="23"/>
      <c r="Q1421" s="21" t="str">
        <f aca="false">IF(OR(K1421="",N1421=""),"",K1421-N1421)</f>
        <v/>
      </c>
      <c r="R1421" s="21" t="str">
        <f aca="false">IF(OR(J1421="",K1421=""),"",J1421*K1421)</f>
        <v/>
      </c>
      <c r="S1421" s="21" t="str">
        <f aca="false">IF(AND(ISNUMBER(J1421),ISNUMBER(K1421),F1421&lt;&gt;"Calentamiento",F1421&lt;&gt;"Bilbo"),IF(AND(K1421&gt;0,K1421&lt;=12),ROUND(J1421*(1+(K1421+IF(ISNUMBER(L1421),L1421,0))/30),1),""),"")</f>
        <v/>
      </c>
      <c r="T1421" s="21" t="str">
        <f aca="false">IF(AND(F1421="Bilbo",ISNUMBER(J1421),ISNUMBER(K1421)),ROUND(J1421*(1+K1421/30),1),"")</f>
        <v/>
      </c>
      <c r="W1421" s="22"/>
      <c r="X1421" s="21" t="str">
        <f aca="false">IF(AND(F1421="Bilbo",E1421&lt;&gt;"",G1421&lt;&gt;"",H1421&lt;&gt;""),E1421&amp;"|"&amp;G1421&amp;"|"&amp;H1421,"")</f>
        <v/>
      </c>
      <c r="Y1421" s="21" t="str">
        <f aca="false">IF(B1421="","",IF(B1421&lt;&gt;B1420,1,0))</f>
        <v/>
      </c>
    </row>
    <row r="1422" customFormat="false" ht="15" hidden="false" customHeight="true" outlineLevel="0" collapsed="false">
      <c r="A1422" s="21" t="str">
        <f aca="false">IF(B1422="","",ROW()-4)</f>
        <v/>
      </c>
      <c r="B1422" s="22"/>
      <c r="C1422" s="21" t="str">
        <f aca="false">IF(B1422="","",CHOOSE(WEEKDAY(B1422,2),"LUNES","MARTES","MIÉRCOLES","JUEVES","VIERNES","SÁBADO","DOMINGO"))</f>
        <v/>
      </c>
      <c r="M1422" s="23"/>
      <c r="Q1422" s="21" t="str">
        <f aca="false">IF(OR(K1422="",N1422=""),"",K1422-N1422)</f>
        <v/>
      </c>
      <c r="R1422" s="21" t="str">
        <f aca="false">IF(OR(J1422="",K1422=""),"",J1422*K1422)</f>
        <v/>
      </c>
      <c r="S1422" s="21" t="str">
        <f aca="false">IF(AND(ISNUMBER(J1422),ISNUMBER(K1422),F1422&lt;&gt;"Calentamiento",F1422&lt;&gt;"Bilbo"),IF(AND(K1422&gt;0,K1422&lt;=12),ROUND(J1422*(1+(K1422+IF(ISNUMBER(L1422),L1422,0))/30),1),""),"")</f>
        <v/>
      </c>
      <c r="T1422" s="21" t="str">
        <f aca="false">IF(AND(F1422="Bilbo",ISNUMBER(J1422),ISNUMBER(K1422)),ROUND(J1422*(1+K1422/30),1),"")</f>
        <v/>
      </c>
      <c r="W1422" s="22"/>
      <c r="X1422" s="21" t="str">
        <f aca="false">IF(AND(F1422="Bilbo",E1422&lt;&gt;"",G1422&lt;&gt;"",H1422&lt;&gt;""),E1422&amp;"|"&amp;G1422&amp;"|"&amp;H1422,"")</f>
        <v/>
      </c>
      <c r="Y1422" s="21" t="str">
        <f aca="false">IF(B1422="","",IF(B1422&lt;&gt;B1421,1,0))</f>
        <v/>
      </c>
    </row>
    <row r="1423" customFormat="false" ht="15" hidden="false" customHeight="true" outlineLevel="0" collapsed="false">
      <c r="A1423" s="21" t="str">
        <f aca="false">IF(B1423="","",ROW()-4)</f>
        <v/>
      </c>
      <c r="B1423" s="22"/>
      <c r="C1423" s="21" t="str">
        <f aca="false">IF(B1423="","",CHOOSE(WEEKDAY(B1423,2),"LUNES","MARTES","MIÉRCOLES","JUEVES","VIERNES","SÁBADO","DOMINGO"))</f>
        <v/>
      </c>
      <c r="M1423" s="23"/>
      <c r="Q1423" s="21" t="str">
        <f aca="false">IF(OR(K1423="",N1423=""),"",K1423-N1423)</f>
        <v/>
      </c>
      <c r="R1423" s="21" t="str">
        <f aca="false">IF(OR(J1423="",K1423=""),"",J1423*K1423)</f>
        <v/>
      </c>
      <c r="S1423" s="21" t="str">
        <f aca="false">IF(AND(ISNUMBER(J1423),ISNUMBER(K1423),F1423&lt;&gt;"Calentamiento",F1423&lt;&gt;"Bilbo"),IF(AND(K1423&gt;0,K1423&lt;=12),ROUND(J1423*(1+(K1423+IF(ISNUMBER(L1423),L1423,0))/30),1),""),"")</f>
        <v/>
      </c>
      <c r="T1423" s="21" t="str">
        <f aca="false">IF(AND(F1423="Bilbo",ISNUMBER(J1423),ISNUMBER(K1423)),ROUND(J1423*(1+K1423/30),1),"")</f>
        <v/>
      </c>
      <c r="W1423" s="22"/>
      <c r="X1423" s="21" t="str">
        <f aca="false">IF(AND(F1423="Bilbo",E1423&lt;&gt;"",G1423&lt;&gt;"",H1423&lt;&gt;""),E1423&amp;"|"&amp;G1423&amp;"|"&amp;H1423,"")</f>
        <v/>
      </c>
      <c r="Y1423" s="21" t="str">
        <f aca="false">IF(B1423="","",IF(B1423&lt;&gt;B1422,1,0))</f>
        <v/>
      </c>
    </row>
    <row r="1424" customFormat="false" ht="15" hidden="false" customHeight="true" outlineLevel="0" collapsed="false">
      <c r="A1424" s="21" t="str">
        <f aca="false">IF(B1424="","",ROW()-4)</f>
        <v/>
      </c>
      <c r="B1424" s="22"/>
      <c r="C1424" s="21" t="str">
        <f aca="false">IF(B1424="","",CHOOSE(WEEKDAY(B1424,2),"LUNES","MARTES","MIÉRCOLES","JUEVES","VIERNES","SÁBADO","DOMINGO"))</f>
        <v/>
      </c>
      <c r="M1424" s="23"/>
      <c r="Q1424" s="21" t="str">
        <f aca="false">IF(OR(K1424="",N1424=""),"",K1424-N1424)</f>
        <v/>
      </c>
      <c r="R1424" s="21" t="str">
        <f aca="false">IF(OR(J1424="",K1424=""),"",J1424*K1424)</f>
        <v/>
      </c>
      <c r="S1424" s="21" t="str">
        <f aca="false">IF(AND(ISNUMBER(J1424),ISNUMBER(K1424),F1424&lt;&gt;"Calentamiento",F1424&lt;&gt;"Bilbo"),IF(AND(K1424&gt;0,K1424&lt;=12),ROUND(J1424*(1+(K1424+IF(ISNUMBER(L1424),L1424,0))/30),1),""),"")</f>
        <v/>
      </c>
      <c r="T1424" s="21" t="str">
        <f aca="false">IF(AND(F1424="Bilbo",ISNUMBER(J1424),ISNUMBER(K1424)),ROUND(J1424*(1+K1424/30),1),"")</f>
        <v/>
      </c>
      <c r="W1424" s="22"/>
      <c r="X1424" s="21" t="str">
        <f aca="false">IF(AND(F1424="Bilbo",E1424&lt;&gt;"",G1424&lt;&gt;"",H1424&lt;&gt;""),E1424&amp;"|"&amp;G1424&amp;"|"&amp;H1424,"")</f>
        <v/>
      </c>
      <c r="Y1424" s="21" t="str">
        <f aca="false">IF(B1424="","",IF(B1424&lt;&gt;B1423,1,0))</f>
        <v/>
      </c>
    </row>
    <row r="1425" customFormat="false" ht="15" hidden="false" customHeight="true" outlineLevel="0" collapsed="false">
      <c r="A1425" s="21" t="str">
        <f aca="false">IF(B1425="","",ROW()-4)</f>
        <v/>
      </c>
      <c r="B1425" s="22"/>
      <c r="C1425" s="21" t="str">
        <f aca="false">IF(B1425="","",CHOOSE(WEEKDAY(B1425,2),"LUNES","MARTES","MIÉRCOLES","JUEVES","VIERNES","SÁBADO","DOMINGO"))</f>
        <v/>
      </c>
      <c r="M1425" s="23"/>
      <c r="Q1425" s="21" t="str">
        <f aca="false">IF(OR(K1425="",N1425=""),"",K1425-N1425)</f>
        <v/>
      </c>
      <c r="R1425" s="21" t="str">
        <f aca="false">IF(OR(J1425="",K1425=""),"",J1425*K1425)</f>
        <v/>
      </c>
      <c r="S1425" s="21" t="str">
        <f aca="false">IF(AND(ISNUMBER(J1425),ISNUMBER(K1425),F1425&lt;&gt;"Calentamiento",F1425&lt;&gt;"Bilbo"),IF(AND(K1425&gt;0,K1425&lt;=12),ROUND(J1425*(1+(K1425+IF(ISNUMBER(L1425),L1425,0))/30),1),""),"")</f>
        <v/>
      </c>
      <c r="T1425" s="21" t="str">
        <f aca="false">IF(AND(F1425="Bilbo",ISNUMBER(J1425),ISNUMBER(K1425)),ROUND(J1425*(1+K1425/30),1),"")</f>
        <v/>
      </c>
      <c r="W1425" s="22"/>
      <c r="X1425" s="21" t="str">
        <f aca="false">IF(AND(F1425="Bilbo",E1425&lt;&gt;"",G1425&lt;&gt;"",H1425&lt;&gt;""),E1425&amp;"|"&amp;G1425&amp;"|"&amp;H1425,"")</f>
        <v/>
      </c>
      <c r="Y1425" s="21" t="str">
        <f aca="false">IF(B1425="","",IF(B1425&lt;&gt;B1424,1,0))</f>
        <v/>
      </c>
    </row>
    <row r="1426" customFormat="false" ht="15" hidden="false" customHeight="true" outlineLevel="0" collapsed="false">
      <c r="A1426" s="21" t="str">
        <f aca="false">IF(B1426="","",ROW()-4)</f>
        <v/>
      </c>
      <c r="B1426" s="22"/>
      <c r="C1426" s="21" t="str">
        <f aca="false">IF(B1426="","",CHOOSE(WEEKDAY(B1426,2),"LUNES","MARTES","MIÉRCOLES","JUEVES","VIERNES","SÁBADO","DOMINGO"))</f>
        <v/>
      </c>
      <c r="M1426" s="23"/>
      <c r="Q1426" s="21" t="str">
        <f aca="false">IF(OR(K1426="",N1426=""),"",K1426-N1426)</f>
        <v/>
      </c>
      <c r="R1426" s="21" t="str">
        <f aca="false">IF(OR(J1426="",K1426=""),"",J1426*K1426)</f>
        <v/>
      </c>
      <c r="S1426" s="21" t="str">
        <f aca="false">IF(AND(ISNUMBER(J1426),ISNUMBER(K1426),F1426&lt;&gt;"Calentamiento",F1426&lt;&gt;"Bilbo"),IF(AND(K1426&gt;0,K1426&lt;=12),ROUND(J1426*(1+(K1426+IF(ISNUMBER(L1426),L1426,0))/30),1),""),"")</f>
        <v/>
      </c>
      <c r="T1426" s="21" t="str">
        <f aca="false">IF(AND(F1426="Bilbo",ISNUMBER(J1426),ISNUMBER(K1426)),ROUND(J1426*(1+K1426/30),1),"")</f>
        <v/>
      </c>
      <c r="W1426" s="22"/>
      <c r="X1426" s="21" t="str">
        <f aca="false">IF(AND(F1426="Bilbo",E1426&lt;&gt;"",G1426&lt;&gt;"",H1426&lt;&gt;""),E1426&amp;"|"&amp;G1426&amp;"|"&amp;H1426,"")</f>
        <v/>
      </c>
      <c r="Y1426" s="21" t="str">
        <f aca="false">IF(B1426="","",IF(B1426&lt;&gt;B1425,1,0))</f>
        <v/>
      </c>
    </row>
    <row r="1427" customFormat="false" ht="15" hidden="false" customHeight="true" outlineLevel="0" collapsed="false">
      <c r="A1427" s="21" t="str">
        <f aca="false">IF(B1427="","",ROW()-4)</f>
        <v/>
      </c>
      <c r="B1427" s="22"/>
      <c r="C1427" s="21" t="str">
        <f aca="false">IF(B1427="","",CHOOSE(WEEKDAY(B1427,2),"LUNES","MARTES","MIÉRCOLES","JUEVES","VIERNES","SÁBADO","DOMINGO"))</f>
        <v/>
      </c>
      <c r="M1427" s="23"/>
      <c r="Q1427" s="21" t="str">
        <f aca="false">IF(OR(K1427="",N1427=""),"",K1427-N1427)</f>
        <v/>
      </c>
      <c r="R1427" s="21" t="str">
        <f aca="false">IF(OR(J1427="",K1427=""),"",J1427*K1427)</f>
        <v/>
      </c>
      <c r="S1427" s="21" t="str">
        <f aca="false">IF(AND(ISNUMBER(J1427),ISNUMBER(K1427),F1427&lt;&gt;"Calentamiento",F1427&lt;&gt;"Bilbo"),IF(AND(K1427&gt;0,K1427&lt;=12),ROUND(J1427*(1+(K1427+IF(ISNUMBER(L1427),L1427,0))/30),1),""),"")</f>
        <v/>
      </c>
      <c r="T1427" s="21" t="str">
        <f aca="false">IF(AND(F1427="Bilbo",ISNUMBER(J1427),ISNUMBER(K1427)),ROUND(J1427*(1+K1427/30),1),"")</f>
        <v/>
      </c>
      <c r="W1427" s="22"/>
      <c r="X1427" s="21" t="str">
        <f aca="false">IF(AND(F1427="Bilbo",E1427&lt;&gt;"",G1427&lt;&gt;"",H1427&lt;&gt;""),E1427&amp;"|"&amp;G1427&amp;"|"&amp;H1427,"")</f>
        <v/>
      </c>
      <c r="Y1427" s="21" t="str">
        <f aca="false">IF(B1427="","",IF(B1427&lt;&gt;B1426,1,0))</f>
        <v/>
      </c>
    </row>
    <row r="1428" customFormat="false" ht="15" hidden="false" customHeight="true" outlineLevel="0" collapsed="false">
      <c r="A1428" s="21" t="str">
        <f aca="false">IF(B1428="","",ROW()-4)</f>
        <v/>
      </c>
      <c r="B1428" s="22"/>
      <c r="C1428" s="21" t="str">
        <f aca="false">IF(B1428="","",CHOOSE(WEEKDAY(B1428,2),"LUNES","MARTES","MIÉRCOLES","JUEVES","VIERNES","SÁBADO","DOMINGO"))</f>
        <v/>
      </c>
      <c r="M1428" s="23"/>
      <c r="Q1428" s="21" t="str">
        <f aca="false">IF(OR(K1428="",N1428=""),"",K1428-N1428)</f>
        <v/>
      </c>
      <c r="R1428" s="21" t="str">
        <f aca="false">IF(OR(J1428="",K1428=""),"",J1428*K1428)</f>
        <v/>
      </c>
      <c r="S1428" s="21" t="str">
        <f aca="false">IF(AND(ISNUMBER(J1428),ISNUMBER(K1428),F1428&lt;&gt;"Calentamiento",F1428&lt;&gt;"Bilbo"),IF(AND(K1428&gt;0,K1428&lt;=12),ROUND(J1428*(1+(K1428+IF(ISNUMBER(L1428),L1428,0))/30),1),""),"")</f>
        <v/>
      </c>
      <c r="T1428" s="21" t="str">
        <f aca="false">IF(AND(F1428="Bilbo",ISNUMBER(J1428),ISNUMBER(K1428)),ROUND(J1428*(1+K1428/30),1),"")</f>
        <v/>
      </c>
      <c r="W1428" s="22"/>
      <c r="X1428" s="21" t="str">
        <f aca="false">IF(AND(F1428="Bilbo",E1428&lt;&gt;"",G1428&lt;&gt;"",H1428&lt;&gt;""),E1428&amp;"|"&amp;G1428&amp;"|"&amp;H1428,"")</f>
        <v/>
      </c>
      <c r="Y1428" s="21" t="str">
        <f aca="false">IF(B1428="","",IF(B1428&lt;&gt;B1427,1,0))</f>
        <v/>
      </c>
    </row>
    <row r="1429" customFormat="false" ht="15" hidden="false" customHeight="true" outlineLevel="0" collapsed="false">
      <c r="A1429" s="21" t="str">
        <f aca="false">IF(B1429="","",ROW()-4)</f>
        <v/>
      </c>
      <c r="B1429" s="22"/>
      <c r="C1429" s="21" t="str">
        <f aca="false">IF(B1429="","",CHOOSE(WEEKDAY(B1429,2),"LUNES","MARTES","MIÉRCOLES","JUEVES","VIERNES","SÁBADO","DOMINGO"))</f>
        <v/>
      </c>
      <c r="M1429" s="23"/>
      <c r="Q1429" s="21" t="str">
        <f aca="false">IF(OR(K1429="",N1429=""),"",K1429-N1429)</f>
        <v/>
      </c>
      <c r="R1429" s="21" t="str">
        <f aca="false">IF(OR(J1429="",K1429=""),"",J1429*K1429)</f>
        <v/>
      </c>
      <c r="S1429" s="21" t="str">
        <f aca="false">IF(AND(ISNUMBER(J1429),ISNUMBER(K1429),F1429&lt;&gt;"Calentamiento",F1429&lt;&gt;"Bilbo"),IF(AND(K1429&gt;0,K1429&lt;=12),ROUND(J1429*(1+(K1429+IF(ISNUMBER(L1429),L1429,0))/30),1),""),"")</f>
        <v/>
      </c>
      <c r="T1429" s="21" t="str">
        <f aca="false">IF(AND(F1429="Bilbo",ISNUMBER(J1429),ISNUMBER(K1429)),ROUND(J1429*(1+K1429/30),1),"")</f>
        <v/>
      </c>
      <c r="W1429" s="22"/>
      <c r="X1429" s="21" t="str">
        <f aca="false">IF(AND(F1429="Bilbo",E1429&lt;&gt;"",G1429&lt;&gt;"",H1429&lt;&gt;""),E1429&amp;"|"&amp;G1429&amp;"|"&amp;H1429,"")</f>
        <v/>
      </c>
      <c r="Y1429" s="21" t="str">
        <f aca="false">IF(B1429="","",IF(B1429&lt;&gt;B1428,1,0))</f>
        <v/>
      </c>
    </row>
    <row r="1430" customFormat="false" ht="15" hidden="false" customHeight="true" outlineLevel="0" collapsed="false">
      <c r="A1430" s="21" t="str">
        <f aca="false">IF(B1430="","",ROW()-4)</f>
        <v/>
      </c>
      <c r="B1430" s="22"/>
      <c r="C1430" s="21" t="str">
        <f aca="false">IF(B1430="","",CHOOSE(WEEKDAY(B1430,2),"LUNES","MARTES","MIÉRCOLES","JUEVES","VIERNES","SÁBADO","DOMINGO"))</f>
        <v/>
      </c>
      <c r="M1430" s="23"/>
      <c r="Q1430" s="21" t="str">
        <f aca="false">IF(OR(K1430="",N1430=""),"",K1430-N1430)</f>
        <v/>
      </c>
      <c r="R1430" s="21" t="str">
        <f aca="false">IF(OR(J1430="",K1430=""),"",J1430*K1430)</f>
        <v/>
      </c>
      <c r="S1430" s="21" t="str">
        <f aca="false">IF(AND(ISNUMBER(J1430),ISNUMBER(K1430),F1430&lt;&gt;"Calentamiento",F1430&lt;&gt;"Bilbo"),IF(AND(K1430&gt;0,K1430&lt;=12),ROUND(J1430*(1+(K1430+IF(ISNUMBER(L1430),L1430,0))/30),1),""),"")</f>
        <v/>
      </c>
      <c r="T1430" s="21" t="str">
        <f aca="false">IF(AND(F1430="Bilbo",ISNUMBER(J1430),ISNUMBER(K1430)),ROUND(J1430*(1+K1430/30),1),"")</f>
        <v/>
      </c>
      <c r="W1430" s="22"/>
      <c r="X1430" s="21" t="str">
        <f aca="false">IF(AND(F1430="Bilbo",E1430&lt;&gt;"",G1430&lt;&gt;"",H1430&lt;&gt;""),E1430&amp;"|"&amp;G1430&amp;"|"&amp;H1430,"")</f>
        <v/>
      </c>
      <c r="Y1430" s="21" t="str">
        <f aca="false">IF(B1430="","",IF(B1430&lt;&gt;B1429,1,0))</f>
        <v/>
      </c>
    </row>
    <row r="1431" customFormat="false" ht="15" hidden="false" customHeight="true" outlineLevel="0" collapsed="false">
      <c r="A1431" s="21" t="str">
        <f aca="false">IF(B1431="","",ROW()-4)</f>
        <v/>
      </c>
      <c r="B1431" s="22"/>
      <c r="C1431" s="21" t="str">
        <f aca="false">IF(B1431="","",CHOOSE(WEEKDAY(B1431,2),"LUNES","MARTES","MIÉRCOLES","JUEVES","VIERNES","SÁBADO","DOMINGO"))</f>
        <v/>
      </c>
      <c r="M1431" s="23"/>
      <c r="Q1431" s="21" t="str">
        <f aca="false">IF(OR(K1431="",N1431=""),"",K1431-N1431)</f>
        <v/>
      </c>
      <c r="R1431" s="21" t="str">
        <f aca="false">IF(OR(J1431="",K1431=""),"",J1431*K1431)</f>
        <v/>
      </c>
      <c r="S1431" s="21" t="str">
        <f aca="false">IF(AND(ISNUMBER(J1431),ISNUMBER(K1431),F1431&lt;&gt;"Calentamiento",F1431&lt;&gt;"Bilbo"),IF(AND(K1431&gt;0,K1431&lt;=12),ROUND(J1431*(1+(K1431+IF(ISNUMBER(L1431),L1431,0))/30),1),""),"")</f>
        <v/>
      </c>
      <c r="T1431" s="21" t="str">
        <f aca="false">IF(AND(F1431="Bilbo",ISNUMBER(J1431),ISNUMBER(K1431)),ROUND(J1431*(1+K1431/30),1),"")</f>
        <v/>
      </c>
      <c r="W1431" s="22"/>
      <c r="X1431" s="21" t="str">
        <f aca="false">IF(AND(F1431="Bilbo",E1431&lt;&gt;"",G1431&lt;&gt;"",H1431&lt;&gt;""),E1431&amp;"|"&amp;G1431&amp;"|"&amp;H1431,"")</f>
        <v/>
      </c>
      <c r="Y1431" s="21" t="str">
        <f aca="false">IF(B1431="","",IF(B1431&lt;&gt;B1430,1,0))</f>
        <v/>
      </c>
    </row>
    <row r="1432" customFormat="false" ht="15" hidden="false" customHeight="true" outlineLevel="0" collapsed="false">
      <c r="A1432" s="21" t="str">
        <f aca="false">IF(B1432="","",ROW()-4)</f>
        <v/>
      </c>
      <c r="B1432" s="22"/>
      <c r="C1432" s="21" t="str">
        <f aca="false">IF(B1432="","",CHOOSE(WEEKDAY(B1432,2),"LUNES","MARTES","MIÉRCOLES","JUEVES","VIERNES","SÁBADO","DOMINGO"))</f>
        <v/>
      </c>
      <c r="M1432" s="23"/>
      <c r="Q1432" s="21" t="str">
        <f aca="false">IF(OR(K1432="",N1432=""),"",K1432-N1432)</f>
        <v/>
      </c>
      <c r="R1432" s="21" t="str">
        <f aca="false">IF(OR(J1432="",K1432=""),"",J1432*K1432)</f>
        <v/>
      </c>
      <c r="S1432" s="21" t="str">
        <f aca="false">IF(AND(ISNUMBER(J1432),ISNUMBER(K1432),F1432&lt;&gt;"Calentamiento",F1432&lt;&gt;"Bilbo"),IF(AND(K1432&gt;0,K1432&lt;=12),ROUND(J1432*(1+(K1432+IF(ISNUMBER(L1432),L1432,0))/30),1),""),"")</f>
        <v/>
      </c>
      <c r="T1432" s="21" t="str">
        <f aca="false">IF(AND(F1432="Bilbo",ISNUMBER(J1432),ISNUMBER(K1432)),ROUND(J1432*(1+K1432/30),1),"")</f>
        <v/>
      </c>
      <c r="W1432" s="22"/>
      <c r="X1432" s="21" t="str">
        <f aca="false">IF(AND(F1432="Bilbo",E1432&lt;&gt;"",G1432&lt;&gt;"",H1432&lt;&gt;""),E1432&amp;"|"&amp;G1432&amp;"|"&amp;H1432,"")</f>
        <v/>
      </c>
      <c r="Y1432" s="21" t="str">
        <f aca="false">IF(B1432="","",IF(B1432&lt;&gt;B1431,1,0))</f>
        <v/>
      </c>
    </row>
    <row r="1433" customFormat="false" ht="15" hidden="false" customHeight="true" outlineLevel="0" collapsed="false">
      <c r="A1433" s="21" t="str">
        <f aca="false">IF(B1433="","",ROW()-4)</f>
        <v/>
      </c>
      <c r="B1433" s="22"/>
      <c r="C1433" s="21" t="str">
        <f aca="false">IF(B1433="","",CHOOSE(WEEKDAY(B1433,2),"LUNES","MARTES","MIÉRCOLES","JUEVES","VIERNES","SÁBADO","DOMINGO"))</f>
        <v/>
      </c>
      <c r="M1433" s="23"/>
      <c r="Q1433" s="21" t="str">
        <f aca="false">IF(OR(K1433="",N1433=""),"",K1433-N1433)</f>
        <v/>
      </c>
      <c r="R1433" s="21" t="str">
        <f aca="false">IF(OR(J1433="",K1433=""),"",J1433*K1433)</f>
        <v/>
      </c>
      <c r="S1433" s="21" t="str">
        <f aca="false">IF(AND(ISNUMBER(J1433),ISNUMBER(K1433),F1433&lt;&gt;"Calentamiento",F1433&lt;&gt;"Bilbo"),IF(AND(K1433&gt;0,K1433&lt;=12),ROUND(J1433*(1+(K1433+IF(ISNUMBER(L1433),L1433,0))/30),1),""),"")</f>
        <v/>
      </c>
      <c r="T1433" s="21" t="str">
        <f aca="false">IF(AND(F1433="Bilbo",ISNUMBER(J1433),ISNUMBER(K1433)),ROUND(J1433*(1+K1433/30),1),"")</f>
        <v/>
      </c>
      <c r="W1433" s="22"/>
      <c r="X1433" s="21" t="str">
        <f aca="false">IF(AND(F1433="Bilbo",E1433&lt;&gt;"",G1433&lt;&gt;"",H1433&lt;&gt;""),E1433&amp;"|"&amp;G1433&amp;"|"&amp;H1433,"")</f>
        <v/>
      </c>
      <c r="Y1433" s="21" t="str">
        <f aca="false">IF(B1433="","",IF(B1433&lt;&gt;B1432,1,0))</f>
        <v/>
      </c>
    </row>
    <row r="1434" customFormat="false" ht="15" hidden="false" customHeight="true" outlineLevel="0" collapsed="false">
      <c r="A1434" s="21" t="str">
        <f aca="false">IF(B1434="","",ROW()-4)</f>
        <v/>
      </c>
      <c r="B1434" s="22"/>
      <c r="C1434" s="21" t="str">
        <f aca="false">IF(B1434="","",CHOOSE(WEEKDAY(B1434,2),"LUNES","MARTES","MIÉRCOLES","JUEVES","VIERNES","SÁBADO","DOMINGO"))</f>
        <v/>
      </c>
      <c r="M1434" s="23"/>
      <c r="Q1434" s="21" t="str">
        <f aca="false">IF(OR(K1434="",N1434=""),"",K1434-N1434)</f>
        <v/>
      </c>
      <c r="R1434" s="21" t="str">
        <f aca="false">IF(OR(J1434="",K1434=""),"",J1434*K1434)</f>
        <v/>
      </c>
      <c r="S1434" s="21" t="str">
        <f aca="false">IF(AND(ISNUMBER(J1434),ISNUMBER(K1434),F1434&lt;&gt;"Calentamiento",F1434&lt;&gt;"Bilbo"),IF(AND(K1434&gt;0,K1434&lt;=12),ROUND(J1434*(1+(K1434+IF(ISNUMBER(L1434),L1434,0))/30),1),""),"")</f>
        <v/>
      </c>
      <c r="T1434" s="21" t="str">
        <f aca="false">IF(AND(F1434="Bilbo",ISNUMBER(J1434),ISNUMBER(K1434)),ROUND(J1434*(1+K1434/30),1),"")</f>
        <v/>
      </c>
      <c r="W1434" s="22"/>
      <c r="X1434" s="21" t="str">
        <f aca="false">IF(AND(F1434="Bilbo",E1434&lt;&gt;"",G1434&lt;&gt;"",H1434&lt;&gt;""),E1434&amp;"|"&amp;G1434&amp;"|"&amp;H1434,"")</f>
        <v/>
      </c>
      <c r="Y1434" s="21" t="str">
        <f aca="false">IF(B1434="","",IF(B1434&lt;&gt;B1433,1,0))</f>
        <v/>
      </c>
    </row>
    <row r="1435" customFormat="false" ht="15" hidden="false" customHeight="true" outlineLevel="0" collapsed="false">
      <c r="A1435" s="21" t="str">
        <f aca="false">IF(B1435="","",ROW()-4)</f>
        <v/>
      </c>
      <c r="B1435" s="22"/>
      <c r="C1435" s="21" t="str">
        <f aca="false">IF(B1435="","",CHOOSE(WEEKDAY(B1435,2),"LUNES","MARTES","MIÉRCOLES","JUEVES","VIERNES","SÁBADO","DOMINGO"))</f>
        <v/>
      </c>
      <c r="M1435" s="23"/>
      <c r="Q1435" s="21" t="str">
        <f aca="false">IF(OR(K1435="",N1435=""),"",K1435-N1435)</f>
        <v/>
      </c>
      <c r="R1435" s="21" t="str">
        <f aca="false">IF(OR(J1435="",K1435=""),"",J1435*K1435)</f>
        <v/>
      </c>
      <c r="S1435" s="21" t="str">
        <f aca="false">IF(AND(ISNUMBER(J1435),ISNUMBER(K1435),F1435&lt;&gt;"Calentamiento",F1435&lt;&gt;"Bilbo"),IF(AND(K1435&gt;0,K1435&lt;=12),ROUND(J1435*(1+(K1435+IF(ISNUMBER(L1435),L1435,0))/30),1),""),"")</f>
        <v/>
      </c>
      <c r="T1435" s="21" t="str">
        <f aca="false">IF(AND(F1435="Bilbo",ISNUMBER(J1435),ISNUMBER(K1435)),ROUND(J1435*(1+K1435/30),1),"")</f>
        <v/>
      </c>
      <c r="W1435" s="22"/>
      <c r="X1435" s="21" t="str">
        <f aca="false">IF(AND(F1435="Bilbo",E1435&lt;&gt;"",G1435&lt;&gt;"",H1435&lt;&gt;""),E1435&amp;"|"&amp;G1435&amp;"|"&amp;H1435,"")</f>
        <v/>
      </c>
      <c r="Y1435" s="21" t="str">
        <f aca="false">IF(B1435="","",IF(B1435&lt;&gt;B1434,1,0))</f>
        <v/>
      </c>
    </row>
    <row r="1436" customFormat="false" ht="15" hidden="false" customHeight="true" outlineLevel="0" collapsed="false">
      <c r="A1436" s="21" t="str">
        <f aca="false">IF(B1436="","",ROW()-4)</f>
        <v/>
      </c>
      <c r="B1436" s="22"/>
      <c r="C1436" s="21" t="str">
        <f aca="false">IF(B1436="","",CHOOSE(WEEKDAY(B1436,2),"LUNES","MARTES","MIÉRCOLES","JUEVES","VIERNES","SÁBADO","DOMINGO"))</f>
        <v/>
      </c>
      <c r="M1436" s="23"/>
      <c r="Q1436" s="21" t="str">
        <f aca="false">IF(OR(K1436="",N1436=""),"",K1436-N1436)</f>
        <v/>
      </c>
      <c r="R1436" s="21" t="str">
        <f aca="false">IF(OR(J1436="",K1436=""),"",J1436*K1436)</f>
        <v/>
      </c>
      <c r="S1436" s="21" t="str">
        <f aca="false">IF(AND(ISNUMBER(J1436),ISNUMBER(K1436),F1436&lt;&gt;"Calentamiento",F1436&lt;&gt;"Bilbo"),IF(AND(K1436&gt;0,K1436&lt;=12),ROUND(J1436*(1+(K1436+IF(ISNUMBER(L1436),L1436,0))/30),1),""),"")</f>
        <v/>
      </c>
      <c r="T1436" s="21" t="str">
        <f aca="false">IF(AND(F1436="Bilbo",ISNUMBER(J1436),ISNUMBER(K1436)),ROUND(J1436*(1+K1436/30),1),"")</f>
        <v/>
      </c>
      <c r="W1436" s="22"/>
      <c r="X1436" s="21" t="str">
        <f aca="false">IF(AND(F1436="Bilbo",E1436&lt;&gt;"",G1436&lt;&gt;"",H1436&lt;&gt;""),E1436&amp;"|"&amp;G1436&amp;"|"&amp;H1436,"")</f>
        <v/>
      </c>
      <c r="Y1436" s="21" t="str">
        <f aca="false">IF(B1436="","",IF(B1436&lt;&gt;B1435,1,0))</f>
        <v/>
      </c>
    </row>
    <row r="1437" customFormat="false" ht="15" hidden="false" customHeight="true" outlineLevel="0" collapsed="false">
      <c r="A1437" s="21" t="str">
        <f aca="false">IF(B1437="","",ROW()-4)</f>
        <v/>
      </c>
      <c r="B1437" s="22"/>
      <c r="C1437" s="21" t="str">
        <f aca="false">IF(B1437="","",CHOOSE(WEEKDAY(B1437,2),"LUNES","MARTES","MIÉRCOLES","JUEVES","VIERNES","SÁBADO","DOMINGO"))</f>
        <v/>
      </c>
      <c r="M1437" s="23"/>
      <c r="Q1437" s="21" t="str">
        <f aca="false">IF(OR(K1437="",N1437=""),"",K1437-N1437)</f>
        <v/>
      </c>
      <c r="R1437" s="21" t="str">
        <f aca="false">IF(OR(J1437="",K1437=""),"",J1437*K1437)</f>
        <v/>
      </c>
      <c r="S1437" s="21" t="str">
        <f aca="false">IF(AND(ISNUMBER(J1437),ISNUMBER(K1437),F1437&lt;&gt;"Calentamiento",F1437&lt;&gt;"Bilbo"),IF(AND(K1437&gt;0,K1437&lt;=12),ROUND(J1437*(1+(K1437+IF(ISNUMBER(L1437),L1437,0))/30),1),""),"")</f>
        <v/>
      </c>
      <c r="T1437" s="21" t="str">
        <f aca="false">IF(AND(F1437="Bilbo",ISNUMBER(J1437),ISNUMBER(K1437)),ROUND(J1437*(1+K1437/30),1),"")</f>
        <v/>
      </c>
      <c r="W1437" s="22"/>
      <c r="X1437" s="21" t="str">
        <f aca="false">IF(AND(F1437="Bilbo",E1437&lt;&gt;"",G1437&lt;&gt;"",H1437&lt;&gt;""),E1437&amp;"|"&amp;G1437&amp;"|"&amp;H1437,"")</f>
        <v/>
      </c>
      <c r="Y1437" s="21" t="str">
        <f aca="false">IF(B1437="","",IF(B1437&lt;&gt;B1436,1,0))</f>
        <v/>
      </c>
    </row>
    <row r="1438" customFormat="false" ht="15" hidden="false" customHeight="true" outlineLevel="0" collapsed="false">
      <c r="A1438" s="21" t="str">
        <f aca="false">IF(B1438="","",ROW()-4)</f>
        <v/>
      </c>
      <c r="B1438" s="22"/>
      <c r="C1438" s="21" t="str">
        <f aca="false">IF(B1438="","",CHOOSE(WEEKDAY(B1438,2),"LUNES","MARTES","MIÉRCOLES","JUEVES","VIERNES","SÁBADO","DOMINGO"))</f>
        <v/>
      </c>
      <c r="M1438" s="23"/>
      <c r="Q1438" s="21" t="str">
        <f aca="false">IF(OR(K1438="",N1438=""),"",K1438-N1438)</f>
        <v/>
      </c>
      <c r="R1438" s="21" t="str">
        <f aca="false">IF(OR(J1438="",K1438=""),"",J1438*K1438)</f>
        <v/>
      </c>
      <c r="S1438" s="21" t="str">
        <f aca="false">IF(AND(ISNUMBER(J1438),ISNUMBER(K1438),F1438&lt;&gt;"Calentamiento",F1438&lt;&gt;"Bilbo"),IF(AND(K1438&gt;0,K1438&lt;=12),ROUND(J1438*(1+(K1438+IF(ISNUMBER(L1438),L1438,0))/30),1),""),"")</f>
        <v/>
      </c>
      <c r="T1438" s="21" t="str">
        <f aca="false">IF(AND(F1438="Bilbo",ISNUMBER(J1438),ISNUMBER(K1438)),ROUND(J1438*(1+K1438/30),1),"")</f>
        <v/>
      </c>
      <c r="W1438" s="22"/>
      <c r="X1438" s="21" t="str">
        <f aca="false">IF(AND(F1438="Bilbo",E1438&lt;&gt;"",G1438&lt;&gt;"",H1438&lt;&gt;""),E1438&amp;"|"&amp;G1438&amp;"|"&amp;H1438,"")</f>
        <v/>
      </c>
      <c r="Y1438" s="21" t="str">
        <f aca="false">IF(B1438="","",IF(B1438&lt;&gt;B1437,1,0))</f>
        <v/>
      </c>
    </row>
    <row r="1439" customFormat="false" ht="15" hidden="false" customHeight="true" outlineLevel="0" collapsed="false">
      <c r="A1439" s="21" t="str">
        <f aca="false">IF(B1439="","",ROW()-4)</f>
        <v/>
      </c>
      <c r="B1439" s="22"/>
      <c r="C1439" s="21" t="str">
        <f aca="false">IF(B1439="","",CHOOSE(WEEKDAY(B1439,2),"LUNES","MARTES","MIÉRCOLES","JUEVES","VIERNES","SÁBADO","DOMINGO"))</f>
        <v/>
      </c>
      <c r="M1439" s="23"/>
      <c r="Q1439" s="21" t="str">
        <f aca="false">IF(OR(K1439="",N1439=""),"",K1439-N1439)</f>
        <v/>
      </c>
      <c r="R1439" s="21" t="str">
        <f aca="false">IF(OR(J1439="",K1439=""),"",J1439*K1439)</f>
        <v/>
      </c>
      <c r="S1439" s="21" t="str">
        <f aca="false">IF(AND(ISNUMBER(J1439),ISNUMBER(K1439),F1439&lt;&gt;"Calentamiento",F1439&lt;&gt;"Bilbo"),IF(AND(K1439&gt;0,K1439&lt;=12),ROUND(J1439*(1+(K1439+IF(ISNUMBER(L1439),L1439,0))/30),1),""),"")</f>
        <v/>
      </c>
      <c r="T1439" s="21" t="str">
        <f aca="false">IF(AND(F1439="Bilbo",ISNUMBER(J1439),ISNUMBER(K1439)),ROUND(J1439*(1+K1439/30),1),"")</f>
        <v/>
      </c>
      <c r="W1439" s="22"/>
      <c r="X1439" s="21" t="str">
        <f aca="false">IF(AND(F1439="Bilbo",E1439&lt;&gt;"",G1439&lt;&gt;"",H1439&lt;&gt;""),E1439&amp;"|"&amp;G1439&amp;"|"&amp;H1439,"")</f>
        <v/>
      </c>
      <c r="Y1439" s="21" t="str">
        <f aca="false">IF(B1439="","",IF(B1439&lt;&gt;B1438,1,0))</f>
        <v/>
      </c>
    </row>
    <row r="1440" customFormat="false" ht="15" hidden="false" customHeight="true" outlineLevel="0" collapsed="false">
      <c r="A1440" s="21" t="str">
        <f aca="false">IF(B1440="","",ROW()-4)</f>
        <v/>
      </c>
      <c r="B1440" s="22"/>
      <c r="C1440" s="21" t="str">
        <f aca="false">IF(B1440="","",CHOOSE(WEEKDAY(B1440,2),"LUNES","MARTES","MIÉRCOLES","JUEVES","VIERNES","SÁBADO","DOMINGO"))</f>
        <v/>
      </c>
      <c r="M1440" s="23"/>
      <c r="Q1440" s="21" t="str">
        <f aca="false">IF(OR(K1440="",N1440=""),"",K1440-N1440)</f>
        <v/>
      </c>
      <c r="R1440" s="21" t="str">
        <f aca="false">IF(OR(J1440="",K1440=""),"",J1440*K1440)</f>
        <v/>
      </c>
      <c r="S1440" s="21" t="str">
        <f aca="false">IF(AND(ISNUMBER(J1440),ISNUMBER(K1440),F1440&lt;&gt;"Calentamiento",F1440&lt;&gt;"Bilbo"),IF(AND(K1440&gt;0,K1440&lt;=12),ROUND(J1440*(1+(K1440+IF(ISNUMBER(L1440),L1440,0))/30),1),""),"")</f>
        <v/>
      </c>
      <c r="T1440" s="21" t="str">
        <f aca="false">IF(AND(F1440="Bilbo",ISNUMBER(J1440),ISNUMBER(K1440)),ROUND(J1440*(1+K1440/30),1),"")</f>
        <v/>
      </c>
      <c r="W1440" s="22"/>
      <c r="X1440" s="21" t="str">
        <f aca="false">IF(AND(F1440="Bilbo",E1440&lt;&gt;"",G1440&lt;&gt;"",H1440&lt;&gt;""),E1440&amp;"|"&amp;G1440&amp;"|"&amp;H1440,"")</f>
        <v/>
      </c>
      <c r="Y1440" s="21" t="str">
        <f aca="false">IF(B1440="","",IF(B1440&lt;&gt;B1439,1,0))</f>
        <v/>
      </c>
    </row>
    <row r="1441" customFormat="false" ht="15" hidden="false" customHeight="true" outlineLevel="0" collapsed="false">
      <c r="A1441" s="21" t="str">
        <f aca="false">IF(B1441="","",ROW()-4)</f>
        <v/>
      </c>
      <c r="B1441" s="22"/>
      <c r="C1441" s="21" t="str">
        <f aca="false">IF(B1441="","",CHOOSE(WEEKDAY(B1441,2),"LUNES","MARTES","MIÉRCOLES","JUEVES","VIERNES","SÁBADO","DOMINGO"))</f>
        <v/>
      </c>
      <c r="M1441" s="23"/>
      <c r="Q1441" s="21" t="str">
        <f aca="false">IF(OR(K1441="",N1441=""),"",K1441-N1441)</f>
        <v/>
      </c>
      <c r="R1441" s="21" t="str">
        <f aca="false">IF(OR(J1441="",K1441=""),"",J1441*K1441)</f>
        <v/>
      </c>
      <c r="S1441" s="21" t="str">
        <f aca="false">IF(AND(ISNUMBER(J1441),ISNUMBER(K1441),F1441&lt;&gt;"Calentamiento",F1441&lt;&gt;"Bilbo"),IF(AND(K1441&gt;0,K1441&lt;=12),ROUND(J1441*(1+(K1441+IF(ISNUMBER(L1441),L1441,0))/30),1),""),"")</f>
        <v/>
      </c>
      <c r="T1441" s="21" t="str">
        <f aca="false">IF(AND(F1441="Bilbo",ISNUMBER(J1441),ISNUMBER(K1441)),ROUND(J1441*(1+K1441/30),1),"")</f>
        <v/>
      </c>
      <c r="W1441" s="22"/>
      <c r="X1441" s="21" t="str">
        <f aca="false">IF(AND(F1441="Bilbo",E1441&lt;&gt;"",G1441&lt;&gt;"",H1441&lt;&gt;""),E1441&amp;"|"&amp;G1441&amp;"|"&amp;H1441,"")</f>
        <v/>
      </c>
      <c r="Y1441" s="21" t="str">
        <f aca="false">IF(B1441="","",IF(B1441&lt;&gt;B1440,1,0))</f>
        <v/>
      </c>
    </row>
    <row r="1442" customFormat="false" ht="15" hidden="false" customHeight="true" outlineLevel="0" collapsed="false">
      <c r="A1442" s="21" t="str">
        <f aca="false">IF(B1442="","",ROW()-4)</f>
        <v/>
      </c>
      <c r="B1442" s="22"/>
      <c r="C1442" s="21" t="str">
        <f aca="false">IF(B1442="","",CHOOSE(WEEKDAY(B1442,2),"LUNES","MARTES","MIÉRCOLES","JUEVES","VIERNES","SÁBADO","DOMINGO"))</f>
        <v/>
      </c>
      <c r="M1442" s="23"/>
      <c r="Q1442" s="21" t="str">
        <f aca="false">IF(OR(K1442="",N1442=""),"",K1442-N1442)</f>
        <v/>
      </c>
      <c r="R1442" s="21" t="str">
        <f aca="false">IF(OR(J1442="",K1442=""),"",J1442*K1442)</f>
        <v/>
      </c>
      <c r="S1442" s="21" t="str">
        <f aca="false">IF(AND(ISNUMBER(J1442),ISNUMBER(K1442),F1442&lt;&gt;"Calentamiento",F1442&lt;&gt;"Bilbo"),IF(AND(K1442&gt;0,K1442&lt;=12),ROUND(J1442*(1+(K1442+IF(ISNUMBER(L1442),L1442,0))/30),1),""),"")</f>
        <v/>
      </c>
      <c r="T1442" s="21" t="str">
        <f aca="false">IF(AND(F1442="Bilbo",ISNUMBER(J1442),ISNUMBER(K1442)),ROUND(J1442*(1+K1442/30),1),"")</f>
        <v/>
      </c>
      <c r="W1442" s="22"/>
      <c r="X1442" s="21" t="str">
        <f aca="false">IF(AND(F1442="Bilbo",E1442&lt;&gt;"",G1442&lt;&gt;"",H1442&lt;&gt;""),E1442&amp;"|"&amp;G1442&amp;"|"&amp;H1442,"")</f>
        <v/>
      </c>
      <c r="Y1442" s="21" t="str">
        <f aca="false">IF(B1442="","",IF(B1442&lt;&gt;B1441,1,0))</f>
        <v/>
      </c>
    </row>
    <row r="1443" customFormat="false" ht="15" hidden="false" customHeight="true" outlineLevel="0" collapsed="false">
      <c r="A1443" s="21" t="str">
        <f aca="false">IF(B1443="","",ROW()-4)</f>
        <v/>
      </c>
      <c r="B1443" s="22"/>
      <c r="C1443" s="21" t="str">
        <f aca="false">IF(B1443="","",CHOOSE(WEEKDAY(B1443,2),"LUNES","MARTES","MIÉRCOLES","JUEVES","VIERNES","SÁBADO","DOMINGO"))</f>
        <v/>
      </c>
      <c r="M1443" s="23"/>
      <c r="Q1443" s="21" t="str">
        <f aca="false">IF(OR(K1443="",N1443=""),"",K1443-N1443)</f>
        <v/>
      </c>
      <c r="R1443" s="21" t="str">
        <f aca="false">IF(OR(J1443="",K1443=""),"",J1443*K1443)</f>
        <v/>
      </c>
      <c r="S1443" s="21" t="str">
        <f aca="false">IF(AND(ISNUMBER(J1443),ISNUMBER(K1443),F1443&lt;&gt;"Calentamiento",F1443&lt;&gt;"Bilbo"),IF(AND(K1443&gt;0,K1443&lt;=12),ROUND(J1443*(1+(K1443+IF(ISNUMBER(L1443),L1443,0))/30),1),""),"")</f>
        <v/>
      </c>
      <c r="T1443" s="21" t="str">
        <f aca="false">IF(AND(F1443="Bilbo",ISNUMBER(J1443),ISNUMBER(K1443)),ROUND(J1443*(1+K1443/30),1),"")</f>
        <v/>
      </c>
      <c r="W1443" s="22"/>
      <c r="X1443" s="21" t="str">
        <f aca="false">IF(AND(F1443="Bilbo",E1443&lt;&gt;"",G1443&lt;&gt;"",H1443&lt;&gt;""),E1443&amp;"|"&amp;G1443&amp;"|"&amp;H1443,"")</f>
        <v/>
      </c>
      <c r="Y1443" s="21" t="str">
        <f aca="false">IF(B1443="","",IF(B1443&lt;&gt;B1442,1,0))</f>
        <v/>
      </c>
    </row>
    <row r="1444" customFormat="false" ht="15" hidden="false" customHeight="true" outlineLevel="0" collapsed="false">
      <c r="A1444" s="21" t="str">
        <f aca="false">IF(B1444="","",ROW()-4)</f>
        <v/>
      </c>
      <c r="B1444" s="22"/>
      <c r="C1444" s="21" t="str">
        <f aca="false">IF(B1444="","",CHOOSE(WEEKDAY(B1444,2),"LUNES","MARTES","MIÉRCOLES","JUEVES","VIERNES","SÁBADO","DOMINGO"))</f>
        <v/>
      </c>
      <c r="M1444" s="23"/>
      <c r="Q1444" s="21" t="str">
        <f aca="false">IF(OR(K1444="",N1444=""),"",K1444-N1444)</f>
        <v/>
      </c>
      <c r="R1444" s="21" t="str">
        <f aca="false">IF(OR(J1444="",K1444=""),"",J1444*K1444)</f>
        <v/>
      </c>
      <c r="S1444" s="21" t="str">
        <f aca="false">IF(AND(ISNUMBER(J1444),ISNUMBER(K1444),F1444&lt;&gt;"Calentamiento",F1444&lt;&gt;"Bilbo"),IF(AND(K1444&gt;0,K1444&lt;=12),ROUND(J1444*(1+(K1444+IF(ISNUMBER(L1444),L1444,0))/30),1),""),"")</f>
        <v/>
      </c>
      <c r="T1444" s="21" t="str">
        <f aca="false">IF(AND(F1444="Bilbo",ISNUMBER(J1444),ISNUMBER(K1444)),ROUND(J1444*(1+K1444/30),1),"")</f>
        <v/>
      </c>
      <c r="W1444" s="22"/>
      <c r="X1444" s="21" t="str">
        <f aca="false">IF(AND(F1444="Bilbo",E1444&lt;&gt;"",G1444&lt;&gt;"",H1444&lt;&gt;""),E1444&amp;"|"&amp;G1444&amp;"|"&amp;H1444,"")</f>
        <v/>
      </c>
      <c r="Y1444" s="21" t="str">
        <f aca="false">IF(B1444="","",IF(B1444&lt;&gt;B1443,1,0))</f>
        <v/>
      </c>
    </row>
    <row r="1445" customFormat="false" ht="15" hidden="false" customHeight="true" outlineLevel="0" collapsed="false">
      <c r="A1445" s="21" t="str">
        <f aca="false">IF(B1445="","",ROW()-4)</f>
        <v/>
      </c>
      <c r="B1445" s="22"/>
      <c r="C1445" s="21" t="str">
        <f aca="false">IF(B1445="","",CHOOSE(WEEKDAY(B1445,2),"LUNES","MARTES","MIÉRCOLES","JUEVES","VIERNES","SÁBADO","DOMINGO"))</f>
        <v/>
      </c>
      <c r="M1445" s="23"/>
      <c r="Q1445" s="21" t="str">
        <f aca="false">IF(OR(K1445="",N1445=""),"",K1445-N1445)</f>
        <v/>
      </c>
      <c r="R1445" s="21" t="str">
        <f aca="false">IF(OR(J1445="",K1445=""),"",J1445*K1445)</f>
        <v/>
      </c>
      <c r="S1445" s="21" t="str">
        <f aca="false">IF(AND(ISNUMBER(J1445),ISNUMBER(K1445),F1445&lt;&gt;"Calentamiento",F1445&lt;&gt;"Bilbo"),IF(AND(K1445&gt;0,K1445&lt;=12),ROUND(J1445*(1+(K1445+IF(ISNUMBER(L1445),L1445,0))/30),1),""),"")</f>
        <v/>
      </c>
      <c r="T1445" s="21" t="str">
        <f aca="false">IF(AND(F1445="Bilbo",ISNUMBER(J1445),ISNUMBER(K1445)),ROUND(J1445*(1+K1445/30),1),"")</f>
        <v/>
      </c>
      <c r="W1445" s="22"/>
      <c r="X1445" s="21" t="str">
        <f aca="false">IF(AND(F1445="Bilbo",E1445&lt;&gt;"",G1445&lt;&gt;"",H1445&lt;&gt;""),E1445&amp;"|"&amp;G1445&amp;"|"&amp;H1445,"")</f>
        <v/>
      </c>
      <c r="Y1445" s="21" t="str">
        <f aca="false">IF(B1445="","",IF(B1445&lt;&gt;B1444,1,0))</f>
        <v/>
      </c>
    </row>
    <row r="1446" customFormat="false" ht="15" hidden="false" customHeight="true" outlineLevel="0" collapsed="false">
      <c r="A1446" s="21" t="str">
        <f aca="false">IF(B1446="","",ROW()-4)</f>
        <v/>
      </c>
      <c r="B1446" s="22"/>
      <c r="C1446" s="21" t="str">
        <f aca="false">IF(B1446="","",CHOOSE(WEEKDAY(B1446,2),"LUNES","MARTES","MIÉRCOLES","JUEVES","VIERNES","SÁBADO","DOMINGO"))</f>
        <v/>
      </c>
      <c r="M1446" s="23"/>
      <c r="Q1446" s="21" t="str">
        <f aca="false">IF(OR(K1446="",N1446=""),"",K1446-N1446)</f>
        <v/>
      </c>
      <c r="R1446" s="21" t="str">
        <f aca="false">IF(OR(J1446="",K1446=""),"",J1446*K1446)</f>
        <v/>
      </c>
      <c r="S1446" s="21" t="str">
        <f aca="false">IF(AND(ISNUMBER(J1446),ISNUMBER(K1446),F1446&lt;&gt;"Calentamiento",F1446&lt;&gt;"Bilbo"),IF(AND(K1446&gt;0,K1446&lt;=12),ROUND(J1446*(1+(K1446+IF(ISNUMBER(L1446),L1446,0))/30),1),""),"")</f>
        <v/>
      </c>
      <c r="T1446" s="21" t="str">
        <f aca="false">IF(AND(F1446="Bilbo",ISNUMBER(J1446),ISNUMBER(K1446)),ROUND(J1446*(1+K1446/30),1),"")</f>
        <v/>
      </c>
      <c r="W1446" s="22"/>
      <c r="X1446" s="21" t="str">
        <f aca="false">IF(AND(F1446="Bilbo",E1446&lt;&gt;"",G1446&lt;&gt;"",H1446&lt;&gt;""),E1446&amp;"|"&amp;G1446&amp;"|"&amp;H1446,"")</f>
        <v/>
      </c>
      <c r="Y1446" s="21" t="str">
        <f aca="false">IF(B1446="","",IF(B1446&lt;&gt;B1445,1,0))</f>
        <v/>
      </c>
    </row>
    <row r="1447" customFormat="false" ht="15" hidden="false" customHeight="true" outlineLevel="0" collapsed="false">
      <c r="A1447" s="21" t="str">
        <f aca="false">IF(B1447="","",ROW()-4)</f>
        <v/>
      </c>
      <c r="B1447" s="22"/>
      <c r="C1447" s="21" t="str">
        <f aca="false">IF(B1447="","",CHOOSE(WEEKDAY(B1447,2),"LUNES","MARTES","MIÉRCOLES","JUEVES","VIERNES","SÁBADO","DOMINGO"))</f>
        <v/>
      </c>
      <c r="M1447" s="23"/>
      <c r="Q1447" s="21" t="str">
        <f aca="false">IF(OR(K1447="",N1447=""),"",K1447-N1447)</f>
        <v/>
      </c>
      <c r="R1447" s="21" t="str">
        <f aca="false">IF(OR(J1447="",K1447=""),"",J1447*K1447)</f>
        <v/>
      </c>
      <c r="S1447" s="21" t="str">
        <f aca="false">IF(AND(ISNUMBER(J1447),ISNUMBER(K1447),F1447&lt;&gt;"Calentamiento",F1447&lt;&gt;"Bilbo"),IF(AND(K1447&gt;0,K1447&lt;=12),ROUND(J1447*(1+(K1447+IF(ISNUMBER(L1447),L1447,0))/30),1),""),"")</f>
        <v/>
      </c>
      <c r="T1447" s="21" t="str">
        <f aca="false">IF(AND(F1447="Bilbo",ISNUMBER(J1447),ISNUMBER(K1447)),ROUND(J1447*(1+K1447/30),1),"")</f>
        <v/>
      </c>
      <c r="W1447" s="22"/>
      <c r="X1447" s="21" t="str">
        <f aca="false">IF(AND(F1447="Bilbo",E1447&lt;&gt;"",G1447&lt;&gt;"",H1447&lt;&gt;""),E1447&amp;"|"&amp;G1447&amp;"|"&amp;H1447,"")</f>
        <v/>
      </c>
      <c r="Y1447" s="21" t="str">
        <f aca="false">IF(B1447="","",IF(B1447&lt;&gt;B1446,1,0))</f>
        <v/>
      </c>
    </row>
    <row r="1448" customFormat="false" ht="15" hidden="false" customHeight="true" outlineLevel="0" collapsed="false">
      <c r="A1448" s="21" t="str">
        <f aca="false">IF(B1448="","",ROW()-4)</f>
        <v/>
      </c>
      <c r="B1448" s="22"/>
      <c r="C1448" s="21" t="str">
        <f aca="false">IF(B1448="","",CHOOSE(WEEKDAY(B1448,2),"LUNES","MARTES","MIÉRCOLES","JUEVES","VIERNES","SÁBADO","DOMINGO"))</f>
        <v/>
      </c>
      <c r="M1448" s="23"/>
      <c r="Q1448" s="21" t="str">
        <f aca="false">IF(OR(K1448="",N1448=""),"",K1448-N1448)</f>
        <v/>
      </c>
      <c r="R1448" s="21" t="str">
        <f aca="false">IF(OR(J1448="",K1448=""),"",J1448*K1448)</f>
        <v/>
      </c>
      <c r="S1448" s="21" t="str">
        <f aca="false">IF(AND(ISNUMBER(J1448),ISNUMBER(K1448),F1448&lt;&gt;"Calentamiento",F1448&lt;&gt;"Bilbo"),IF(AND(K1448&gt;0,K1448&lt;=12),ROUND(J1448*(1+(K1448+IF(ISNUMBER(L1448),L1448,0))/30),1),""),"")</f>
        <v/>
      </c>
      <c r="T1448" s="21" t="str">
        <f aca="false">IF(AND(F1448="Bilbo",ISNUMBER(J1448),ISNUMBER(K1448)),ROUND(J1448*(1+K1448/30),1),"")</f>
        <v/>
      </c>
      <c r="W1448" s="22"/>
      <c r="X1448" s="21" t="str">
        <f aca="false">IF(AND(F1448="Bilbo",E1448&lt;&gt;"",G1448&lt;&gt;"",H1448&lt;&gt;""),E1448&amp;"|"&amp;G1448&amp;"|"&amp;H1448,"")</f>
        <v/>
      </c>
      <c r="Y1448" s="21" t="str">
        <f aca="false">IF(B1448="","",IF(B1448&lt;&gt;B1447,1,0))</f>
        <v/>
      </c>
    </row>
    <row r="1449" customFormat="false" ht="15" hidden="false" customHeight="true" outlineLevel="0" collapsed="false">
      <c r="A1449" s="21" t="str">
        <f aca="false">IF(B1449="","",ROW()-4)</f>
        <v/>
      </c>
      <c r="B1449" s="22"/>
      <c r="C1449" s="21" t="str">
        <f aca="false">IF(B1449="","",CHOOSE(WEEKDAY(B1449,2),"LUNES","MARTES","MIÉRCOLES","JUEVES","VIERNES","SÁBADO","DOMINGO"))</f>
        <v/>
      </c>
      <c r="M1449" s="23"/>
      <c r="Q1449" s="21" t="str">
        <f aca="false">IF(OR(K1449="",N1449=""),"",K1449-N1449)</f>
        <v/>
      </c>
      <c r="R1449" s="21" t="str">
        <f aca="false">IF(OR(J1449="",K1449=""),"",J1449*K1449)</f>
        <v/>
      </c>
      <c r="S1449" s="21" t="str">
        <f aca="false">IF(AND(ISNUMBER(J1449),ISNUMBER(K1449),F1449&lt;&gt;"Calentamiento",F1449&lt;&gt;"Bilbo"),IF(AND(K1449&gt;0,K1449&lt;=12),ROUND(J1449*(1+(K1449+IF(ISNUMBER(L1449),L1449,0))/30),1),""),"")</f>
        <v/>
      </c>
      <c r="T1449" s="21" t="str">
        <f aca="false">IF(AND(F1449="Bilbo",ISNUMBER(J1449),ISNUMBER(K1449)),ROUND(J1449*(1+K1449/30),1),"")</f>
        <v/>
      </c>
      <c r="W1449" s="22"/>
      <c r="X1449" s="21" t="str">
        <f aca="false">IF(AND(F1449="Bilbo",E1449&lt;&gt;"",G1449&lt;&gt;"",H1449&lt;&gt;""),E1449&amp;"|"&amp;G1449&amp;"|"&amp;H1449,"")</f>
        <v/>
      </c>
      <c r="Y1449" s="21" t="str">
        <f aca="false">IF(B1449="","",IF(B1449&lt;&gt;B1448,1,0))</f>
        <v/>
      </c>
    </row>
    <row r="1450" customFormat="false" ht="15" hidden="false" customHeight="true" outlineLevel="0" collapsed="false">
      <c r="A1450" s="21" t="str">
        <f aca="false">IF(B1450="","",ROW()-4)</f>
        <v/>
      </c>
      <c r="B1450" s="22"/>
      <c r="C1450" s="21" t="str">
        <f aca="false">IF(B1450="","",CHOOSE(WEEKDAY(B1450,2),"LUNES","MARTES","MIÉRCOLES","JUEVES","VIERNES","SÁBADO","DOMINGO"))</f>
        <v/>
      </c>
      <c r="M1450" s="23"/>
      <c r="Q1450" s="21" t="str">
        <f aca="false">IF(OR(K1450="",N1450=""),"",K1450-N1450)</f>
        <v/>
      </c>
      <c r="R1450" s="21" t="str">
        <f aca="false">IF(OR(J1450="",K1450=""),"",J1450*K1450)</f>
        <v/>
      </c>
      <c r="S1450" s="21" t="str">
        <f aca="false">IF(AND(ISNUMBER(J1450),ISNUMBER(K1450),F1450&lt;&gt;"Calentamiento",F1450&lt;&gt;"Bilbo"),IF(AND(K1450&gt;0,K1450&lt;=12),ROUND(J1450*(1+(K1450+IF(ISNUMBER(L1450),L1450,0))/30),1),""),"")</f>
        <v/>
      </c>
      <c r="T1450" s="21" t="str">
        <f aca="false">IF(AND(F1450="Bilbo",ISNUMBER(J1450),ISNUMBER(K1450)),ROUND(J1450*(1+K1450/30),1),"")</f>
        <v/>
      </c>
      <c r="W1450" s="22"/>
      <c r="X1450" s="21" t="str">
        <f aca="false">IF(AND(F1450="Bilbo",E1450&lt;&gt;"",G1450&lt;&gt;"",H1450&lt;&gt;""),E1450&amp;"|"&amp;G1450&amp;"|"&amp;H1450,"")</f>
        <v/>
      </c>
      <c r="Y1450" s="21" t="str">
        <f aca="false">IF(B1450="","",IF(B1450&lt;&gt;B1449,1,0))</f>
        <v/>
      </c>
    </row>
    <row r="1451" customFormat="false" ht="15" hidden="false" customHeight="true" outlineLevel="0" collapsed="false">
      <c r="A1451" s="21" t="str">
        <f aca="false">IF(B1451="","",ROW()-4)</f>
        <v/>
      </c>
      <c r="B1451" s="22"/>
      <c r="C1451" s="21" t="str">
        <f aca="false">IF(B1451="","",CHOOSE(WEEKDAY(B1451,2),"LUNES","MARTES","MIÉRCOLES","JUEVES","VIERNES","SÁBADO","DOMINGO"))</f>
        <v/>
      </c>
      <c r="M1451" s="23"/>
      <c r="Q1451" s="21" t="str">
        <f aca="false">IF(OR(K1451="",N1451=""),"",K1451-N1451)</f>
        <v/>
      </c>
      <c r="R1451" s="21" t="str">
        <f aca="false">IF(OR(J1451="",K1451=""),"",J1451*K1451)</f>
        <v/>
      </c>
      <c r="S1451" s="21" t="str">
        <f aca="false">IF(AND(ISNUMBER(J1451),ISNUMBER(K1451),F1451&lt;&gt;"Calentamiento",F1451&lt;&gt;"Bilbo"),IF(AND(K1451&gt;0,K1451&lt;=12),ROUND(J1451*(1+(K1451+IF(ISNUMBER(L1451),L1451,0))/30),1),""),"")</f>
        <v/>
      </c>
      <c r="T1451" s="21" t="str">
        <f aca="false">IF(AND(F1451="Bilbo",ISNUMBER(J1451),ISNUMBER(K1451)),ROUND(J1451*(1+K1451/30),1),"")</f>
        <v/>
      </c>
      <c r="W1451" s="22"/>
      <c r="X1451" s="21" t="str">
        <f aca="false">IF(AND(F1451="Bilbo",E1451&lt;&gt;"",G1451&lt;&gt;"",H1451&lt;&gt;""),E1451&amp;"|"&amp;G1451&amp;"|"&amp;H1451,"")</f>
        <v/>
      </c>
      <c r="Y1451" s="21" t="str">
        <f aca="false">IF(B1451="","",IF(B1451&lt;&gt;B1450,1,0))</f>
        <v/>
      </c>
    </row>
    <row r="1452" customFormat="false" ht="15" hidden="false" customHeight="true" outlineLevel="0" collapsed="false">
      <c r="A1452" s="21" t="str">
        <f aca="false">IF(B1452="","",ROW()-4)</f>
        <v/>
      </c>
      <c r="B1452" s="22"/>
      <c r="C1452" s="21" t="str">
        <f aca="false">IF(B1452="","",CHOOSE(WEEKDAY(B1452,2),"LUNES","MARTES","MIÉRCOLES","JUEVES","VIERNES","SÁBADO","DOMINGO"))</f>
        <v/>
      </c>
      <c r="M1452" s="23"/>
      <c r="Q1452" s="21" t="str">
        <f aca="false">IF(OR(K1452="",N1452=""),"",K1452-N1452)</f>
        <v/>
      </c>
      <c r="R1452" s="21" t="str">
        <f aca="false">IF(OR(J1452="",K1452=""),"",J1452*K1452)</f>
        <v/>
      </c>
      <c r="S1452" s="21" t="str">
        <f aca="false">IF(AND(ISNUMBER(J1452),ISNUMBER(K1452),F1452&lt;&gt;"Calentamiento",F1452&lt;&gt;"Bilbo"),IF(AND(K1452&gt;0,K1452&lt;=12),ROUND(J1452*(1+(K1452+IF(ISNUMBER(L1452),L1452,0))/30),1),""),"")</f>
        <v/>
      </c>
      <c r="T1452" s="21" t="str">
        <f aca="false">IF(AND(F1452="Bilbo",ISNUMBER(J1452),ISNUMBER(K1452)),ROUND(J1452*(1+K1452/30),1),"")</f>
        <v/>
      </c>
      <c r="W1452" s="22"/>
      <c r="X1452" s="21" t="str">
        <f aca="false">IF(AND(F1452="Bilbo",E1452&lt;&gt;"",G1452&lt;&gt;"",H1452&lt;&gt;""),E1452&amp;"|"&amp;G1452&amp;"|"&amp;H1452,"")</f>
        <v/>
      </c>
      <c r="Y1452" s="21" t="str">
        <f aca="false">IF(B1452="","",IF(B1452&lt;&gt;B1451,1,0))</f>
        <v/>
      </c>
    </row>
    <row r="1453" customFormat="false" ht="15" hidden="false" customHeight="true" outlineLevel="0" collapsed="false">
      <c r="A1453" s="21" t="str">
        <f aca="false">IF(B1453="","",ROW()-4)</f>
        <v/>
      </c>
      <c r="B1453" s="22"/>
      <c r="C1453" s="21" t="str">
        <f aca="false">IF(B1453="","",CHOOSE(WEEKDAY(B1453,2),"LUNES","MARTES","MIÉRCOLES","JUEVES","VIERNES","SÁBADO","DOMINGO"))</f>
        <v/>
      </c>
      <c r="M1453" s="23"/>
      <c r="Q1453" s="21" t="str">
        <f aca="false">IF(OR(K1453="",N1453=""),"",K1453-N1453)</f>
        <v/>
      </c>
      <c r="R1453" s="21" t="str">
        <f aca="false">IF(OR(J1453="",K1453=""),"",J1453*K1453)</f>
        <v/>
      </c>
      <c r="S1453" s="21" t="str">
        <f aca="false">IF(AND(ISNUMBER(J1453),ISNUMBER(K1453),F1453&lt;&gt;"Calentamiento",F1453&lt;&gt;"Bilbo"),IF(AND(K1453&gt;0,K1453&lt;=12),ROUND(J1453*(1+(K1453+IF(ISNUMBER(L1453),L1453,0))/30),1),""),"")</f>
        <v/>
      </c>
      <c r="T1453" s="21" t="str">
        <f aca="false">IF(AND(F1453="Bilbo",ISNUMBER(J1453),ISNUMBER(K1453)),ROUND(J1453*(1+K1453/30),1),"")</f>
        <v/>
      </c>
      <c r="W1453" s="22"/>
      <c r="X1453" s="21" t="str">
        <f aca="false">IF(AND(F1453="Bilbo",E1453&lt;&gt;"",G1453&lt;&gt;"",H1453&lt;&gt;""),E1453&amp;"|"&amp;G1453&amp;"|"&amp;H1453,"")</f>
        <v/>
      </c>
      <c r="Y1453" s="21" t="str">
        <f aca="false">IF(B1453="","",IF(B1453&lt;&gt;B1452,1,0))</f>
        <v/>
      </c>
    </row>
    <row r="1454" customFormat="false" ht="15" hidden="false" customHeight="true" outlineLevel="0" collapsed="false">
      <c r="A1454" s="21" t="str">
        <f aca="false">IF(B1454="","",ROW()-4)</f>
        <v/>
      </c>
      <c r="B1454" s="22"/>
      <c r="C1454" s="21" t="str">
        <f aca="false">IF(B1454="","",CHOOSE(WEEKDAY(B1454,2),"LUNES","MARTES","MIÉRCOLES","JUEVES","VIERNES","SÁBADO","DOMINGO"))</f>
        <v/>
      </c>
      <c r="M1454" s="23"/>
      <c r="Q1454" s="21" t="str">
        <f aca="false">IF(OR(K1454="",N1454=""),"",K1454-N1454)</f>
        <v/>
      </c>
      <c r="R1454" s="21" t="str">
        <f aca="false">IF(OR(J1454="",K1454=""),"",J1454*K1454)</f>
        <v/>
      </c>
      <c r="S1454" s="21" t="str">
        <f aca="false">IF(AND(ISNUMBER(J1454),ISNUMBER(K1454),F1454&lt;&gt;"Calentamiento",F1454&lt;&gt;"Bilbo"),IF(AND(K1454&gt;0,K1454&lt;=12),ROUND(J1454*(1+(K1454+IF(ISNUMBER(L1454),L1454,0))/30),1),""),"")</f>
        <v/>
      </c>
      <c r="T1454" s="21" t="str">
        <f aca="false">IF(AND(F1454="Bilbo",ISNUMBER(J1454),ISNUMBER(K1454)),ROUND(J1454*(1+K1454/30),1),"")</f>
        <v/>
      </c>
      <c r="W1454" s="22"/>
      <c r="X1454" s="21" t="str">
        <f aca="false">IF(AND(F1454="Bilbo",E1454&lt;&gt;"",G1454&lt;&gt;"",H1454&lt;&gt;""),E1454&amp;"|"&amp;G1454&amp;"|"&amp;H1454,"")</f>
        <v/>
      </c>
      <c r="Y1454" s="21" t="str">
        <f aca="false">IF(B1454="","",IF(B1454&lt;&gt;B1453,1,0))</f>
        <v/>
      </c>
    </row>
    <row r="1455" customFormat="false" ht="15" hidden="false" customHeight="true" outlineLevel="0" collapsed="false">
      <c r="A1455" s="21" t="str">
        <f aca="false">IF(B1455="","",ROW()-4)</f>
        <v/>
      </c>
      <c r="B1455" s="22"/>
      <c r="C1455" s="21" t="str">
        <f aca="false">IF(B1455="","",CHOOSE(WEEKDAY(B1455,2),"LUNES","MARTES","MIÉRCOLES","JUEVES","VIERNES","SÁBADO","DOMINGO"))</f>
        <v/>
      </c>
      <c r="M1455" s="23"/>
      <c r="Q1455" s="21" t="str">
        <f aca="false">IF(OR(K1455="",N1455=""),"",K1455-N1455)</f>
        <v/>
      </c>
      <c r="R1455" s="21" t="str">
        <f aca="false">IF(OR(J1455="",K1455=""),"",J1455*K1455)</f>
        <v/>
      </c>
      <c r="S1455" s="21" t="str">
        <f aca="false">IF(AND(ISNUMBER(J1455),ISNUMBER(K1455),F1455&lt;&gt;"Calentamiento",F1455&lt;&gt;"Bilbo"),IF(AND(K1455&gt;0,K1455&lt;=12),ROUND(J1455*(1+(K1455+IF(ISNUMBER(L1455),L1455,0))/30),1),""),"")</f>
        <v/>
      </c>
      <c r="T1455" s="21" t="str">
        <f aca="false">IF(AND(F1455="Bilbo",ISNUMBER(J1455),ISNUMBER(K1455)),ROUND(J1455*(1+K1455/30),1),"")</f>
        <v/>
      </c>
      <c r="W1455" s="22"/>
      <c r="X1455" s="21" t="str">
        <f aca="false">IF(AND(F1455="Bilbo",E1455&lt;&gt;"",G1455&lt;&gt;"",H1455&lt;&gt;""),E1455&amp;"|"&amp;G1455&amp;"|"&amp;H1455,"")</f>
        <v/>
      </c>
      <c r="Y1455" s="21" t="str">
        <f aca="false">IF(B1455="","",IF(B1455&lt;&gt;B1454,1,0))</f>
        <v/>
      </c>
    </row>
    <row r="1456" customFormat="false" ht="15" hidden="false" customHeight="true" outlineLevel="0" collapsed="false">
      <c r="A1456" s="21" t="str">
        <f aca="false">IF(B1456="","",ROW()-4)</f>
        <v/>
      </c>
      <c r="B1456" s="22"/>
      <c r="C1456" s="21" t="str">
        <f aca="false">IF(B1456="","",CHOOSE(WEEKDAY(B1456,2),"LUNES","MARTES","MIÉRCOLES","JUEVES","VIERNES","SÁBADO","DOMINGO"))</f>
        <v/>
      </c>
      <c r="M1456" s="23"/>
      <c r="Q1456" s="21" t="str">
        <f aca="false">IF(OR(K1456="",N1456=""),"",K1456-N1456)</f>
        <v/>
      </c>
      <c r="R1456" s="21" t="str">
        <f aca="false">IF(OR(J1456="",K1456=""),"",J1456*K1456)</f>
        <v/>
      </c>
      <c r="S1456" s="21" t="str">
        <f aca="false">IF(AND(ISNUMBER(J1456),ISNUMBER(K1456),F1456&lt;&gt;"Calentamiento",F1456&lt;&gt;"Bilbo"),IF(AND(K1456&gt;0,K1456&lt;=12),ROUND(J1456*(1+(K1456+IF(ISNUMBER(L1456),L1456,0))/30),1),""),"")</f>
        <v/>
      </c>
      <c r="T1456" s="21" t="str">
        <f aca="false">IF(AND(F1456="Bilbo",ISNUMBER(J1456),ISNUMBER(K1456)),ROUND(J1456*(1+K1456/30),1),"")</f>
        <v/>
      </c>
      <c r="W1456" s="22"/>
      <c r="X1456" s="21" t="str">
        <f aca="false">IF(AND(F1456="Bilbo",E1456&lt;&gt;"",G1456&lt;&gt;"",H1456&lt;&gt;""),E1456&amp;"|"&amp;G1456&amp;"|"&amp;H1456,"")</f>
        <v/>
      </c>
      <c r="Y1456" s="21" t="str">
        <f aca="false">IF(B1456="","",IF(B1456&lt;&gt;B1455,1,0))</f>
        <v/>
      </c>
    </row>
    <row r="1457" customFormat="false" ht="15" hidden="false" customHeight="true" outlineLevel="0" collapsed="false">
      <c r="A1457" s="21" t="str">
        <f aca="false">IF(B1457="","",ROW()-4)</f>
        <v/>
      </c>
      <c r="B1457" s="22"/>
      <c r="C1457" s="21" t="str">
        <f aca="false">IF(B1457="","",CHOOSE(WEEKDAY(B1457,2),"LUNES","MARTES","MIÉRCOLES","JUEVES","VIERNES","SÁBADO","DOMINGO"))</f>
        <v/>
      </c>
      <c r="M1457" s="23"/>
      <c r="Q1457" s="21" t="str">
        <f aca="false">IF(OR(K1457="",N1457=""),"",K1457-N1457)</f>
        <v/>
      </c>
      <c r="R1457" s="21" t="str">
        <f aca="false">IF(OR(J1457="",K1457=""),"",J1457*K1457)</f>
        <v/>
      </c>
      <c r="S1457" s="21" t="str">
        <f aca="false">IF(AND(ISNUMBER(J1457),ISNUMBER(K1457),F1457&lt;&gt;"Calentamiento",F1457&lt;&gt;"Bilbo"),IF(AND(K1457&gt;0,K1457&lt;=12),ROUND(J1457*(1+(K1457+IF(ISNUMBER(L1457),L1457,0))/30),1),""),"")</f>
        <v/>
      </c>
      <c r="T1457" s="21" t="str">
        <f aca="false">IF(AND(F1457="Bilbo",ISNUMBER(J1457),ISNUMBER(K1457)),ROUND(J1457*(1+K1457/30),1),"")</f>
        <v/>
      </c>
      <c r="W1457" s="22"/>
      <c r="X1457" s="21" t="str">
        <f aca="false">IF(AND(F1457="Bilbo",E1457&lt;&gt;"",G1457&lt;&gt;"",H1457&lt;&gt;""),E1457&amp;"|"&amp;G1457&amp;"|"&amp;H1457,"")</f>
        <v/>
      </c>
      <c r="Y1457" s="21" t="str">
        <f aca="false">IF(B1457="","",IF(B1457&lt;&gt;B1456,1,0))</f>
        <v/>
      </c>
    </row>
    <row r="1458" customFormat="false" ht="15" hidden="false" customHeight="true" outlineLevel="0" collapsed="false">
      <c r="A1458" s="21" t="str">
        <f aca="false">IF(B1458="","",ROW()-4)</f>
        <v/>
      </c>
      <c r="B1458" s="22"/>
      <c r="C1458" s="21" t="str">
        <f aca="false">IF(B1458="","",CHOOSE(WEEKDAY(B1458,2),"LUNES","MARTES","MIÉRCOLES","JUEVES","VIERNES","SÁBADO","DOMINGO"))</f>
        <v/>
      </c>
      <c r="M1458" s="23"/>
      <c r="Q1458" s="21" t="str">
        <f aca="false">IF(OR(K1458="",N1458=""),"",K1458-N1458)</f>
        <v/>
      </c>
      <c r="R1458" s="21" t="str">
        <f aca="false">IF(OR(J1458="",K1458=""),"",J1458*K1458)</f>
        <v/>
      </c>
      <c r="S1458" s="21" t="str">
        <f aca="false">IF(AND(ISNUMBER(J1458),ISNUMBER(K1458),F1458&lt;&gt;"Calentamiento",F1458&lt;&gt;"Bilbo"),IF(AND(K1458&gt;0,K1458&lt;=12),ROUND(J1458*(1+(K1458+IF(ISNUMBER(L1458),L1458,0))/30),1),""),"")</f>
        <v/>
      </c>
      <c r="T1458" s="21" t="str">
        <f aca="false">IF(AND(F1458="Bilbo",ISNUMBER(J1458),ISNUMBER(K1458)),ROUND(J1458*(1+K1458/30),1),"")</f>
        <v/>
      </c>
      <c r="W1458" s="22"/>
      <c r="X1458" s="21" t="str">
        <f aca="false">IF(AND(F1458="Bilbo",E1458&lt;&gt;"",G1458&lt;&gt;"",H1458&lt;&gt;""),E1458&amp;"|"&amp;G1458&amp;"|"&amp;H1458,"")</f>
        <v/>
      </c>
      <c r="Y1458" s="21" t="str">
        <f aca="false">IF(B1458="","",IF(B1458&lt;&gt;B1457,1,0))</f>
        <v/>
      </c>
    </row>
    <row r="1459" customFormat="false" ht="15" hidden="false" customHeight="true" outlineLevel="0" collapsed="false">
      <c r="A1459" s="21" t="str">
        <f aca="false">IF(B1459="","",ROW()-4)</f>
        <v/>
      </c>
      <c r="B1459" s="22"/>
      <c r="C1459" s="21" t="str">
        <f aca="false">IF(B1459="","",CHOOSE(WEEKDAY(B1459,2),"LUNES","MARTES","MIÉRCOLES","JUEVES","VIERNES","SÁBADO","DOMINGO"))</f>
        <v/>
      </c>
      <c r="M1459" s="23"/>
      <c r="Q1459" s="21" t="str">
        <f aca="false">IF(OR(K1459="",N1459=""),"",K1459-N1459)</f>
        <v/>
      </c>
      <c r="R1459" s="21" t="str">
        <f aca="false">IF(OR(J1459="",K1459=""),"",J1459*K1459)</f>
        <v/>
      </c>
      <c r="S1459" s="21" t="str">
        <f aca="false">IF(AND(ISNUMBER(J1459),ISNUMBER(K1459),F1459&lt;&gt;"Calentamiento",F1459&lt;&gt;"Bilbo"),IF(AND(K1459&gt;0,K1459&lt;=12),ROUND(J1459*(1+(K1459+IF(ISNUMBER(L1459),L1459,0))/30),1),""),"")</f>
        <v/>
      </c>
      <c r="T1459" s="21" t="str">
        <f aca="false">IF(AND(F1459="Bilbo",ISNUMBER(J1459),ISNUMBER(K1459)),ROUND(J1459*(1+K1459/30),1),"")</f>
        <v/>
      </c>
      <c r="W1459" s="22"/>
      <c r="X1459" s="21" t="str">
        <f aca="false">IF(AND(F1459="Bilbo",E1459&lt;&gt;"",G1459&lt;&gt;"",H1459&lt;&gt;""),E1459&amp;"|"&amp;G1459&amp;"|"&amp;H1459,"")</f>
        <v/>
      </c>
      <c r="Y1459" s="21" t="str">
        <f aca="false">IF(B1459="","",IF(B1459&lt;&gt;B1458,1,0))</f>
        <v/>
      </c>
    </row>
    <row r="1460" customFormat="false" ht="15" hidden="false" customHeight="true" outlineLevel="0" collapsed="false">
      <c r="A1460" s="21" t="str">
        <f aca="false">IF(B1460="","",ROW()-4)</f>
        <v/>
      </c>
      <c r="B1460" s="22"/>
      <c r="C1460" s="21" t="str">
        <f aca="false">IF(B1460="","",CHOOSE(WEEKDAY(B1460,2),"LUNES","MARTES","MIÉRCOLES","JUEVES","VIERNES","SÁBADO","DOMINGO"))</f>
        <v/>
      </c>
      <c r="M1460" s="23"/>
      <c r="Q1460" s="21" t="str">
        <f aca="false">IF(OR(K1460="",N1460=""),"",K1460-N1460)</f>
        <v/>
      </c>
      <c r="R1460" s="21" t="str">
        <f aca="false">IF(OR(J1460="",K1460=""),"",J1460*K1460)</f>
        <v/>
      </c>
      <c r="S1460" s="21" t="str">
        <f aca="false">IF(AND(ISNUMBER(J1460),ISNUMBER(K1460),F1460&lt;&gt;"Calentamiento",F1460&lt;&gt;"Bilbo"),IF(AND(K1460&gt;0,K1460&lt;=12),ROUND(J1460*(1+(K1460+IF(ISNUMBER(L1460),L1460,0))/30),1),""),"")</f>
        <v/>
      </c>
      <c r="T1460" s="21" t="str">
        <f aca="false">IF(AND(F1460="Bilbo",ISNUMBER(J1460),ISNUMBER(K1460)),ROUND(J1460*(1+K1460/30),1),"")</f>
        <v/>
      </c>
      <c r="W1460" s="22"/>
      <c r="X1460" s="21" t="str">
        <f aca="false">IF(AND(F1460="Bilbo",E1460&lt;&gt;"",G1460&lt;&gt;"",H1460&lt;&gt;""),E1460&amp;"|"&amp;G1460&amp;"|"&amp;H1460,"")</f>
        <v/>
      </c>
      <c r="Y1460" s="21" t="str">
        <f aca="false">IF(B1460="","",IF(B1460&lt;&gt;B1459,1,0))</f>
        <v/>
      </c>
    </row>
    <row r="1461" customFormat="false" ht="15" hidden="false" customHeight="true" outlineLevel="0" collapsed="false">
      <c r="A1461" s="21" t="str">
        <f aca="false">IF(B1461="","",ROW()-4)</f>
        <v/>
      </c>
      <c r="B1461" s="22"/>
      <c r="C1461" s="21" t="str">
        <f aca="false">IF(B1461="","",CHOOSE(WEEKDAY(B1461,2),"LUNES","MARTES","MIÉRCOLES","JUEVES","VIERNES","SÁBADO","DOMINGO"))</f>
        <v/>
      </c>
      <c r="M1461" s="23"/>
      <c r="Q1461" s="21" t="str">
        <f aca="false">IF(OR(K1461="",N1461=""),"",K1461-N1461)</f>
        <v/>
      </c>
      <c r="R1461" s="21" t="str">
        <f aca="false">IF(OR(J1461="",K1461=""),"",J1461*K1461)</f>
        <v/>
      </c>
      <c r="S1461" s="21" t="str">
        <f aca="false">IF(AND(ISNUMBER(J1461),ISNUMBER(K1461),F1461&lt;&gt;"Calentamiento",F1461&lt;&gt;"Bilbo"),IF(AND(K1461&gt;0,K1461&lt;=12),ROUND(J1461*(1+(K1461+IF(ISNUMBER(L1461),L1461,0))/30),1),""),"")</f>
        <v/>
      </c>
      <c r="T1461" s="21" t="str">
        <f aca="false">IF(AND(F1461="Bilbo",ISNUMBER(J1461),ISNUMBER(K1461)),ROUND(J1461*(1+K1461/30),1),"")</f>
        <v/>
      </c>
      <c r="W1461" s="22"/>
      <c r="X1461" s="21" t="str">
        <f aca="false">IF(AND(F1461="Bilbo",E1461&lt;&gt;"",G1461&lt;&gt;"",H1461&lt;&gt;""),E1461&amp;"|"&amp;G1461&amp;"|"&amp;H1461,"")</f>
        <v/>
      </c>
      <c r="Y1461" s="21" t="str">
        <f aca="false">IF(B1461="","",IF(B1461&lt;&gt;B1460,1,0))</f>
        <v/>
      </c>
    </row>
    <row r="1462" customFormat="false" ht="15" hidden="false" customHeight="true" outlineLevel="0" collapsed="false">
      <c r="A1462" s="21" t="str">
        <f aca="false">IF(B1462="","",ROW()-4)</f>
        <v/>
      </c>
      <c r="B1462" s="22"/>
      <c r="C1462" s="21" t="str">
        <f aca="false">IF(B1462="","",CHOOSE(WEEKDAY(B1462,2),"LUNES","MARTES","MIÉRCOLES","JUEVES","VIERNES","SÁBADO","DOMINGO"))</f>
        <v/>
      </c>
      <c r="M1462" s="23"/>
      <c r="Q1462" s="21" t="str">
        <f aca="false">IF(OR(K1462="",N1462=""),"",K1462-N1462)</f>
        <v/>
      </c>
      <c r="R1462" s="21" t="str">
        <f aca="false">IF(OR(J1462="",K1462=""),"",J1462*K1462)</f>
        <v/>
      </c>
      <c r="S1462" s="21" t="str">
        <f aca="false">IF(AND(ISNUMBER(J1462),ISNUMBER(K1462),F1462&lt;&gt;"Calentamiento",F1462&lt;&gt;"Bilbo"),IF(AND(K1462&gt;0,K1462&lt;=12),ROUND(J1462*(1+(K1462+IF(ISNUMBER(L1462),L1462,0))/30),1),""),"")</f>
        <v/>
      </c>
      <c r="T1462" s="21" t="str">
        <f aca="false">IF(AND(F1462="Bilbo",ISNUMBER(J1462),ISNUMBER(K1462)),ROUND(J1462*(1+K1462/30),1),"")</f>
        <v/>
      </c>
      <c r="W1462" s="22"/>
      <c r="X1462" s="21" t="str">
        <f aca="false">IF(AND(F1462="Bilbo",E1462&lt;&gt;"",G1462&lt;&gt;"",H1462&lt;&gt;""),E1462&amp;"|"&amp;G1462&amp;"|"&amp;H1462,"")</f>
        <v/>
      </c>
      <c r="Y1462" s="21" t="str">
        <f aca="false">IF(B1462="","",IF(B1462&lt;&gt;B1461,1,0))</f>
        <v/>
      </c>
    </row>
    <row r="1463" customFormat="false" ht="15" hidden="false" customHeight="true" outlineLevel="0" collapsed="false">
      <c r="A1463" s="21" t="str">
        <f aca="false">IF(B1463="","",ROW()-4)</f>
        <v/>
      </c>
      <c r="B1463" s="22"/>
      <c r="C1463" s="21" t="str">
        <f aca="false">IF(B1463="","",CHOOSE(WEEKDAY(B1463,2),"LUNES","MARTES","MIÉRCOLES","JUEVES","VIERNES","SÁBADO","DOMINGO"))</f>
        <v/>
      </c>
      <c r="M1463" s="23"/>
      <c r="Q1463" s="21" t="str">
        <f aca="false">IF(OR(K1463="",N1463=""),"",K1463-N1463)</f>
        <v/>
      </c>
      <c r="R1463" s="21" t="str">
        <f aca="false">IF(OR(J1463="",K1463=""),"",J1463*K1463)</f>
        <v/>
      </c>
      <c r="S1463" s="21" t="str">
        <f aca="false">IF(AND(ISNUMBER(J1463),ISNUMBER(K1463),F1463&lt;&gt;"Calentamiento",F1463&lt;&gt;"Bilbo"),IF(AND(K1463&gt;0,K1463&lt;=12),ROUND(J1463*(1+(K1463+IF(ISNUMBER(L1463),L1463,0))/30),1),""),"")</f>
        <v/>
      </c>
      <c r="T1463" s="21" t="str">
        <f aca="false">IF(AND(F1463="Bilbo",ISNUMBER(J1463),ISNUMBER(K1463)),ROUND(J1463*(1+K1463/30),1),"")</f>
        <v/>
      </c>
      <c r="W1463" s="22"/>
      <c r="X1463" s="21" t="str">
        <f aca="false">IF(AND(F1463="Bilbo",E1463&lt;&gt;"",G1463&lt;&gt;"",H1463&lt;&gt;""),E1463&amp;"|"&amp;G1463&amp;"|"&amp;H1463,"")</f>
        <v/>
      </c>
      <c r="Y1463" s="21" t="str">
        <f aca="false">IF(B1463="","",IF(B1463&lt;&gt;B1462,1,0))</f>
        <v/>
      </c>
    </row>
    <row r="1464" customFormat="false" ht="15" hidden="false" customHeight="true" outlineLevel="0" collapsed="false">
      <c r="A1464" s="21" t="str">
        <f aca="false">IF(B1464="","",ROW()-4)</f>
        <v/>
      </c>
      <c r="B1464" s="22"/>
      <c r="C1464" s="21" t="str">
        <f aca="false">IF(B1464="","",CHOOSE(WEEKDAY(B1464,2),"LUNES","MARTES","MIÉRCOLES","JUEVES","VIERNES","SÁBADO","DOMINGO"))</f>
        <v/>
      </c>
      <c r="M1464" s="23"/>
      <c r="Q1464" s="21" t="str">
        <f aca="false">IF(OR(K1464="",N1464=""),"",K1464-N1464)</f>
        <v/>
      </c>
      <c r="R1464" s="21" t="str">
        <f aca="false">IF(OR(J1464="",K1464=""),"",J1464*K1464)</f>
        <v/>
      </c>
      <c r="S1464" s="21" t="str">
        <f aca="false">IF(AND(ISNUMBER(J1464),ISNUMBER(K1464),F1464&lt;&gt;"Calentamiento",F1464&lt;&gt;"Bilbo"),IF(AND(K1464&gt;0,K1464&lt;=12),ROUND(J1464*(1+(K1464+IF(ISNUMBER(L1464),L1464,0))/30),1),""),"")</f>
        <v/>
      </c>
      <c r="T1464" s="21" t="str">
        <f aca="false">IF(AND(F1464="Bilbo",ISNUMBER(J1464),ISNUMBER(K1464)),ROUND(J1464*(1+K1464/30),1),"")</f>
        <v/>
      </c>
      <c r="W1464" s="22"/>
      <c r="X1464" s="21" t="str">
        <f aca="false">IF(AND(F1464="Bilbo",E1464&lt;&gt;"",G1464&lt;&gt;"",H1464&lt;&gt;""),E1464&amp;"|"&amp;G1464&amp;"|"&amp;H1464,"")</f>
        <v/>
      </c>
      <c r="Y1464" s="21" t="str">
        <f aca="false">IF(B1464="","",IF(B1464&lt;&gt;B1463,1,0))</f>
        <v/>
      </c>
    </row>
    <row r="1465" customFormat="false" ht="15" hidden="false" customHeight="true" outlineLevel="0" collapsed="false">
      <c r="A1465" s="21" t="str">
        <f aca="false">IF(B1465="","",ROW()-4)</f>
        <v/>
      </c>
      <c r="B1465" s="22"/>
      <c r="C1465" s="21" t="str">
        <f aca="false">IF(B1465="","",CHOOSE(WEEKDAY(B1465,2),"LUNES","MARTES","MIÉRCOLES","JUEVES","VIERNES","SÁBADO","DOMINGO"))</f>
        <v/>
      </c>
      <c r="M1465" s="23"/>
      <c r="Q1465" s="21" t="str">
        <f aca="false">IF(OR(K1465="",N1465=""),"",K1465-N1465)</f>
        <v/>
      </c>
      <c r="R1465" s="21" t="str">
        <f aca="false">IF(OR(J1465="",K1465=""),"",J1465*K1465)</f>
        <v/>
      </c>
      <c r="S1465" s="21" t="str">
        <f aca="false">IF(AND(ISNUMBER(J1465),ISNUMBER(K1465),F1465&lt;&gt;"Calentamiento",F1465&lt;&gt;"Bilbo"),IF(AND(K1465&gt;0,K1465&lt;=12),ROUND(J1465*(1+(K1465+IF(ISNUMBER(L1465),L1465,0))/30),1),""),"")</f>
        <v/>
      </c>
      <c r="T1465" s="21" t="str">
        <f aca="false">IF(AND(F1465="Bilbo",ISNUMBER(J1465),ISNUMBER(K1465)),ROUND(J1465*(1+K1465/30),1),"")</f>
        <v/>
      </c>
      <c r="W1465" s="22"/>
      <c r="X1465" s="21" t="str">
        <f aca="false">IF(AND(F1465="Bilbo",E1465&lt;&gt;"",G1465&lt;&gt;"",H1465&lt;&gt;""),E1465&amp;"|"&amp;G1465&amp;"|"&amp;H1465,"")</f>
        <v/>
      </c>
      <c r="Y1465" s="21" t="str">
        <f aca="false">IF(B1465="","",IF(B1465&lt;&gt;B1464,1,0))</f>
        <v/>
      </c>
    </row>
    <row r="1466" customFormat="false" ht="15" hidden="false" customHeight="true" outlineLevel="0" collapsed="false">
      <c r="A1466" s="21" t="str">
        <f aca="false">IF(B1466="","",ROW()-4)</f>
        <v/>
      </c>
      <c r="B1466" s="22"/>
      <c r="C1466" s="21" t="str">
        <f aca="false">IF(B1466="","",CHOOSE(WEEKDAY(B1466,2),"LUNES","MARTES","MIÉRCOLES","JUEVES","VIERNES","SÁBADO","DOMINGO"))</f>
        <v/>
      </c>
      <c r="M1466" s="23"/>
      <c r="Q1466" s="21" t="str">
        <f aca="false">IF(OR(K1466="",N1466=""),"",K1466-N1466)</f>
        <v/>
      </c>
      <c r="R1466" s="21" t="str">
        <f aca="false">IF(OR(J1466="",K1466=""),"",J1466*K1466)</f>
        <v/>
      </c>
      <c r="S1466" s="21" t="str">
        <f aca="false">IF(AND(ISNUMBER(J1466),ISNUMBER(K1466),F1466&lt;&gt;"Calentamiento",F1466&lt;&gt;"Bilbo"),IF(AND(K1466&gt;0,K1466&lt;=12),ROUND(J1466*(1+(K1466+IF(ISNUMBER(L1466),L1466,0))/30),1),""),"")</f>
        <v/>
      </c>
      <c r="T1466" s="21" t="str">
        <f aca="false">IF(AND(F1466="Bilbo",ISNUMBER(J1466),ISNUMBER(K1466)),ROUND(J1466*(1+K1466/30),1),"")</f>
        <v/>
      </c>
      <c r="W1466" s="22"/>
      <c r="X1466" s="21" t="str">
        <f aca="false">IF(AND(F1466="Bilbo",E1466&lt;&gt;"",G1466&lt;&gt;"",H1466&lt;&gt;""),E1466&amp;"|"&amp;G1466&amp;"|"&amp;H1466,"")</f>
        <v/>
      </c>
      <c r="Y1466" s="21" t="str">
        <f aca="false">IF(B1466="","",IF(B1466&lt;&gt;B1465,1,0))</f>
        <v/>
      </c>
    </row>
    <row r="1467" customFormat="false" ht="15" hidden="false" customHeight="true" outlineLevel="0" collapsed="false">
      <c r="A1467" s="21" t="str">
        <f aca="false">IF(B1467="","",ROW()-4)</f>
        <v/>
      </c>
      <c r="B1467" s="22"/>
      <c r="C1467" s="21" t="str">
        <f aca="false">IF(B1467="","",CHOOSE(WEEKDAY(B1467,2),"LUNES","MARTES","MIÉRCOLES","JUEVES","VIERNES","SÁBADO","DOMINGO"))</f>
        <v/>
      </c>
      <c r="M1467" s="23"/>
      <c r="Q1467" s="21" t="str">
        <f aca="false">IF(OR(K1467="",N1467=""),"",K1467-N1467)</f>
        <v/>
      </c>
      <c r="R1467" s="21" t="str">
        <f aca="false">IF(OR(J1467="",K1467=""),"",J1467*K1467)</f>
        <v/>
      </c>
      <c r="S1467" s="21" t="str">
        <f aca="false">IF(AND(ISNUMBER(J1467),ISNUMBER(K1467),F1467&lt;&gt;"Calentamiento",F1467&lt;&gt;"Bilbo"),IF(AND(K1467&gt;0,K1467&lt;=12),ROUND(J1467*(1+(K1467+IF(ISNUMBER(L1467),L1467,0))/30),1),""),"")</f>
        <v/>
      </c>
      <c r="T1467" s="21" t="str">
        <f aca="false">IF(AND(F1467="Bilbo",ISNUMBER(J1467),ISNUMBER(K1467)),ROUND(J1467*(1+K1467/30),1),"")</f>
        <v/>
      </c>
      <c r="W1467" s="22"/>
      <c r="X1467" s="21" t="str">
        <f aca="false">IF(AND(F1467="Bilbo",E1467&lt;&gt;"",G1467&lt;&gt;"",H1467&lt;&gt;""),E1467&amp;"|"&amp;G1467&amp;"|"&amp;H1467,"")</f>
        <v/>
      </c>
      <c r="Y1467" s="21" t="str">
        <f aca="false">IF(B1467="","",IF(B1467&lt;&gt;B1466,1,0))</f>
        <v/>
      </c>
    </row>
    <row r="1468" customFormat="false" ht="15" hidden="false" customHeight="true" outlineLevel="0" collapsed="false">
      <c r="A1468" s="21" t="str">
        <f aca="false">IF(B1468="","",ROW()-4)</f>
        <v/>
      </c>
      <c r="B1468" s="22"/>
      <c r="C1468" s="21" t="str">
        <f aca="false">IF(B1468="","",CHOOSE(WEEKDAY(B1468,2),"LUNES","MARTES","MIÉRCOLES","JUEVES","VIERNES","SÁBADO","DOMINGO"))</f>
        <v/>
      </c>
      <c r="M1468" s="23"/>
      <c r="Q1468" s="21" t="str">
        <f aca="false">IF(OR(K1468="",N1468=""),"",K1468-N1468)</f>
        <v/>
      </c>
      <c r="R1468" s="21" t="str">
        <f aca="false">IF(OR(J1468="",K1468=""),"",J1468*K1468)</f>
        <v/>
      </c>
      <c r="S1468" s="21" t="str">
        <f aca="false">IF(AND(ISNUMBER(J1468),ISNUMBER(K1468),F1468&lt;&gt;"Calentamiento",F1468&lt;&gt;"Bilbo"),IF(AND(K1468&gt;0,K1468&lt;=12),ROUND(J1468*(1+(K1468+IF(ISNUMBER(L1468),L1468,0))/30),1),""),"")</f>
        <v/>
      </c>
      <c r="T1468" s="21" t="str">
        <f aca="false">IF(AND(F1468="Bilbo",ISNUMBER(J1468),ISNUMBER(K1468)),ROUND(J1468*(1+K1468/30),1),"")</f>
        <v/>
      </c>
      <c r="W1468" s="22"/>
      <c r="X1468" s="21" t="str">
        <f aca="false">IF(AND(F1468="Bilbo",E1468&lt;&gt;"",G1468&lt;&gt;"",H1468&lt;&gt;""),E1468&amp;"|"&amp;G1468&amp;"|"&amp;H1468,"")</f>
        <v/>
      </c>
      <c r="Y1468" s="21" t="str">
        <f aca="false">IF(B1468="","",IF(B1468&lt;&gt;B1467,1,0))</f>
        <v/>
      </c>
    </row>
    <row r="1469" customFormat="false" ht="15" hidden="false" customHeight="true" outlineLevel="0" collapsed="false">
      <c r="A1469" s="21" t="str">
        <f aca="false">IF(B1469="","",ROW()-4)</f>
        <v/>
      </c>
      <c r="B1469" s="22"/>
      <c r="C1469" s="21" t="str">
        <f aca="false">IF(B1469="","",CHOOSE(WEEKDAY(B1469,2),"LUNES","MARTES","MIÉRCOLES","JUEVES","VIERNES","SÁBADO","DOMINGO"))</f>
        <v/>
      </c>
      <c r="M1469" s="23"/>
      <c r="Q1469" s="21" t="str">
        <f aca="false">IF(OR(K1469="",N1469=""),"",K1469-N1469)</f>
        <v/>
      </c>
      <c r="R1469" s="21" t="str">
        <f aca="false">IF(OR(J1469="",K1469=""),"",J1469*K1469)</f>
        <v/>
      </c>
      <c r="S1469" s="21" t="str">
        <f aca="false">IF(AND(ISNUMBER(J1469),ISNUMBER(K1469),F1469&lt;&gt;"Calentamiento",F1469&lt;&gt;"Bilbo"),IF(AND(K1469&gt;0,K1469&lt;=12),ROUND(J1469*(1+(K1469+IF(ISNUMBER(L1469),L1469,0))/30),1),""),"")</f>
        <v/>
      </c>
      <c r="T1469" s="21" t="str">
        <f aca="false">IF(AND(F1469="Bilbo",ISNUMBER(J1469),ISNUMBER(K1469)),ROUND(J1469*(1+K1469/30),1),"")</f>
        <v/>
      </c>
      <c r="W1469" s="22"/>
      <c r="X1469" s="21" t="str">
        <f aca="false">IF(AND(F1469="Bilbo",E1469&lt;&gt;"",G1469&lt;&gt;"",H1469&lt;&gt;""),E1469&amp;"|"&amp;G1469&amp;"|"&amp;H1469,"")</f>
        <v/>
      </c>
      <c r="Y1469" s="21" t="str">
        <f aca="false">IF(B1469="","",IF(B1469&lt;&gt;B1468,1,0))</f>
        <v/>
      </c>
    </row>
    <row r="1470" customFormat="false" ht="15" hidden="false" customHeight="true" outlineLevel="0" collapsed="false">
      <c r="A1470" s="21" t="str">
        <f aca="false">IF(B1470="","",ROW()-4)</f>
        <v/>
      </c>
      <c r="B1470" s="22"/>
      <c r="C1470" s="21" t="str">
        <f aca="false">IF(B1470="","",CHOOSE(WEEKDAY(B1470,2),"LUNES","MARTES","MIÉRCOLES","JUEVES","VIERNES","SÁBADO","DOMINGO"))</f>
        <v/>
      </c>
      <c r="M1470" s="23"/>
      <c r="Q1470" s="21" t="str">
        <f aca="false">IF(OR(K1470="",N1470=""),"",K1470-N1470)</f>
        <v/>
      </c>
      <c r="R1470" s="21" t="str">
        <f aca="false">IF(OR(J1470="",K1470=""),"",J1470*K1470)</f>
        <v/>
      </c>
      <c r="S1470" s="21" t="str">
        <f aca="false">IF(AND(ISNUMBER(J1470),ISNUMBER(K1470),F1470&lt;&gt;"Calentamiento",F1470&lt;&gt;"Bilbo"),IF(AND(K1470&gt;0,K1470&lt;=12),ROUND(J1470*(1+(K1470+IF(ISNUMBER(L1470),L1470,0))/30),1),""),"")</f>
        <v/>
      </c>
      <c r="T1470" s="21" t="str">
        <f aca="false">IF(AND(F1470="Bilbo",ISNUMBER(J1470),ISNUMBER(K1470)),ROUND(J1470*(1+K1470/30),1),"")</f>
        <v/>
      </c>
      <c r="W1470" s="22"/>
      <c r="X1470" s="21" t="str">
        <f aca="false">IF(AND(F1470="Bilbo",E1470&lt;&gt;"",G1470&lt;&gt;"",H1470&lt;&gt;""),E1470&amp;"|"&amp;G1470&amp;"|"&amp;H1470,"")</f>
        <v/>
      </c>
      <c r="Y1470" s="21" t="str">
        <f aca="false">IF(B1470="","",IF(B1470&lt;&gt;B1469,1,0))</f>
        <v/>
      </c>
    </row>
    <row r="1471" customFormat="false" ht="15" hidden="false" customHeight="true" outlineLevel="0" collapsed="false">
      <c r="A1471" s="21" t="str">
        <f aca="false">IF(B1471="","",ROW()-4)</f>
        <v/>
      </c>
      <c r="B1471" s="22"/>
      <c r="C1471" s="21" t="str">
        <f aca="false">IF(B1471="","",CHOOSE(WEEKDAY(B1471,2),"LUNES","MARTES","MIÉRCOLES","JUEVES","VIERNES","SÁBADO","DOMINGO"))</f>
        <v/>
      </c>
      <c r="M1471" s="23"/>
      <c r="Q1471" s="21" t="str">
        <f aca="false">IF(OR(K1471="",N1471=""),"",K1471-N1471)</f>
        <v/>
      </c>
      <c r="R1471" s="21" t="str">
        <f aca="false">IF(OR(J1471="",K1471=""),"",J1471*K1471)</f>
        <v/>
      </c>
      <c r="S1471" s="21" t="str">
        <f aca="false">IF(AND(ISNUMBER(J1471),ISNUMBER(K1471),F1471&lt;&gt;"Calentamiento",F1471&lt;&gt;"Bilbo"),IF(AND(K1471&gt;0,K1471&lt;=12),ROUND(J1471*(1+(K1471+IF(ISNUMBER(L1471),L1471,0))/30),1),""),"")</f>
        <v/>
      </c>
      <c r="T1471" s="21" t="str">
        <f aca="false">IF(AND(F1471="Bilbo",ISNUMBER(J1471),ISNUMBER(K1471)),ROUND(J1471*(1+K1471/30),1),"")</f>
        <v/>
      </c>
      <c r="W1471" s="22"/>
      <c r="X1471" s="21" t="str">
        <f aca="false">IF(AND(F1471="Bilbo",E1471&lt;&gt;"",G1471&lt;&gt;"",H1471&lt;&gt;""),E1471&amp;"|"&amp;G1471&amp;"|"&amp;H1471,"")</f>
        <v/>
      </c>
      <c r="Y1471" s="21" t="str">
        <f aca="false">IF(B1471="","",IF(B1471&lt;&gt;B1470,1,0))</f>
        <v/>
      </c>
    </row>
    <row r="1472" customFormat="false" ht="15" hidden="false" customHeight="true" outlineLevel="0" collapsed="false">
      <c r="A1472" s="21" t="str">
        <f aca="false">IF(B1472="","",ROW()-4)</f>
        <v/>
      </c>
      <c r="B1472" s="22"/>
      <c r="C1472" s="21" t="str">
        <f aca="false">IF(B1472="","",CHOOSE(WEEKDAY(B1472,2),"LUNES","MARTES","MIÉRCOLES","JUEVES","VIERNES","SÁBADO","DOMINGO"))</f>
        <v/>
      </c>
      <c r="M1472" s="23"/>
      <c r="Q1472" s="21" t="str">
        <f aca="false">IF(OR(K1472="",N1472=""),"",K1472-N1472)</f>
        <v/>
      </c>
      <c r="R1472" s="21" t="str">
        <f aca="false">IF(OR(J1472="",K1472=""),"",J1472*K1472)</f>
        <v/>
      </c>
      <c r="S1472" s="21" t="str">
        <f aca="false">IF(AND(ISNUMBER(J1472),ISNUMBER(K1472),F1472&lt;&gt;"Calentamiento",F1472&lt;&gt;"Bilbo"),IF(AND(K1472&gt;0,K1472&lt;=12),ROUND(J1472*(1+(K1472+IF(ISNUMBER(L1472),L1472,0))/30),1),""),"")</f>
        <v/>
      </c>
      <c r="T1472" s="21" t="str">
        <f aca="false">IF(AND(F1472="Bilbo",ISNUMBER(J1472),ISNUMBER(K1472)),ROUND(J1472*(1+K1472/30),1),"")</f>
        <v/>
      </c>
      <c r="W1472" s="22"/>
      <c r="X1472" s="21" t="str">
        <f aca="false">IF(AND(F1472="Bilbo",E1472&lt;&gt;"",G1472&lt;&gt;"",H1472&lt;&gt;""),E1472&amp;"|"&amp;G1472&amp;"|"&amp;H1472,"")</f>
        <v/>
      </c>
      <c r="Y1472" s="21" t="str">
        <f aca="false">IF(B1472="","",IF(B1472&lt;&gt;B1471,1,0))</f>
        <v/>
      </c>
    </row>
    <row r="1473" customFormat="false" ht="15" hidden="false" customHeight="true" outlineLevel="0" collapsed="false">
      <c r="A1473" s="21" t="str">
        <f aca="false">IF(B1473="","",ROW()-4)</f>
        <v/>
      </c>
      <c r="B1473" s="22"/>
      <c r="C1473" s="21" t="str">
        <f aca="false">IF(B1473="","",CHOOSE(WEEKDAY(B1473,2),"LUNES","MARTES","MIÉRCOLES","JUEVES","VIERNES","SÁBADO","DOMINGO"))</f>
        <v/>
      </c>
      <c r="M1473" s="23"/>
      <c r="Q1473" s="21" t="str">
        <f aca="false">IF(OR(K1473="",N1473=""),"",K1473-N1473)</f>
        <v/>
      </c>
      <c r="R1473" s="21" t="str">
        <f aca="false">IF(OR(J1473="",K1473=""),"",J1473*K1473)</f>
        <v/>
      </c>
      <c r="S1473" s="21" t="str">
        <f aca="false">IF(AND(ISNUMBER(J1473),ISNUMBER(K1473),F1473&lt;&gt;"Calentamiento",F1473&lt;&gt;"Bilbo"),IF(AND(K1473&gt;0,K1473&lt;=12),ROUND(J1473*(1+(K1473+IF(ISNUMBER(L1473),L1473,0))/30),1),""),"")</f>
        <v/>
      </c>
      <c r="T1473" s="21" t="str">
        <f aca="false">IF(AND(F1473="Bilbo",ISNUMBER(J1473),ISNUMBER(K1473)),ROUND(J1473*(1+K1473/30),1),"")</f>
        <v/>
      </c>
      <c r="W1473" s="22"/>
      <c r="X1473" s="21" t="str">
        <f aca="false">IF(AND(F1473="Bilbo",E1473&lt;&gt;"",G1473&lt;&gt;"",H1473&lt;&gt;""),E1473&amp;"|"&amp;G1473&amp;"|"&amp;H1473,"")</f>
        <v/>
      </c>
      <c r="Y1473" s="21" t="str">
        <f aca="false">IF(B1473="","",IF(B1473&lt;&gt;B1472,1,0))</f>
        <v/>
      </c>
    </row>
    <row r="1474" customFormat="false" ht="15" hidden="false" customHeight="true" outlineLevel="0" collapsed="false">
      <c r="A1474" s="21" t="str">
        <f aca="false">IF(B1474="","",ROW()-4)</f>
        <v/>
      </c>
      <c r="B1474" s="22"/>
      <c r="C1474" s="21" t="str">
        <f aca="false">IF(B1474="","",CHOOSE(WEEKDAY(B1474,2),"LUNES","MARTES","MIÉRCOLES","JUEVES","VIERNES","SÁBADO","DOMINGO"))</f>
        <v/>
      </c>
      <c r="M1474" s="23"/>
      <c r="Q1474" s="21" t="str">
        <f aca="false">IF(OR(K1474="",N1474=""),"",K1474-N1474)</f>
        <v/>
      </c>
      <c r="R1474" s="21" t="str">
        <f aca="false">IF(OR(J1474="",K1474=""),"",J1474*K1474)</f>
        <v/>
      </c>
      <c r="S1474" s="21" t="str">
        <f aca="false">IF(AND(ISNUMBER(J1474),ISNUMBER(K1474),F1474&lt;&gt;"Calentamiento",F1474&lt;&gt;"Bilbo"),IF(AND(K1474&gt;0,K1474&lt;=12),ROUND(J1474*(1+(K1474+IF(ISNUMBER(L1474),L1474,0))/30),1),""),"")</f>
        <v/>
      </c>
      <c r="T1474" s="21" t="str">
        <f aca="false">IF(AND(F1474="Bilbo",ISNUMBER(J1474),ISNUMBER(K1474)),ROUND(J1474*(1+K1474/30),1),"")</f>
        <v/>
      </c>
      <c r="W1474" s="22"/>
      <c r="X1474" s="21" t="str">
        <f aca="false">IF(AND(F1474="Bilbo",E1474&lt;&gt;"",G1474&lt;&gt;"",H1474&lt;&gt;""),E1474&amp;"|"&amp;G1474&amp;"|"&amp;H1474,"")</f>
        <v/>
      </c>
      <c r="Y1474" s="21" t="str">
        <f aca="false">IF(B1474="","",IF(B1474&lt;&gt;B1473,1,0))</f>
        <v/>
      </c>
    </row>
    <row r="1475" customFormat="false" ht="15" hidden="false" customHeight="true" outlineLevel="0" collapsed="false">
      <c r="A1475" s="21" t="str">
        <f aca="false">IF(B1475="","",ROW()-4)</f>
        <v/>
      </c>
      <c r="B1475" s="22"/>
      <c r="C1475" s="21" t="str">
        <f aca="false">IF(B1475="","",CHOOSE(WEEKDAY(B1475,2),"LUNES","MARTES","MIÉRCOLES","JUEVES","VIERNES","SÁBADO","DOMINGO"))</f>
        <v/>
      </c>
      <c r="M1475" s="23"/>
      <c r="Q1475" s="21" t="str">
        <f aca="false">IF(OR(K1475="",N1475=""),"",K1475-N1475)</f>
        <v/>
      </c>
      <c r="R1475" s="21" t="str">
        <f aca="false">IF(OR(J1475="",K1475=""),"",J1475*K1475)</f>
        <v/>
      </c>
      <c r="S1475" s="21" t="str">
        <f aca="false">IF(AND(ISNUMBER(J1475),ISNUMBER(K1475),F1475&lt;&gt;"Calentamiento",F1475&lt;&gt;"Bilbo"),IF(AND(K1475&gt;0,K1475&lt;=12),ROUND(J1475*(1+(K1475+IF(ISNUMBER(L1475),L1475,0))/30),1),""),"")</f>
        <v/>
      </c>
      <c r="T1475" s="21" t="str">
        <f aca="false">IF(AND(F1475="Bilbo",ISNUMBER(J1475),ISNUMBER(K1475)),ROUND(J1475*(1+K1475/30),1),"")</f>
        <v/>
      </c>
      <c r="W1475" s="22"/>
      <c r="X1475" s="21" t="str">
        <f aca="false">IF(AND(F1475="Bilbo",E1475&lt;&gt;"",G1475&lt;&gt;"",H1475&lt;&gt;""),E1475&amp;"|"&amp;G1475&amp;"|"&amp;H1475,"")</f>
        <v/>
      </c>
      <c r="Y1475" s="21" t="str">
        <f aca="false">IF(B1475="","",IF(B1475&lt;&gt;B1474,1,0))</f>
        <v/>
      </c>
    </row>
    <row r="1476" customFormat="false" ht="15" hidden="false" customHeight="true" outlineLevel="0" collapsed="false">
      <c r="A1476" s="21" t="str">
        <f aca="false">IF(B1476="","",ROW()-4)</f>
        <v/>
      </c>
      <c r="B1476" s="22"/>
      <c r="C1476" s="21" t="str">
        <f aca="false">IF(B1476="","",CHOOSE(WEEKDAY(B1476,2),"LUNES","MARTES","MIÉRCOLES","JUEVES","VIERNES","SÁBADO","DOMINGO"))</f>
        <v/>
      </c>
      <c r="M1476" s="23"/>
      <c r="Q1476" s="21" t="str">
        <f aca="false">IF(OR(K1476="",N1476=""),"",K1476-N1476)</f>
        <v/>
      </c>
      <c r="R1476" s="21" t="str">
        <f aca="false">IF(OR(J1476="",K1476=""),"",J1476*K1476)</f>
        <v/>
      </c>
      <c r="S1476" s="21" t="str">
        <f aca="false">IF(AND(ISNUMBER(J1476),ISNUMBER(K1476),F1476&lt;&gt;"Calentamiento",F1476&lt;&gt;"Bilbo"),IF(AND(K1476&gt;0,K1476&lt;=12),ROUND(J1476*(1+(K1476+IF(ISNUMBER(L1476),L1476,0))/30),1),""),"")</f>
        <v/>
      </c>
      <c r="T1476" s="21" t="str">
        <f aca="false">IF(AND(F1476="Bilbo",ISNUMBER(J1476),ISNUMBER(K1476)),ROUND(J1476*(1+K1476/30),1),"")</f>
        <v/>
      </c>
      <c r="W1476" s="22"/>
      <c r="X1476" s="21" t="str">
        <f aca="false">IF(AND(F1476="Bilbo",E1476&lt;&gt;"",G1476&lt;&gt;"",H1476&lt;&gt;""),E1476&amp;"|"&amp;G1476&amp;"|"&amp;H1476,"")</f>
        <v/>
      </c>
      <c r="Y1476" s="21" t="str">
        <f aca="false">IF(B1476="","",IF(B1476&lt;&gt;B1475,1,0))</f>
        <v/>
      </c>
    </row>
    <row r="1477" customFormat="false" ht="15" hidden="false" customHeight="true" outlineLevel="0" collapsed="false">
      <c r="A1477" s="21" t="str">
        <f aca="false">IF(B1477="","",ROW()-4)</f>
        <v/>
      </c>
      <c r="B1477" s="22"/>
      <c r="C1477" s="21" t="str">
        <f aca="false">IF(B1477="","",CHOOSE(WEEKDAY(B1477,2),"LUNES","MARTES","MIÉRCOLES","JUEVES","VIERNES","SÁBADO","DOMINGO"))</f>
        <v/>
      </c>
      <c r="M1477" s="23"/>
      <c r="Q1477" s="21" t="str">
        <f aca="false">IF(OR(K1477="",N1477=""),"",K1477-N1477)</f>
        <v/>
      </c>
      <c r="R1477" s="21" t="str">
        <f aca="false">IF(OR(J1477="",K1477=""),"",J1477*K1477)</f>
        <v/>
      </c>
      <c r="S1477" s="21" t="str">
        <f aca="false">IF(AND(ISNUMBER(J1477),ISNUMBER(K1477),F1477&lt;&gt;"Calentamiento",F1477&lt;&gt;"Bilbo"),IF(AND(K1477&gt;0,K1477&lt;=12),ROUND(J1477*(1+(K1477+IF(ISNUMBER(L1477),L1477,0))/30),1),""),"")</f>
        <v/>
      </c>
      <c r="T1477" s="21" t="str">
        <f aca="false">IF(AND(F1477="Bilbo",ISNUMBER(J1477),ISNUMBER(K1477)),ROUND(J1477*(1+K1477/30),1),"")</f>
        <v/>
      </c>
      <c r="W1477" s="22"/>
      <c r="X1477" s="21" t="str">
        <f aca="false">IF(AND(F1477="Bilbo",E1477&lt;&gt;"",G1477&lt;&gt;"",H1477&lt;&gt;""),E1477&amp;"|"&amp;G1477&amp;"|"&amp;H1477,"")</f>
        <v/>
      </c>
      <c r="Y1477" s="21" t="str">
        <f aca="false">IF(B1477="","",IF(B1477&lt;&gt;B1476,1,0))</f>
        <v/>
      </c>
    </row>
    <row r="1478" customFormat="false" ht="15" hidden="false" customHeight="true" outlineLevel="0" collapsed="false">
      <c r="A1478" s="21" t="str">
        <f aca="false">IF(B1478="","",ROW()-4)</f>
        <v/>
      </c>
      <c r="B1478" s="22"/>
      <c r="C1478" s="21" t="str">
        <f aca="false">IF(B1478="","",CHOOSE(WEEKDAY(B1478,2),"LUNES","MARTES","MIÉRCOLES","JUEVES","VIERNES","SÁBADO","DOMINGO"))</f>
        <v/>
      </c>
      <c r="M1478" s="23"/>
      <c r="Q1478" s="21" t="str">
        <f aca="false">IF(OR(K1478="",N1478=""),"",K1478-N1478)</f>
        <v/>
      </c>
      <c r="R1478" s="21" t="str">
        <f aca="false">IF(OR(J1478="",K1478=""),"",J1478*K1478)</f>
        <v/>
      </c>
      <c r="S1478" s="21" t="str">
        <f aca="false">IF(AND(ISNUMBER(J1478),ISNUMBER(K1478),F1478&lt;&gt;"Calentamiento",F1478&lt;&gt;"Bilbo"),IF(AND(K1478&gt;0,K1478&lt;=12),ROUND(J1478*(1+(K1478+IF(ISNUMBER(L1478),L1478,0))/30),1),""),"")</f>
        <v/>
      </c>
      <c r="T1478" s="21" t="str">
        <f aca="false">IF(AND(F1478="Bilbo",ISNUMBER(J1478),ISNUMBER(K1478)),ROUND(J1478*(1+K1478/30),1),"")</f>
        <v/>
      </c>
      <c r="W1478" s="22"/>
      <c r="X1478" s="21" t="str">
        <f aca="false">IF(AND(F1478="Bilbo",E1478&lt;&gt;"",G1478&lt;&gt;"",H1478&lt;&gt;""),E1478&amp;"|"&amp;G1478&amp;"|"&amp;H1478,"")</f>
        <v/>
      </c>
      <c r="Y1478" s="21" t="str">
        <f aca="false">IF(B1478="","",IF(B1478&lt;&gt;B1477,1,0))</f>
        <v/>
      </c>
    </row>
    <row r="1479" customFormat="false" ht="15" hidden="false" customHeight="true" outlineLevel="0" collapsed="false">
      <c r="A1479" s="21" t="str">
        <f aca="false">IF(B1479="","",ROW()-4)</f>
        <v/>
      </c>
      <c r="B1479" s="22"/>
      <c r="C1479" s="21" t="str">
        <f aca="false">IF(B1479="","",CHOOSE(WEEKDAY(B1479,2),"LUNES","MARTES","MIÉRCOLES","JUEVES","VIERNES","SÁBADO","DOMINGO"))</f>
        <v/>
      </c>
      <c r="M1479" s="23"/>
      <c r="Q1479" s="21" t="str">
        <f aca="false">IF(OR(K1479="",N1479=""),"",K1479-N1479)</f>
        <v/>
      </c>
      <c r="R1479" s="21" t="str">
        <f aca="false">IF(OR(J1479="",K1479=""),"",J1479*K1479)</f>
        <v/>
      </c>
      <c r="S1479" s="21" t="str">
        <f aca="false">IF(AND(ISNUMBER(J1479),ISNUMBER(K1479),F1479&lt;&gt;"Calentamiento",F1479&lt;&gt;"Bilbo"),IF(AND(K1479&gt;0,K1479&lt;=12),ROUND(J1479*(1+(K1479+IF(ISNUMBER(L1479),L1479,0))/30),1),""),"")</f>
        <v/>
      </c>
      <c r="T1479" s="21" t="str">
        <f aca="false">IF(AND(F1479="Bilbo",ISNUMBER(J1479),ISNUMBER(K1479)),ROUND(J1479*(1+K1479/30),1),"")</f>
        <v/>
      </c>
      <c r="W1479" s="22"/>
      <c r="X1479" s="21" t="str">
        <f aca="false">IF(AND(F1479="Bilbo",E1479&lt;&gt;"",G1479&lt;&gt;"",H1479&lt;&gt;""),E1479&amp;"|"&amp;G1479&amp;"|"&amp;H1479,"")</f>
        <v/>
      </c>
      <c r="Y1479" s="21" t="str">
        <f aca="false">IF(B1479="","",IF(B1479&lt;&gt;B1478,1,0))</f>
        <v/>
      </c>
    </row>
    <row r="1480" customFormat="false" ht="15" hidden="false" customHeight="true" outlineLevel="0" collapsed="false">
      <c r="A1480" s="21" t="str">
        <f aca="false">IF(B1480="","",ROW()-4)</f>
        <v/>
      </c>
      <c r="B1480" s="22"/>
      <c r="C1480" s="21" t="str">
        <f aca="false">IF(B1480="","",CHOOSE(WEEKDAY(B1480,2),"LUNES","MARTES","MIÉRCOLES","JUEVES","VIERNES","SÁBADO","DOMINGO"))</f>
        <v/>
      </c>
      <c r="M1480" s="23"/>
      <c r="Q1480" s="21" t="str">
        <f aca="false">IF(OR(K1480="",N1480=""),"",K1480-N1480)</f>
        <v/>
      </c>
      <c r="R1480" s="21" t="str">
        <f aca="false">IF(OR(J1480="",K1480=""),"",J1480*K1480)</f>
        <v/>
      </c>
      <c r="S1480" s="21" t="str">
        <f aca="false">IF(AND(ISNUMBER(J1480),ISNUMBER(K1480),F1480&lt;&gt;"Calentamiento",F1480&lt;&gt;"Bilbo"),IF(AND(K1480&gt;0,K1480&lt;=12),ROUND(J1480*(1+(K1480+IF(ISNUMBER(L1480),L1480,0))/30),1),""),"")</f>
        <v/>
      </c>
      <c r="T1480" s="21" t="str">
        <f aca="false">IF(AND(F1480="Bilbo",ISNUMBER(J1480),ISNUMBER(K1480)),ROUND(J1480*(1+K1480/30),1),"")</f>
        <v/>
      </c>
      <c r="W1480" s="22"/>
      <c r="X1480" s="21" t="str">
        <f aca="false">IF(AND(F1480="Bilbo",E1480&lt;&gt;"",G1480&lt;&gt;"",H1480&lt;&gt;""),E1480&amp;"|"&amp;G1480&amp;"|"&amp;H1480,"")</f>
        <v/>
      </c>
      <c r="Y1480" s="21" t="str">
        <f aca="false">IF(B1480="","",IF(B1480&lt;&gt;B1479,1,0))</f>
        <v/>
      </c>
    </row>
    <row r="1481" customFormat="false" ht="15" hidden="false" customHeight="true" outlineLevel="0" collapsed="false">
      <c r="A1481" s="21" t="str">
        <f aca="false">IF(B1481="","",ROW()-4)</f>
        <v/>
      </c>
      <c r="B1481" s="22"/>
      <c r="C1481" s="21" t="str">
        <f aca="false">IF(B1481="","",CHOOSE(WEEKDAY(B1481,2),"LUNES","MARTES","MIÉRCOLES","JUEVES","VIERNES","SÁBADO","DOMINGO"))</f>
        <v/>
      </c>
      <c r="M1481" s="23"/>
      <c r="Q1481" s="21" t="str">
        <f aca="false">IF(OR(K1481="",N1481=""),"",K1481-N1481)</f>
        <v/>
      </c>
      <c r="R1481" s="21" t="str">
        <f aca="false">IF(OR(J1481="",K1481=""),"",J1481*K1481)</f>
        <v/>
      </c>
      <c r="S1481" s="21" t="str">
        <f aca="false">IF(AND(ISNUMBER(J1481),ISNUMBER(K1481),F1481&lt;&gt;"Calentamiento",F1481&lt;&gt;"Bilbo"),IF(AND(K1481&gt;0,K1481&lt;=12),ROUND(J1481*(1+(K1481+IF(ISNUMBER(L1481),L1481,0))/30),1),""),"")</f>
        <v/>
      </c>
      <c r="T1481" s="21" t="str">
        <f aca="false">IF(AND(F1481="Bilbo",ISNUMBER(J1481),ISNUMBER(K1481)),ROUND(J1481*(1+K1481/30),1),"")</f>
        <v/>
      </c>
      <c r="W1481" s="22"/>
      <c r="X1481" s="21" t="str">
        <f aca="false">IF(AND(F1481="Bilbo",E1481&lt;&gt;"",G1481&lt;&gt;"",H1481&lt;&gt;""),E1481&amp;"|"&amp;G1481&amp;"|"&amp;H1481,"")</f>
        <v/>
      </c>
      <c r="Y1481" s="21" t="str">
        <f aca="false">IF(B1481="","",IF(B1481&lt;&gt;B1480,1,0))</f>
        <v/>
      </c>
    </row>
    <row r="1482" customFormat="false" ht="15" hidden="false" customHeight="true" outlineLevel="0" collapsed="false">
      <c r="A1482" s="21" t="str">
        <f aca="false">IF(B1482="","",ROW()-4)</f>
        <v/>
      </c>
      <c r="B1482" s="22"/>
      <c r="C1482" s="21" t="str">
        <f aca="false">IF(B1482="","",CHOOSE(WEEKDAY(B1482,2),"LUNES","MARTES","MIÉRCOLES","JUEVES","VIERNES","SÁBADO","DOMINGO"))</f>
        <v/>
      </c>
      <c r="M1482" s="23"/>
      <c r="Q1482" s="21" t="str">
        <f aca="false">IF(OR(K1482="",N1482=""),"",K1482-N1482)</f>
        <v/>
      </c>
      <c r="R1482" s="21" t="str">
        <f aca="false">IF(OR(J1482="",K1482=""),"",J1482*K1482)</f>
        <v/>
      </c>
      <c r="S1482" s="21" t="str">
        <f aca="false">IF(AND(ISNUMBER(J1482),ISNUMBER(K1482),F1482&lt;&gt;"Calentamiento",F1482&lt;&gt;"Bilbo"),IF(AND(K1482&gt;0,K1482&lt;=12),ROUND(J1482*(1+(K1482+IF(ISNUMBER(L1482),L1482,0))/30),1),""),"")</f>
        <v/>
      </c>
      <c r="T1482" s="21" t="str">
        <f aca="false">IF(AND(F1482="Bilbo",ISNUMBER(J1482),ISNUMBER(K1482)),ROUND(J1482*(1+K1482/30),1),"")</f>
        <v/>
      </c>
      <c r="W1482" s="22"/>
      <c r="X1482" s="21" t="str">
        <f aca="false">IF(AND(F1482="Bilbo",E1482&lt;&gt;"",G1482&lt;&gt;"",H1482&lt;&gt;""),E1482&amp;"|"&amp;G1482&amp;"|"&amp;H1482,"")</f>
        <v/>
      </c>
      <c r="Y1482" s="21" t="str">
        <f aca="false">IF(B1482="","",IF(B1482&lt;&gt;B1481,1,0))</f>
        <v/>
      </c>
    </row>
    <row r="1483" customFormat="false" ht="15" hidden="false" customHeight="true" outlineLevel="0" collapsed="false">
      <c r="A1483" s="21" t="str">
        <f aca="false">IF(B1483="","",ROW()-4)</f>
        <v/>
      </c>
      <c r="B1483" s="22"/>
      <c r="C1483" s="21" t="str">
        <f aca="false">IF(B1483="","",CHOOSE(WEEKDAY(B1483,2),"LUNES","MARTES","MIÉRCOLES","JUEVES","VIERNES","SÁBADO","DOMINGO"))</f>
        <v/>
      </c>
      <c r="M1483" s="23"/>
      <c r="Q1483" s="21" t="str">
        <f aca="false">IF(OR(K1483="",N1483=""),"",K1483-N1483)</f>
        <v/>
      </c>
      <c r="R1483" s="21" t="str">
        <f aca="false">IF(OR(J1483="",K1483=""),"",J1483*K1483)</f>
        <v/>
      </c>
      <c r="S1483" s="21" t="str">
        <f aca="false">IF(AND(ISNUMBER(J1483),ISNUMBER(K1483),F1483&lt;&gt;"Calentamiento",F1483&lt;&gt;"Bilbo"),IF(AND(K1483&gt;0,K1483&lt;=12),ROUND(J1483*(1+(K1483+IF(ISNUMBER(L1483),L1483,0))/30),1),""),"")</f>
        <v/>
      </c>
      <c r="T1483" s="21" t="str">
        <f aca="false">IF(AND(F1483="Bilbo",ISNUMBER(J1483),ISNUMBER(K1483)),ROUND(J1483*(1+K1483/30),1),"")</f>
        <v/>
      </c>
      <c r="W1483" s="22"/>
      <c r="X1483" s="21" t="str">
        <f aca="false">IF(AND(F1483="Bilbo",E1483&lt;&gt;"",G1483&lt;&gt;"",H1483&lt;&gt;""),E1483&amp;"|"&amp;G1483&amp;"|"&amp;H1483,"")</f>
        <v/>
      </c>
      <c r="Y1483" s="21" t="str">
        <f aca="false">IF(B1483="","",IF(B1483&lt;&gt;B1482,1,0))</f>
        <v/>
      </c>
    </row>
    <row r="1484" customFormat="false" ht="15" hidden="false" customHeight="true" outlineLevel="0" collapsed="false">
      <c r="A1484" s="21" t="str">
        <f aca="false">IF(B1484="","",ROW()-4)</f>
        <v/>
      </c>
      <c r="B1484" s="22"/>
      <c r="C1484" s="21" t="str">
        <f aca="false">IF(B1484="","",CHOOSE(WEEKDAY(B1484,2),"LUNES","MARTES","MIÉRCOLES","JUEVES","VIERNES","SÁBADO","DOMINGO"))</f>
        <v/>
      </c>
      <c r="M1484" s="23"/>
      <c r="Q1484" s="21" t="str">
        <f aca="false">IF(OR(K1484="",N1484=""),"",K1484-N1484)</f>
        <v/>
      </c>
      <c r="R1484" s="21" t="str">
        <f aca="false">IF(OR(J1484="",K1484=""),"",J1484*K1484)</f>
        <v/>
      </c>
      <c r="S1484" s="21" t="str">
        <f aca="false">IF(AND(ISNUMBER(J1484),ISNUMBER(K1484),F1484&lt;&gt;"Calentamiento",F1484&lt;&gt;"Bilbo"),IF(AND(K1484&gt;0,K1484&lt;=12),ROUND(J1484*(1+(K1484+IF(ISNUMBER(L1484),L1484,0))/30),1),""),"")</f>
        <v/>
      </c>
      <c r="T1484" s="21" t="str">
        <f aca="false">IF(AND(F1484="Bilbo",ISNUMBER(J1484),ISNUMBER(K1484)),ROUND(J1484*(1+K1484/30),1),"")</f>
        <v/>
      </c>
      <c r="W1484" s="22"/>
      <c r="X1484" s="21" t="str">
        <f aca="false">IF(AND(F1484="Bilbo",E1484&lt;&gt;"",G1484&lt;&gt;"",H1484&lt;&gt;""),E1484&amp;"|"&amp;G1484&amp;"|"&amp;H1484,"")</f>
        <v/>
      </c>
      <c r="Y1484" s="21" t="str">
        <f aca="false">IF(B1484="","",IF(B1484&lt;&gt;B1483,1,0))</f>
        <v/>
      </c>
    </row>
    <row r="1485" customFormat="false" ht="15" hidden="false" customHeight="true" outlineLevel="0" collapsed="false">
      <c r="A1485" s="21" t="str">
        <f aca="false">IF(B1485="","",ROW()-4)</f>
        <v/>
      </c>
      <c r="B1485" s="22"/>
      <c r="C1485" s="21" t="str">
        <f aca="false">IF(B1485="","",CHOOSE(WEEKDAY(B1485,2),"LUNES","MARTES","MIÉRCOLES","JUEVES","VIERNES","SÁBADO","DOMINGO"))</f>
        <v/>
      </c>
      <c r="M1485" s="23"/>
      <c r="Q1485" s="21" t="str">
        <f aca="false">IF(OR(K1485="",N1485=""),"",K1485-N1485)</f>
        <v/>
      </c>
      <c r="R1485" s="21" t="str">
        <f aca="false">IF(OR(J1485="",K1485=""),"",J1485*K1485)</f>
        <v/>
      </c>
      <c r="S1485" s="21" t="str">
        <f aca="false">IF(AND(ISNUMBER(J1485),ISNUMBER(K1485),F1485&lt;&gt;"Calentamiento",F1485&lt;&gt;"Bilbo"),IF(AND(K1485&gt;0,K1485&lt;=12),ROUND(J1485*(1+(K1485+IF(ISNUMBER(L1485),L1485,0))/30),1),""),"")</f>
        <v/>
      </c>
      <c r="T1485" s="21" t="str">
        <f aca="false">IF(AND(F1485="Bilbo",ISNUMBER(J1485),ISNUMBER(K1485)),ROUND(J1485*(1+K1485/30),1),"")</f>
        <v/>
      </c>
      <c r="W1485" s="22"/>
      <c r="X1485" s="21" t="str">
        <f aca="false">IF(AND(F1485="Bilbo",E1485&lt;&gt;"",G1485&lt;&gt;"",H1485&lt;&gt;""),E1485&amp;"|"&amp;G1485&amp;"|"&amp;H1485,"")</f>
        <v/>
      </c>
      <c r="Y1485" s="21" t="str">
        <f aca="false">IF(B1485="","",IF(B1485&lt;&gt;B1484,1,0))</f>
        <v/>
      </c>
    </row>
    <row r="1486" customFormat="false" ht="15" hidden="false" customHeight="true" outlineLevel="0" collapsed="false">
      <c r="A1486" s="21" t="str">
        <f aca="false">IF(B1486="","",ROW()-4)</f>
        <v/>
      </c>
      <c r="B1486" s="22"/>
      <c r="C1486" s="21" t="str">
        <f aca="false">IF(B1486="","",CHOOSE(WEEKDAY(B1486,2),"LUNES","MARTES","MIÉRCOLES","JUEVES","VIERNES","SÁBADO","DOMINGO"))</f>
        <v/>
      </c>
      <c r="M1486" s="23"/>
      <c r="Q1486" s="21" t="str">
        <f aca="false">IF(OR(K1486="",N1486=""),"",K1486-N1486)</f>
        <v/>
      </c>
      <c r="R1486" s="21" t="str">
        <f aca="false">IF(OR(J1486="",K1486=""),"",J1486*K1486)</f>
        <v/>
      </c>
      <c r="S1486" s="21" t="str">
        <f aca="false">IF(AND(ISNUMBER(J1486),ISNUMBER(K1486),F1486&lt;&gt;"Calentamiento",F1486&lt;&gt;"Bilbo"),IF(AND(K1486&gt;0,K1486&lt;=12),ROUND(J1486*(1+(K1486+IF(ISNUMBER(L1486),L1486,0))/30),1),""),"")</f>
        <v/>
      </c>
      <c r="T1486" s="21" t="str">
        <f aca="false">IF(AND(F1486="Bilbo",ISNUMBER(J1486),ISNUMBER(K1486)),ROUND(J1486*(1+K1486/30),1),"")</f>
        <v/>
      </c>
      <c r="W1486" s="22"/>
      <c r="X1486" s="21" t="str">
        <f aca="false">IF(AND(F1486="Bilbo",E1486&lt;&gt;"",G1486&lt;&gt;"",H1486&lt;&gt;""),E1486&amp;"|"&amp;G1486&amp;"|"&amp;H1486,"")</f>
        <v/>
      </c>
      <c r="Y1486" s="21" t="str">
        <f aca="false">IF(B1486="","",IF(B1486&lt;&gt;B1485,1,0))</f>
        <v/>
      </c>
    </row>
    <row r="1487" customFormat="false" ht="15" hidden="false" customHeight="true" outlineLevel="0" collapsed="false">
      <c r="A1487" s="21" t="str">
        <f aca="false">IF(B1487="","",ROW()-4)</f>
        <v/>
      </c>
      <c r="B1487" s="22"/>
      <c r="C1487" s="21" t="str">
        <f aca="false">IF(B1487="","",CHOOSE(WEEKDAY(B1487,2),"LUNES","MARTES","MIÉRCOLES","JUEVES","VIERNES","SÁBADO","DOMINGO"))</f>
        <v/>
      </c>
      <c r="M1487" s="23"/>
      <c r="Q1487" s="21" t="str">
        <f aca="false">IF(OR(K1487="",N1487=""),"",K1487-N1487)</f>
        <v/>
      </c>
      <c r="R1487" s="21" t="str">
        <f aca="false">IF(OR(J1487="",K1487=""),"",J1487*K1487)</f>
        <v/>
      </c>
      <c r="S1487" s="21" t="str">
        <f aca="false">IF(AND(ISNUMBER(J1487),ISNUMBER(K1487),F1487&lt;&gt;"Calentamiento",F1487&lt;&gt;"Bilbo"),IF(AND(K1487&gt;0,K1487&lt;=12),ROUND(J1487*(1+(K1487+IF(ISNUMBER(L1487),L1487,0))/30),1),""),"")</f>
        <v/>
      </c>
      <c r="T1487" s="21" t="str">
        <f aca="false">IF(AND(F1487="Bilbo",ISNUMBER(J1487),ISNUMBER(K1487)),ROUND(J1487*(1+K1487/30),1),"")</f>
        <v/>
      </c>
      <c r="W1487" s="22"/>
      <c r="X1487" s="21" t="str">
        <f aca="false">IF(AND(F1487="Bilbo",E1487&lt;&gt;"",G1487&lt;&gt;"",H1487&lt;&gt;""),E1487&amp;"|"&amp;G1487&amp;"|"&amp;H1487,"")</f>
        <v/>
      </c>
      <c r="Y1487" s="21" t="str">
        <f aca="false">IF(B1487="","",IF(B1487&lt;&gt;B1486,1,0))</f>
        <v/>
      </c>
    </row>
    <row r="1488" customFormat="false" ht="15" hidden="false" customHeight="true" outlineLevel="0" collapsed="false">
      <c r="A1488" s="21" t="str">
        <f aca="false">IF(B1488="","",ROW()-4)</f>
        <v/>
      </c>
      <c r="B1488" s="22"/>
      <c r="C1488" s="21" t="str">
        <f aca="false">IF(B1488="","",CHOOSE(WEEKDAY(B1488,2),"LUNES","MARTES","MIÉRCOLES","JUEVES","VIERNES","SÁBADO","DOMINGO"))</f>
        <v/>
      </c>
      <c r="M1488" s="23"/>
      <c r="Q1488" s="21" t="str">
        <f aca="false">IF(OR(K1488="",N1488=""),"",K1488-N1488)</f>
        <v/>
      </c>
      <c r="R1488" s="21" t="str">
        <f aca="false">IF(OR(J1488="",K1488=""),"",J1488*K1488)</f>
        <v/>
      </c>
      <c r="S1488" s="21" t="str">
        <f aca="false">IF(AND(ISNUMBER(J1488),ISNUMBER(K1488),F1488&lt;&gt;"Calentamiento",F1488&lt;&gt;"Bilbo"),IF(AND(K1488&gt;0,K1488&lt;=12),ROUND(J1488*(1+(K1488+IF(ISNUMBER(L1488),L1488,0))/30),1),""),"")</f>
        <v/>
      </c>
      <c r="T1488" s="21" t="str">
        <f aca="false">IF(AND(F1488="Bilbo",ISNUMBER(J1488),ISNUMBER(K1488)),ROUND(J1488*(1+K1488/30),1),"")</f>
        <v/>
      </c>
      <c r="W1488" s="22"/>
      <c r="X1488" s="21" t="str">
        <f aca="false">IF(AND(F1488="Bilbo",E1488&lt;&gt;"",G1488&lt;&gt;"",H1488&lt;&gt;""),E1488&amp;"|"&amp;G1488&amp;"|"&amp;H1488,"")</f>
        <v/>
      </c>
      <c r="Y1488" s="21" t="str">
        <f aca="false">IF(B1488="","",IF(B1488&lt;&gt;B1487,1,0))</f>
        <v/>
      </c>
    </row>
    <row r="1489" customFormat="false" ht="15" hidden="false" customHeight="true" outlineLevel="0" collapsed="false">
      <c r="A1489" s="21" t="str">
        <f aca="false">IF(B1489="","",ROW()-4)</f>
        <v/>
      </c>
      <c r="B1489" s="22"/>
      <c r="C1489" s="21" t="str">
        <f aca="false">IF(B1489="","",CHOOSE(WEEKDAY(B1489,2),"LUNES","MARTES","MIÉRCOLES","JUEVES","VIERNES","SÁBADO","DOMINGO"))</f>
        <v/>
      </c>
      <c r="M1489" s="23"/>
      <c r="Q1489" s="21" t="str">
        <f aca="false">IF(OR(K1489="",N1489=""),"",K1489-N1489)</f>
        <v/>
      </c>
      <c r="R1489" s="21" t="str">
        <f aca="false">IF(OR(J1489="",K1489=""),"",J1489*K1489)</f>
        <v/>
      </c>
      <c r="S1489" s="21" t="str">
        <f aca="false">IF(AND(ISNUMBER(J1489),ISNUMBER(K1489),F1489&lt;&gt;"Calentamiento",F1489&lt;&gt;"Bilbo"),IF(AND(K1489&gt;0,K1489&lt;=12),ROUND(J1489*(1+(K1489+IF(ISNUMBER(L1489),L1489,0))/30),1),""),"")</f>
        <v/>
      </c>
      <c r="T1489" s="21" t="str">
        <f aca="false">IF(AND(F1489="Bilbo",ISNUMBER(J1489),ISNUMBER(K1489)),ROUND(J1489*(1+K1489/30),1),"")</f>
        <v/>
      </c>
      <c r="W1489" s="22"/>
      <c r="X1489" s="21" t="str">
        <f aca="false">IF(AND(F1489="Bilbo",E1489&lt;&gt;"",G1489&lt;&gt;"",H1489&lt;&gt;""),E1489&amp;"|"&amp;G1489&amp;"|"&amp;H1489,"")</f>
        <v/>
      </c>
      <c r="Y1489" s="21" t="str">
        <f aca="false">IF(B1489="","",IF(B1489&lt;&gt;B1488,1,0))</f>
        <v/>
      </c>
    </row>
    <row r="1490" customFormat="false" ht="15" hidden="false" customHeight="true" outlineLevel="0" collapsed="false">
      <c r="A1490" s="21" t="str">
        <f aca="false">IF(B1490="","",ROW()-4)</f>
        <v/>
      </c>
      <c r="B1490" s="22"/>
      <c r="C1490" s="21" t="str">
        <f aca="false">IF(B1490="","",CHOOSE(WEEKDAY(B1490,2),"LUNES","MARTES","MIÉRCOLES","JUEVES","VIERNES","SÁBADO","DOMINGO"))</f>
        <v/>
      </c>
      <c r="M1490" s="23"/>
      <c r="Q1490" s="21" t="str">
        <f aca="false">IF(OR(K1490="",N1490=""),"",K1490-N1490)</f>
        <v/>
      </c>
      <c r="R1490" s="21" t="str">
        <f aca="false">IF(OR(J1490="",K1490=""),"",J1490*K1490)</f>
        <v/>
      </c>
      <c r="S1490" s="21" t="str">
        <f aca="false">IF(AND(ISNUMBER(J1490),ISNUMBER(K1490),F1490&lt;&gt;"Calentamiento",F1490&lt;&gt;"Bilbo"),IF(AND(K1490&gt;0,K1490&lt;=12),ROUND(J1490*(1+(K1490+IF(ISNUMBER(L1490),L1490,0))/30),1),""),"")</f>
        <v/>
      </c>
      <c r="T1490" s="21" t="str">
        <f aca="false">IF(AND(F1490="Bilbo",ISNUMBER(J1490),ISNUMBER(K1490)),ROUND(J1490*(1+K1490/30),1),"")</f>
        <v/>
      </c>
      <c r="W1490" s="22"/>
      <c r="X1490" s="21" t="str">
        <f aca="false">IF(AND(F1490="Bilbo",E1490&lt;&gt;"",G1490&lt;&gt;"",H1490&lt;&gt;""),E1490&amp;"|"&amp;G1490&amp;"|"&amp;H1490,"")</f>
        <v/>
      </c>
      <c r="Y1490" s="21" t="str">
        <f aca="false">IF(B1490="","",IF(B1490&lt;&gt;B1489,1,0))</f>
        <v/>
      </c>
    </row>
    <row r="1491" customFormat="false" ht="15" hidden="false" customHeight="true" outlineLevel="0" collapsed="false">
      <c r="A1491" s="21" t="str">
        <f aca="false">IF(B1491="","",ROW()-4)</f>
        <v/>
      </c>
      <c r="B1491" s="22"/>
      <c r="C1491" s="21" t="str">
        <f aca="false">IF(B1491="","",CHOOSE(WEEKDAY(B1491,2),"LUNES","MARTES","MIÉRCOLES","JUEVES","VIERNES","SÁBADO","DOMINGO"))</f>
        <v/>
      </c>
      <c r="M1491" s="23"/>
      <c r="Q1491" s="21" t="str">
        <f aca="false">IF(OR(K1491="",N1491=""),"",K1491-N1491)</f>
        <v/>
      </c>
      <c r="R1491" s="21" t="str">
        <f aca="false">IF(OR(J1491="",K1491=""),"",J1491*K1491)</f>
        <v/>
      </c>
      <c r="S1491" s="21" t="str">
        <f aca="false">IF(AND(ISNUMBER(J1491),ISNUMBER(K1491),F1491&lt;&gt;"Calentamiento",F1491&lt;&gt;"Bilbo"),IF(AND(K1491&gt;0,K1491&lt;=12),ROUND(J1491*(1+(K1491+IF(ISNUMBER(L1491),L1491,0))/30),1),""),"")</f>
        <v/>
      </c>
      <c r="T1491" s="21" t="str">
        <f aca="false">IF(AND(F1491="Bilbo",ISNUMBER(J1491),ISNUMBER(K1491)),ROUND(J1491*(1+K1491/30),1),"")</f>
        <v/>
      </c>
      <c r="W1491" s="22"/>
      <c r="X1491" s="21" t="str">
        <f aca="false">IF(AND(F1491="Bilbo",E1491&lt;&gt;"",G1491&lt;&gt;"",H1491&lt;&gt;""),E1491&amp;"|"&amp;G1491&amp;"|"&amp;H1491,"")</f>
        <v/>
      </c>
      <c r="Y1491" s="21" t="str">
        <f aca="false">IF(B1491="","",IF(B1491&lt;&gt;B1490,1,0))</f>
        <v/>
      </c>
    </row>
    <row r="1492" customFormat="false" ht="15" hidden="false" customHeight="true" outlineLevel="0" collapsed="false">
      <c r="A1492" s="21" t="str">
        <f aca="false">IF(B1492="","",ROW()-4)</f>
        <v/>
      </c>
      <c r="B1492" s="22"/>
      <c r="C1492" s="21" t="str">
        <f aca="false">IF(B1492="","",CHOOSE(WEEKDAY(B1492,2),"LUNES","MARTES","MIÉRCOLES","JUEVES","VIERNES","SÁBADO","DOMINGO"))</f>
        <v/>
      </c>
      <c r="M1492" s="23"/>
      <c r="Q1492" s="21" t="str">
        <f aca="false">IF(OR(K1492="",N1492=""),"",K1492-N1492)</f>
        <v/>
      </c>
      <c r="R1492" s="21" t="str">
        <f aca="false">IF(OR(J1492="",K1492=""),"",J1492*K1492)</f>
        <v/>
      </c>
      <c r="S1492" s="21" t="str">
        <f aca="false">IF(AND(ISNUMBER(J1492),ISNUMBER(K1492),F1492&lt;&gt;"Calentamiento",F1492&lt;&gt;"Bilbo"),IF(AND(K1492&gt;0,K1492&lt;=12),ROUND(J1492*(1+(K1492+IF(ISNUMBER(L1492),L1492,0))/30),1),""),"")</f>
        <v/>
      </c>
      <c r="T1492" s="21" t="str">
        <f aca="false">IF(AND(F1492="Bilbo",ISNUMBER(J1492),ISNUMBER(K1492)),ROUND(J1492*(1+K1492/30),1),"")</f>
        <v/>
      </c>
      <c r="W1492" s="22"/>
      <c r="X1492" s="21" t="str">
        <f aca="false">IF(AND(F1492="Bilbo",E1492&lt;&gt;"",G1492&lt;&gt;"",H1492&lt;&gt;""),E1492&amp;"|"&amp;G1492&amp;"|"&amp;H1492,"")</f>
        <v/>
      </c>
      <c r="Y1492" s="21" t="str">
        <f aca="false">IF(B1492="","",IF(B1492&lt;&gt;B1491,1,0))</f>
        <v/>
      </c>
    </row>
    <row r="1493" customFormat="false" ht="15" hidden="false" customHeight="true" outlineLevel="0" collapsed="false">
      <c r="A1493" s="21" t="str">
        <f aca="false">IF(B1493="","",ROW()-4)</f>
        <v/>
      </c>
      <c r="B1493" s="22"/>
      <c r="C1493" s="21" t="str">
        <f aca="false">IF(B1493="","",CHOOSE(WEEKDAY(B1493,2),"LUNES","MARTES","MIÉRCOLES","JUEVES","VIERNES","SÁBADO","DOMINGO"))</f>
        <v/>
      </c>
      <c r="M1493" s="23"/>
      <c r="Q1493" s="21" t="str">
        <f aca="false">IF(OR(K1493="",N1493=""),"",K1493-N1493)</f>
        <v/>
      </c>
      <c r="R1493" s="21" t="str">
        <f aca="false">IF(OR(J1493="",K1493=""),"",J1493*K1493)</f>
        <v/>
      </c>
      <c r="S1493" s="21" t="str">
        <f aca="false">IF(AND(ISNUMBER(J1493),ISNUMBER(K1493),F1493&lt;&gt;"Calentamiento",F1493&lt;&gt;"Bilbo"),IF(AND(K1493&gt;0,K1493&lt;=12),ROUND(J1493*(1+(K1493+IF(ISNUMBER(L1493),L1493,0))/30),1),""),"")</f>
        <v/>
      </c>
      <c r="T1493" s="21" t="str">
        <f aca="false">IF(AND(F1493="Bilbo",ISNUMBER(J1493),ISNUMBER(K1493)),ROUND(J1493*(1+K1493/30),1),"")</f>
        <v/>
      </c>
      <c r="W1493" s="22"/>
      <c r="X1493" s="21" t="str">
        <f aca="false">IF(AND(F1493="Bilbo",E1493&lt;&gt;"",G1493&lt;&gt;"",H1493&lt;&gt;""),E1493&amp;"|"&amp;G1493&amp;"|"&amp;H1493,"")</f>
        <v/>
      </c>
      <c r="Y1493" s="21" t="str">
        <f aca="false">IF(B1493="","",IF(B1493&lt;&gt;B1492,1,0))</f>
        <v/>
      </c>
    </row>
    <row r="1494" customFormat="false" ht="15" hidden="false" customHeight="true" outlineLevel="0" collapsed="false">
      <c r="A1494" s="21" t="str">
        <f aca="false">IF(B1494="","",ROW()-4)</f>
        <v/>
      </c>
      <c r="B1494" s="22"/>
      <c r="C1494" s="21" t="str">
        <f aca="false">IF(B1494="","",CHOOSE(WEEKDAY(B1494,2),"LUNES","MARTES","MIÉRCOLES","JUEVES","VIERNES","SÁBADO","DOMINGO"))</f>
        <v/>
      </c>
      <c r="M1494" s="23"/>
      <c r="Q1494" s="21" t="str">
        <f aca="false">IF(OR(K1494="",N1494=""),"",K1494-N1494)</f>
        <v/>
      </c>
      <c r="R1494" s="21" t="str">
        <f aca="false">IF(OR(J1494="",K1494=""),"",J1494*K1494)</f>
        <v/>
      </c>
      <c r="S1494" s="21" t="str">
        <f aca="false">IF(AND(ISNUMBER(J1494),ISNUMBER(K1494),F1494&lt;&gt;"Calentamiento",F1494&lt;&gt;"Bilbo"),IF(AND(K1494&gt;0,K1494&lt;=12),ROUND(J1494*(1+(K1494+IF(ISNUMBER(L1494),L1494,0))/30),1),""),"")</f>
        <v/>
      </c>
      <c r="T1494" s="21" t="str">
        <f aca="false">IF(AND(F1494="Bilbo",ISNUMBER(J1494),ISNUMBER(K1494)),ROUND(J1494*(1+K1494/30),1),"")</f>
        <v/>
      </c>
      <c r="W1494" s="22"/>
      <c r="X1494" s="21" t="str">
        <f aca="false">IF(AND(F1494="Bilbo",E1494&lt;&gt;"",G1494&lt;&gt;"",H1494&lt;&gt;""),E1494&amp;"|"&amp;G1494&amp;"|"&amp;H1494,"")</f>
        <v/>
      </c>
      <c r="Y1494" s="21" t="str">
        <f aca="false">IF(B1494="","",IF(B1494&lt;&gt;B1493,1,0))</f>
        <v/>
      </c>
    </row>
    <row r="1495" customFormat="false" ht="15" hidden="false" customHeight="true" outlineLevel="0" collapsed="false">
      <c r="A1495" s="21" t="str">
        <f aca="false">IF(B1495="","",ROW()-4)</f>
        <v/>
      </c>
      <c r="B1495" s="22"/>
      <c r="C1495" s="21" t="str">
        <f aca="false">IF(B1495="","",CHOOSE(WEEKDAY(B1495,2),"LUNES","MARTES","MIÉRCOLES","JUEVES","VIERNES","SÁBADO","DOMINGO"))</f>
        <v/>
      </c>
      <c r="M1495" s="23"/>
      <c r="Q1495" s="21" t="str">
        <f aca="false">IF(OR(K1495="",N1495=""),"",K1495-N1495)</f>
        <v/>
      </c>
      <c r="R1495" s="21" t="str">
        <f aca="false">IF(OR(J1495="",K1495=""),"",J1495*K1495)</f>
        <v/>
      </c>
      <c r="S1495" s="21" t="str">
        <f aca="false">IF(AND(ISNUMBER(J1495),ISNUMBER(K1495),F1495&lt;&gt;"Calentamiento",F1495&lt;&gt;"Bilbo"),IF(AND(K1495&gt;0,K1495&lt;=12),ROUND(J1495*(1+(K1495+IF(ISNUMBER(L1495),L1495,0))/30),1),""),"")</f>
        <v/>
      </c>
      <c r="T1495" s="21" t="str">
        <f aca="false">IF(AND(F1495="Bilbo",ISNUMBER(J1495),ISNUMBER(K1495)),ROUND(J1495*(1+K1495/30),1),"")</f>
        <v/>
      </c>
      <c r="W1495" s="22"/>
      <c r="X1495" s="21" t="str">
        <f aca="false">IF(AND(F1495="Bilbo",E1495&lt;&gt;"",G1495&lt;&gt;"",H1495&lt;&gt;""),E1495&amp;"|"&amp;G1495&amp;"|"&amp;H1495,"")</f>
        <v/>
      </c>
      <c r="Y1495" s="21" t="str">
        <f aca="false">IF(B1495="","",IF(B1495&lt;&gt;B1494,1,0))</f>
        <v/>
      </c>
    </row>
    <row r="1496" customFormat="false" ht="15" hidden="false" customHeight="true" outlineLevel="0" collapsed="false">
      <c r="A1496" s="21" t="str">
        <f aca="false">IF(B1496="","",ROW()-4)</f>
        <v/>
      </c>
      <c r="B1496" s="22"/>
      <c r="C1496" s="21" t="str">
        <f aca="false">IF(B1496="","",CHOOSE(WEEKDAY(B1496,2),"LUNES","MARTES","MIÉRCOLES","JUEVES","VIERNES","SÁBADO","DOMINGO"))</f>
        <v/>
      </c>
      <c r="M1496" s="23"/>
      <c r="Q1496" s="21" t="str">
        <f aca="false">IF(OR(K1496="",N1496=""),"",K1496-N1496)</f>
        <v/>
      </c>
      <c r="R1496" s="21" t="str">
        <f aca="false">IF(OR(J1496="",K1496=""),"",J1496*K1496)</f>
        <v/>
      </c>
      <c r="S1496" s="21" t="str">
        <f aca="false">IF(AND(ISNUMBER(J1496),ISNUMBER(K1496),F1496&lt;&gt;"Calentamiento",F1496&lt;&gt;"Bilbo"),IF(AND(K1496&gt;0,K1496&lt;=12),ROUND(J1496*(1+(K1496+IF(ISNUMBER(L1496),L1496,0))/30),1),""),"")</f>
        <v/>
      </c>
      <c r="T1496" s="21" t="str">
        <f aca="false">IF(AND(F1496="Bilbo",ISNUMBER(J1496),ISNUMBER(K1496)),ROUND(J1496*(1+K1496/30),1),"")</f>
        <v/>
      </c>
      <c r="W1496" s="22"/>
      <c r="X1496" s="21" t="str">
        <f aca="false">IF(AND(F1496="Bilbo",E1496&lt;&gt;"",G1496&lt;&gt;"",H1496&lt;&gt;""),E1496&amp;"|"&amp;G1496&amp;"|"&amp;H1496,"")</f>
        <v/>
      </c>
      <c r="Y1496" s="21" t="str">
        <f aca="false">IF(B1496="","",IF(B1496&lt;&gt;B1495,1,0))</f>
        <v/>
      </c>
    </row>
    <row r="1497" customFormat="false" ht="15" hidden="false" customHeight="true" outlineLevel="0" collapsed="false">
      <c r="A1497" s="21" t="str">
        <f aca="false">IF(B1497="","",ROW()-4)</f>
        <v/>
      </c>
      <c r="B1497" s="22"/>
      <c r="C1497" s="21" t="str">
        <f aca="false">IF(B1497="","",CHOOSE(WEEKDAY(B1497,2),"LUNES","MARTES","MIÉRCOLES","JUEVES","VIERNES","SÁBADO","DOMINGO"))</f>
        <v/>
      </c>
      <c r="M1497" s="23"/>
      <c r="Q1497" s="21" t="str">
        <f aca="false">IF(OR(K1497="",N1497=""),"",K1497-N1497)</f>
        <v/>
      </c>
      <c r="R1497" s="21" t="str">
        <f aca="false">IF(OR(J1497="",K1497=""),"",J1497*K1497)</f>
        <v/>
      </c>
      <c r="S1497" s="21" t="str">
        <f aca="false">IF(AND(ISNUMBER(J1497),ISNUMBER(K1497),F1497&lt;&gt;"Calentamiento",F1497&lt;&gt;"Bilbo"),IF(AND(K1497&gt;0,K1497&lt;=12),ROUND(J1497*(1+(K1497+IF(ISNUMBER(L1497),L1497,0))/30),1),""),"")</f>
        <v/>
      </c>
      <c r="T1497" s="21" t="str">
        <f aca="false">IF(AND(F1497="Bilbo",ISNUMBER(J1497),ISNUMBER(K1497)),ROUND(J1497*(1+K1497/30),1),"")</f>
        <v/>
      </c>
      <c r="W1497" s="22"/>
      <c r="X1497" s="21" t="str">
        <f aca="false">IF(AND(F1497="Bilbo",E1497&lt;&gt;"",G1497&lt;&gt;"",H1497&lt;&gt;""),E1497&amp;"|"&amp;G1497&amp;"|"&amp;H1497,"")</f>
        <v/>
      </c>
      <c r="Y1497" s="21" t="str">
        <f aca="false">IF(B1497="","",IF(B1497&lt;&gt;B1496,1,0))</f>
        <v/>
      </c>
    </row>
    <row r="1498" customFormat="false" ht="15" hidden="false" customHeight="true" outlineLevel="0" collapsed="false">
      <c r="A1498" s="21" t="str">
        <f aca="false">IF(B1498="","",ROW()-4)</f>
        <v/>
      </c>
      <c r="B1498" s="22"/>
      <c r="C1498" s="21" t="str">
        <f aca="false">IF(B1498="","",CHOOSE(WEEKDAY(B1498,2),"LUNES","MARTES","MIÉRCOLES","JUEVES","VIERNES","SÁBADO","DOMINGO"))</f>
        <v/>
      </c>
      <c r="M1498" s="23"/>
      <c r="Q1498" s="21" t="str">
        <f aca="false">IF(OR(K1498="",N1498=""),"",K1498-N1498)</f>
        <v/>
      </c>
      <c r="R1498" s="21" t="str">
        <f aca="false">IF(OR(J1498="",K1498=""),"",J1498*K1498)</f>
        <v/>
      </c>
      <c r="S1498" s="21" t="str">
        <f aca="false">IF(AND(ISNUMBER(J1498),ISNUMBER(K1498),F1498&lt;&gt;"Calentamiento",F1498&lt;&gt;"Bilbo"),IF(AND(K1498&gt;0,K1498&lt;=12),ROUND(J1498*(1+(K1498+IF(ISNUMBER(L1498),L1498,0))/30),1),""),"")</f>
        <v/>
      </c>
      <c r="T1498" s="21" t="str">
        <f aca="false">IF(AND(F1498="Bilbo",ISNUMBER(J1498),ISNUMBER(K1498)),ROUND(J1498*(1+K1498/30),1),"")</f>
        <v/>
      </c>
      <c r="W1498" s="22"/>
      <c r="X1498" s="21" t="str">
        <f aca="false">IF(AND(F1498="Bilbo",E1498&lt;&gt;"",G1498&lt;&gt;"",H1498&lt;&gt;""),E1498&amp;"|"&amp;G1498&amp;"|"&amp;H1498,"")</f>
        <v/>
      </c>
      <c r="Y1498" s="21" t="str">
        <f aca="false">IF(B1498="","",IF(B1498&lt;&gt;B1497,1,0))</f>
        <v/>
      </c>
    </row>
    <row r="1499" customFormat="false" ht="15" hidden="false" customHeight="true" outlineLevel="0" collapsed="false">
      <c r="A1499" s="21" t="str">
        <f aca="false">IF(B1499="","",ROW()-4)</f>
        <v/>
      </c>
      <c r="B1499" s="22"/>
      <c r="C1499" s="21" t="str">
        <f aca="false">IF(B1499="","",CHOOSE(WEEKDAY(B1499,2),"LUNES","MARTES","MIÉRCOLES","JUEVES","VIERNES","SÁBADO","DOMINGO"))</f>
        <v/>
      </c>
      <c r="M1499" s="23"/>
      <c r="Q1499" s="21" t="str">
        <f aca="false">IF(OR(K1499="",N1499=""),"",K1499-N1499)</f>
        <v/>
      </c>
      <c r="R1499" s="21" t="str">
        <f aca="false">IF(OR(J1499="",K1499=""),"",J1499*K1499)</f>
        <v/>
      </c>
      <c r="S1499" s="21" t="str">
        <f aca="false">IF(AND(ISNUMBER(J1499),ISNUMBER(K1499),F1499&lt;&gt;"Calentamiento",F1499&lt;&gt;"Bilbo"),IF(AND(K1499&gt;0,K1499&lt;=12),ROUND(J1499*(1+(K1499+IF(ISNUMBER(L1499),L1499,0))/30),1),""),"")</f>
        <v/>
      </c>
      <c r="T1499" s="21" t="str">
        <f aca="false">IF(AND(F1499="Bilbo",ISNUMBER(J1499),ISNUMBER(K1499)),ROUND(J1499*(1+K1499/30),1),"")</f>
        <v/>
      </c>
      <c r="W1499" s="22"/>
      <c r="X1499" s="21" t="str">
        <f aca="false">IF(AND(F1499="Bilbo",E1499&lt;&gt;"",G1499&lt;&gt;"",H1499&lt;&gt;""),E1499&amp;"|"&amp;G1499&amp;"|"&amp;H1499,"")</f>
        <v/>
      </c>
      <c r="Y1499" s="21" t="str">
        <f aca="false">IF(B1499="","",IF(B1499&lt;&gt;B1498,1,0))</f>
        <v/>
      </c>
    </row>
    <row r="1500" customFormat="false" ht="15" hidden="false" customHeight="true" outlineLevel="0" collapsed="false">
      <c r="A1500" s="21" t="str">
        <f aca="false">IF(B1500="","",ROW()-4)</f>
        <v/>
      </c>
      <c r="B1500" s="22"/>
      <c r="C1500" s="21" t="str">
        <f aca="false">IF(B1500="","",CHOOSE(WEEKDAY(B1500,2),"LUNES","MARTES","MIÉRCOLES","JUEVES","VIERNES","SÁBADO","DOMINGO"))</f>
        <v/>
      </c>
      <c r="M1500" s="23"/>
      <c r="Q1500" s="21" t="str">
        <f aca="false">IF(OR(K1500="",N1500=""),"",K1500-N1500)</f>
        <v/>
      </c>
      <c r="R1500" s="21" t="str">
        <f aca="false">IF(OR(J1500="",K1500=""),"",J1500*K1500)</f>
        <v/>
      </c>
      <c r="S1500" s="21" t="str">
        <f aca="false">IF(AND(ISNUMBER(J1500),ISNUMBER(K1500),F1500&lt;&gt;"Calentamiento",F1500&lt;&gt;"Bilbo"),IF(AND(K1500&gt;0,K1500&lt;=12),ROUND(J1500*(1+(K1500+IF(ISNUMBER(L1500),L1500,0))/30),1),""),"")</f>
        <v/>
      </c>
      <c r="T1500" s="21" t="str">
        <f aca="false">IF(AND(F1500="Bilbo",ISNUMBER(J1500),ISNUMBER(K1500)),ROUND(J1500*(1+K1500/30),1),"")</f>
        <v/>
      </c>
      <c r="W1500" s="22"/>
      <c r="X1500" s="21" t="str">
        <f aca="false">IF(AND(F1500="Bilbo",E1500&lt;&gt;"",G1500&lt;&gt;"",H1500&lt;&gt;""),E1500&amp;"|"&amp;G1500&amp;"|"&amp;H1500,"")</f>
        <v/>
      </c>
      <c r="Y1500" s="21" t="str">
        <f aca="false">IF(B1500="","",IF(B1500&lt;&gt;B1499,1,0))</f>
        <v/>
      </c>
    </row>
    <row r="1501" customFormat="false" ht="15" hidden="false" customHeight="true" outlineLevel="0" collapsed="false">
      <c r="A1501" s="21" t="str">
        <f aca="false">IF(B1501="","",ROW()-4)</f>
        <v/>
      </c>
      <c r="B1501" s="22"/>
      <c r="C1501" s="21" t="str">
        <f aca="false">IF(B1501="","",CHOOSE(WEEKDAY(B1501,2),"LUNES","MARTES","MIÉRCOLES","JUEVES","VIERNES","SÁBADO","DOMINGO"))</f>
        <v/>
      </c>
      <c r="M1501" s="23"/>
      <c r="Q1501" s="21" t="str">
        <f aca="false">IF(OR(K1501="",N1501=""),"",K1501-N1501)</f>
        <v/>
      </c>
      <c r="R1501" s="21" t="str">
        <f aca="false">IF(OR(J1501="",K1501=""),"",J1501*K1501)</f>
        <v/>
      </c>
      <c r="S1501" s="21" t="str">
        <f aca="false">IF(AND(ISNUMBER(J1501),ISNUMBER(K1501),F1501&lt;&gt;"Calentamiento",F1501&lt;&gt;"Bilbo"),IF(AND(K1501&gt;0,K1501&lt;=12),ROUND(J1501*(1+(K1501+IF(ISNUMBER(L1501),L1501,0))/30),1),""),"")</f>
        <v/>
      </c>
      <c r="T1501" s="21" t="str">
        <f aca="false">IF(AND(F1501="Bilbo",ISNUMBER(J1501),ISNUMBER(K1501)),ROUND(J1501*(1+K1501/30),1),"")</f>
        <v/>
      </c>
      <c r="W1501" s="22"/>
      <c r="X1501" s="21" t="str">
        <f aca="false">IF(AND(F1501="Bilbo",E1501&lt;&gt;"",G1501&lt;&gt;"",H1501&lt;&gt;""),E1501&amp;"|"&amp;G1501&amp;"|"&amp;H1501,"")</f>
        <v/>
      </c>
      <c r="Y1501" s="21" t="str">
        <f aca="false">IF(B1501="","",IF(B1501&lt;&gt;B1500,1,0))</f>
        <v/>
      </c>
    </row>
    <row r="1502" customFormat="false" ht="15" hidden="false" customHeight="true" outlineLevel="0" collapsed="false">
      <c r="A1502" s="21" t="str">
        <f aca="false">IF(B1502="","",ROW()-4)</f>
        <v/>
      </c>
      <c r="B1502" s="22"/>
      <c r="C1502" s="21" t="str">
        <f aca="false">IF(B1502="","",CHOOSE(WEEKDAY(B1502,2),"LUNES","MARTES","MIÉRCOLES","JUEVES","VIERNES","SÁBADO","DOMINGO"))</f>
        <v/>
      </c>
      <c r="M1502" s="23"/>
      <c r="Q1502" s="21" t="str">
        <f aca="false">IF(OR(K1502="",N1502=""),"",K1502-N1502)</f>
        <v/>
      </c>
      <c r="R1502" s="21" t="str">
        <f aca="false">IF(OR(J1502="",K1502=""),"",J1502*K1502)</f>
        <v/>
      </c>
      <c r="S1502" s="21" t="str">
        <f aca="false">IF(AND(ISNUMBER(J1502),ISNUMBER(K1502),F1502&lt;&gt;"Calentamiento",F1502&lt;&gt;"Bilbo"),IF(AND(K1502&gt;0,K1502&lt;=12),ROUND(J1502*(1+(K1502+IF(ISNUMBER(L1502),L1502,0))/30),1),""),"")</f>
        <v/>
      </c>
      <c r="T1502" s="21" t="str">
        <f aca="false">IF(AND(F1502="Bilbo",ISNUMBER(J1502),ISNUMBER(K1502)),ROUND(J1502*(1+K1502/30),1),"")</f>
        <v/>
      </c>
      <c r="W1502" s="22"/>
      <c r="X1502" s="21" t="str">
        <f aca="false">IF(AND(F1502="Bilbo",E1502&lt;&gt;"",G1502&lt;&gt;"",H1502&lt;&gt;""),E1502&amp;"|"&amp;G1502&amp;"|"&amp;H1502,"")</f>
        <v/>
      </c>
      <c r="Y1502" s="21" t="str">
        <f aca="false">IF(B1502="","",IF(B1502&lt;&gt;B1501,1,0))</f>
        <v/>
      </c>
    </row>
    <row r="1503" customFormat="false" ht="15" hidden="false" customHeight="true" outlineLevel="0" collapsed="false">
      <c r="A1503" s="21" t="str">
        <f aca="false">IF(B1503="","",ROW()-4)</f>
        <v/>
      </c>
      <c r="B1503" s="22"/>
      <c r="C1503" s="21" t="str">
        <f aca="false">IF(B1503="","",CHOOSE(WEEKDAY(B1503,2),"LUNES","MARTES","MIÉRCOLES","JUEVES","VIERNES","SÁBADO","DOMINGO"))</f>
        <v/>
      </c>
      <c r="M1503" s="23"/>
      <c r="Q1503" s="21" t="str">
        <f aca="false">IF(OR(K1503="",N1503=""),"",K1503-N1503)</f>
        <v/>
      </c>
      <c r="R1503" s="21" t="str">
        <f aca="false">IF(OR(J1503="",K1503=""),"",J1503*K1503)</f>
        <v/>
      </c>
      <c r="S1503" s="21" t="str">
        <f aca="false">IF(AND(ISNUMBER(J1503),ISNUMBER(K1503),F1503&lt;&gt;"Calentamiento",F1503&lt;&gt;"Bilbo"),IF(AND(K1503&gt;0,K1503&lt;=12),ROUND(J1503*(1+(K1503+IF(ISNUMBER(L1503),L1503,0))/30),1),""),"")</f>
        <v/>
      </c>
      <c r="T1503" s="21" t="str">
        <f aca="false">IF(AND(F1503="Bilbo",ISNUMBER(J1503),ISNUMBER(K1503)),ROUND(J1503*(1+K1503/30),1),"")</f>
        <v/>
      </c>
      <c r="W1503" s="22"/>
      <c r="X1503" s="21" t="str">
        <f aca="false">IF(AND(F1503="Bilbo",E1503&lt;&gt;"",G1503&lt;&gt;"",H1503&lt;&gt;""),E1503&amp;"|"&amp;G1503&amp;"|"&amp;H1503,"")</f>
        <v/>
      </c>
      <c r="Y1503" s="21" t="str">
        <f aca="false">IF(B1503="","",IF(B1503&lt;&gt;B1502,1,0))</f>
        <v/>
      </c>
    </row>
    <row r="1504" customFormat="false" ht="15" hidden="false" customHeight="true" outlineLevel="0" collapsed="false">
      <c r="A1504" s="21" t="str">
        <f aca="false">IF(B1504="","",ROW()-4)</f>
        <v/>
      </c>
      <c r="B1504" s="22"/>
      <c r="C1504" s="21" t="str">
        <f aca="false">IF(B1504="","",CHOOSE(WEEKDAY(B1504,2),"LUNES","MARTES","MIÉRCOLES","JUEVES","VIERNES","SÁBADO","DOMINGO"))</f>
        <v/>
      </c>
      <c r="M1504" s="23"/>
      <c r="Q1504" s="21" t="str">
        <f aca="false">IF(OR(K1504="",N1504=""),"",K1504-N1504)</f>
        <v/>
      </c>
      <c r="R1504" s="21" t="str">
        <f aca="false">IF(OR(J1504="",K1504=""),"",J1504*K1504)</f>
        <v/>
      </c>
      <c r="S1504" s="21" t="str">
        <f aca="false">IF(AND(ISNUMBER(J1504),ISNUMBER(K1504),F1504&lt;&gt;"Calentamiento",F1504&lt;&gt;"Bilbo"),IF(AND(K1504&gt;0,K1504&lt;=12),ROUND(J1504*(1+(K1504+IF(ISNUMBER(L1504),L1504,0))/30),1),""),"")</f>
        <v/>
      </c>
      <c r="T1504" s="21" t="str">
        <f aca="false">IF(AND(F1504="Bilbo",ISNUMBER(J1504),ISNUMBER(K1504)),ROUND(J1504*(1+K1504/30),1),"")</f>
        <v/>
      </c>
      <c r="W1504" s="22"/>
      <c r="X1504" s="21" t="str">
        <f aca="false">IF(AND(F1504="Bilbo",E1504&lt;&gt;"",G1504&lt;&gt;"",H1504&lt;&gt;""),E1504&amp;"|"&amp;G1504&amp;"|"&amp;H1504,"")</f>
        <v/>
      </c>
      <c r="Y1504" s="21" t="str">
        <f aca="false">IF(B1504="","",IF(B1504&lt;&gt;B1503,1,0))</f>
        <v/>
      </c>
    </row>
    <row r="1505" customFormat="false" ht="15" hidden="false" customHeight="true" outlineLevel="0" collapsed="false">
      <c r="A1505" s="21" t="str">
        <f aca="false">IF(B1505="","",ROW()-4)</f>
        <v/>
      </c>
      <c r="B1505" s="22"/>
      <c r="C1505" s="21" t="str">
        <f aca="false">IF(B1505="","",CHOOSE(WEEKDAY(B1505,2),"LUNES","MARTES","MIÉRCOLES","JUEVES","VIERNES","SÁBADO","DOMINGO"))</f>
        <v/>
      </c>
      <c r="M1505" s="23"/>
      <c r="Q1505" s="21" t="str">
        <f aca="false">IF(OR(K1505="",N1505=""),"",K1505-N1505)</f>
        <v/>
      </c>
      <c r="R1505" s="21" t="str">
        <f aca="false">IF(OR(J1505="",K1505=""),"",J1505*K1505)</f>
        <v/>
      </c>
      <c r="S1505" s="21" t="str">
        <f aca="false">IF(AND(ISNUMBER(J1505),ISNUMBER(K1505),F1505&lt;&gt;"Calentamiento",F1505&lt;&gt;"Bilbo"),IF(AND(K1505&gt;0,K1505&lt;=12),ROUND(J1505*(1+(K1505+IF(ISNUMBER(L1505),L1505,0))/30),1),""),"")</f>
        <v/>
      </c>
      <c r="T1505" s="21" t="str">
        <f aca="false">IF(AND(F1505="Bilbo",ISNUMBER(J1505),ISNUMBER(K1505)),ROUND(J1505*(1+K1505/30),1),"")</f>
        <v/>
      </c>
      <c r="W1505" s="22"/>
      <c r="X1505" s="21" t="str">
        <f aca="false">IF(AND(F1505="Bilbo",E1505&lt;&gt;"",G1505&lt;&gt;"",H1505&lt;&gt;""),E1505&amp;"|"&amp;G1505&amp;"|"&amp;H1505,"")</f>
        <v/>
      </c>
      <c r="Y1505" s="21" t="str">
        <f aca="false">IF(B1505="","",IF(B1505&lt;&gt;B1504,1,0))</f>
        <v/>
      </c>
    </row>
    <row r="1506" customFormat="false" ht="15" hidden="false" customHeight="true" outlineLevel="0" collapsed="false">
      <c r="A1506" s="21" t="str">
        <f aca="false">IF(B1506="","",ROW()-4)</f>
        <v/>
      </c>
      <c r="B1506" s="22"/>
      <c r="C1506" s="21" t="str">
        <f aca="false">IF(B1506="","",CHOOSE(WEEKDAY(B1506,2),"LUNES","MARTES","MIÉRCOLES","JUEVES","VIERNES","SÁBADO","DOMINGO"))</f>
        <v/>
      </c>
      <c r="M1506" s="23"/>
      <c r="Q1506" s="21" t="str">
        <f aca="false">IF(OR(K1506="",N1506=""),"",K1506-N1506)</f>
        <v/>
      </c>
      <c r="R1506" s="21" t="str">
        <f aca="false">IF(OR(J1506="",K1506=""),"",J1506*K1506)</f>
        <v/>
      </c>
      <c r="S1506" s="21" t="str">
        <f aca="false">IF(AND(ISNUMBER(J1506),ISNUMBER(K1506),F1506&lt;&gt;"Calentamiento",F1506&lt;&gt;"Bilbo"),IF(AND(K1506&gt;0,K1506&lt;=12),ROUND(J1506*(1+(K1506+IF(ISNUMBER(L1506),L1506,0))/30),1),""),"")</f>
        <v/>
      </c>
      <c r="T1506" s="21" t="str">
        <f aca="false">IF(AND(F1506="Bilbo",ISNUMBER(J1506),ISNUMBER(K1506)),ROUND(J1506*(1+K1506/30),1),"")</f>
        <v/>
      </c>
      <c r="W1506" s="22"/>
      <c r="X1506" s="21" t="str">
        <f aca="false">IF(AND(F1506="Bilbo",E1506&lt;&gt;"",G1506&lt;&gt;"",H1506&lt;&gt;""),E1506&amp;"|"&amp;G1506&amp;"|"&amp;H1506,"")</f>
        <v/>
      </c>
      <c r="Y1506" s="21" t="str">
        <f aca="false">IF(B1506="","",IF(B1506&lt;&gt;B1505,1,0))</f>
        <v/>
      </c>
    </row>
    <row r="1507" customFormat="false" ht="15" hidden="false" customHeight="true" outlineLevel="0" collapsed="false">
      <c r="A1507" s="21" t="str">
        <f aca="false">IF(B1507="","",ROW()-4)</f>
        <v/>
      </c>
      <c r="B1507" s="22"/>
      <c r="C1507" s="21" t="str">
        <f aca="false">IF(B1507="","",CHOOSE(WEEKDAY(B1507,2),"LUNES","MARTES","MIÉRCOLES","JUEVES","VIERNES","SÁBADO","DOMINGO"))</f>
        <v/>
      </c>
      <c r="M1507" s="23"/>
      <c r="Q1507" s="21" t="str">
        <f aca="false">IF(OR(K1507="",N1507=""),"",K1507-N1507)</f>
        <v/>
      </c>
      <c r="R1507" s="21" t="str">
        <f aca="false">IF(OR(J1507="",K1507=""),"",J1507*K1507)</f>
        <v/>
      </c>
      <c r="S1507" s="21" t="str">
        <f aca="false">IF(AND(ISNUMBER(J1507),ISNUMBER(K1507),F1507&lt;&gt;"Calentamiento",F1507&lt;&gt;"Bilbo"),IF(AND(K1507&gt;0,K1507&lt;=12),ROUND(J1507*(1+(K1507+IF(ISNUMBER(L1507),L1507,0))/30),1),""),"")</f>
        <v/>
      </c>
      <c r="T1507" s="21" t="str">
        <f aca="false">IF(AND(F1507="Bilbo",ISNUMBER(J1507),ISNUMBER(K1507)),ROUND(J1507*(1+K1507/30),1),"")</f>
        <v/>
      </c>
      <c r="W1507" s="22"/>
      <c r="X1507" s="21" t="str">
        <f aca="false">IF(AND(F1507="Bilbo",E1507&lt;&gt;"",G1507&lt;&gt;"",H1507&lt;&gt;""),E1507&amp;"|"&amp;G1507&amp;"|"&amp;H1507,"")</f>
        <v/>
      </c>
      <c r="Y1507" s="21" t="str">
        <f aca="false">IF(B1507="","",IF(B1507&lt;&gt;B1506,1,0))</f>
        <v/>
      </c>
    </row>
    <row r="1508" customFormat="false" ht="15" hidden="false" customHeight="true" outlineLevel="0" collapsed="false">
      <c r="A1508" s="21" t="str">
        <f aca="false">IF(B1508="","",ROW()-4)</f>
        <v/>
      </c>
      <c r="B1508" s="22"/>
      <c r="C1508" s="21" t="str">
        <f aca="false">IF(B1508="","",CHOOSE(WEEKDAY(B1508,2),"LUNES","MARTES","MIÉRCOLES","JUEVES","VIERNES","SÁBADO","DOMINGO"))</f>
        <v/>
      </c>
      <c r="M1508" s="23"/>
      <c r="Q1508" s="21" t="str">
        <f aca="false">IF(OR(K1508="",N1508=""),"",K1508-N1508)</f>
        <v/>
      </c>
      <c r="R1508" s="21" t="str">
        <f aca="false">IF(OR(J1508="",K1508=""),"",J1508*K1508)</f>
        <v/>
      </c>
      <c r="S1508" s="21" t="str">
        <f aca="false">IF(AND(ISNUMBER(J1508),ISNUMBER(K1508),F1508&lt;&gt;"Calentamiento",F1508&lt;&gt;"Bilbo"),IF(AND(K1508&gt;0,K1508&lt;=12),ROUND(J1508*(1+(K1508+IF(ISNUMBER(L1508),L1508,0))/30),1),""),"")</f>
        <v/>
      </c>
      <c r="T1508" s="21" t="str">
        <f aca="false">IF(AND(F1508="Bilbo",ISNUMBER(J1508),ISNUMBER(K1508)),ROUND(J1508*(1+K1508/30),1),"")</f>
        <v/>
      </c>
      <c r="W1508" s="22"/>
      <c r="X1508" s="21" t="str">
        <f aca="false">IF(AND(F1508="Bilbo",E1508&lt;&gt;"",G1508&lt;&gt;"",H1508&lt;&gt;""),E1508&amp;"|"&amp;G1508&amp;"|"&amp;H1508,"")</f>
        <v/>
      </c>
      <c r="Y1508" s="21" t="str">
        <f aca="false">IF(B1508="","",IF(B1508&lt;&gt;B1507,1,0))</f>
        <v/>
      </c>
    </row>
    <row r="1509" customFormat="false" ht="15" hidden="false" customHeight="true" outlineLevel="0" collapsed="false">
      <c r="A1509" s="21" t="str">
        <f aca="false">IF(B1509="","",ROW()-4)</f>
        <v/>
      </c>
      <c r="B1509" s="22"/>
      <c r="C1509" s="21" t="str">
        <f aca="false">IF(B1509="","",CHOOSE(WEEKDAY(B1509,2),"LUNES","MARTES","MIÉRCOLES","JUEVES","VIERNES","SÁBADO","DOMINGO"))</f>
        <v/>
      </c>
      <c r="M1509" s="23"/>
      <c r="Q1509" s="21" t="str">
        <f aca="false">IF(OR(K1509="",N1509=""),"",K1509-N1509)</f>
        <v/>
      </c>
      <c r="R1509" s="21" t="str">
        <f aca="false">IF(OR(J1509="",K1509=""),"",J1509*K1509)</f>
        <v/>
      </c>
      <c r="S1509" s="21" t="str">
        <f aca="false">IF(AND(ISNUMBER(J1509),ISNUMBER(K1509),F1509&lt;&gt;"Calentamiento",F1509&lt;&gt;"Bilbo"),IF(AND(K1509&gt;0,K1509&lt;=12),ROUND(J1509*(1+(K1509+IF(ISNUMBER(L1509),L1509,0))/30),1),""),"")</f>
        <v/>
      </c>
      <c r="T1509" s="21" t="str">
        <f aca="false">IF(AND(F1509="Bilbo",ISNUMBER(J1509),ISNUMBER(K1509)),ROUND(J1509*(1+K1509/30),1),"")</f>
        <v/>
      </c>
      <c r="W1509" s="22"/>
      <c r="X1509" s="21" t="str">
        <f aca="false">IF(AND(F1509="Bilbo",E1509&lt;&gt;"",G1509&lt;&gt;"",H1509&lt;&gt;""),E1509&amp;"|"&amp;G1509&amp;"|"&amp;H1509,"")</f>
        <v/>
      </c>
      <c r="Y1509" s="21" t="str">
        <f aca="false">IF(B1509="","",IF(B1509&lt;&gt;B1508,1,0))</f>
        <v/>
      </c>
    </row>
    <row r="1510" customFormat="false" ht="15" hidden="false" customHeight="true" outlineLevel="0" collapsed="false">
      <c r="A1510" s="21" t="str">
        <f aca="false">IF(B1510="","",ROW()-4)</f>
        <v/>
      </c>
      <c r="B1510" s="22"/>
      <c r="C1510" s="21" t="str">
        <f aca="false">IF(B1510="","",CHOOSE(WEEKDAY(B1510,2),"LUNES","MARTES","MIÉRCOLES","JUEVES","VIERNES","SÁBADO","DOMINGO"))</f>
        <v/>
      </c>
      <c r="M1510" s="23"/>
      <c r="Q1510" s="21" t="str">
        <f aca="false">IF(OR(K1510="",N1510=""),"",K1510-N1510)</f>
        <v/>
      </c>
      <c r="R1510" s="21" t="str">
        <f aca="false">IF(OR(J1510="",K1510=""),"",J1510*K1510)</f>
        <v/>
      </c>
      <c r="S1510" s="21" t="str">
        <f aca="false">IF(AND(ISNUMBER(J1510),ISNUMBER(K1510),F1510&lt;&gt;"Calentamiento",F1510&lt;&gt;"Bilbo"),IF(AND(K1510&gt;0,K1510&lt;=12),ROUND(J1510*(1+(K1510+IF(ISNUMBER(L1510),L1510,0))/30),1),""),"")</f>
        <v/>
      </c>
      <c r="T1510" s="21" t="str">
        <f aca="false">IF(AND(F1510="Bilbo",ISNUMBER(J1510),ISNUMBER(K1510)),ROUND(J1510*(1+K1510/30),1),"")</f>
        <v/>
      </c>
      <c r="W1510" s="22"/>
      <c r="X1510" s="21" t="str">
        <f aca="false">IF(AND(F1510="Bilbo",E1510&lt;&gt;"",G1510&lt;&gt;"",H1510&lt;&gt;""),E1510&amp;"|"&amp;G1510&amp;"|"&amp;H1510,"")</f>
        <v/>
      </c>
      <c r="Y1510" s="21" t="str">
        <f aca="false">IF(B1510="","",IF(B1510&lt;&gt;B1509,1,0))</f>
        <v/>
      </c>
    </row>
    <row r="1511" customFormat="false" ht="15" hidden="false" customHeight="true" outlineLevel="0" collapsed="false">
      <c r="A1511" s="21" t="str">
        <f aca="false">IF(B1511="","",ROW()-4)</f>
        <v/>
      </c>
      <c r="B1511" s="22"/>
      <c r="C1511" s="21" t="str">
        <f aca="false">IF(B1511="","",CHOOSE(WEEKDAY(B1511,2),"LUNES","MARTES","MIÉRCOLES","JUEVES","VIERNES","SÁBADO","DOMINGO"))</f>
        <v/>
      </c>
      <c r="M1511" s="23"/>
      <c r="Q1511" s="21" t="str">
        <f aca="false">IF(OR(K1511="",N1511=""),"",K1511-N1511)</f>
        <v/>
      </c>
      <c r="R1511" s="21" t="str">
        <f aca="false">IF(OR(J1511="",K1511=""),"",J1511*K1511)</f>
        <v/>
      </c>
      <c r="S1511" s="21" t="str">
        <f aca="false">IF(AND(ISNUMBER(J1511),ISNUMBER(K1511),F1511&lt;&gt;"Calentamiento",F1511&lt;&gt;"Bilbo"),IF(AND(K1511&gt;0,K1511&lt;=12),ROUND(J1511*(1+(K1511+IF(ISNUMBER(L1511),L1511,0))/30),1),""),"")</f>
        <v/>
      </c>
      <c r="T1511" s="21" t="str">
        <f aca="false">IF(AND(F1511="Bilbo",ISNUMBER(J1511),ISNUMBER(K1511)),ROUND(J1511*(1+K1511/30),1),"")</f>
        <v/>
      </c>
      <c r="W1511" s="22"/>
      <c r="X1511" s="21" t="str">
        <f aca="false">IF(AND(F1511="Bilbo",E1511&lt;&gt;"",G1511&lt;&gt;"",H1511&lt;&gt;""),E1511&amp;"|"&amp;G1511&amp;"|"&amp;H1511,"")</f>
        <v/>
      </c>
      <c r="Y1511" s="21" t="str">
        <f aca="false">IF(B1511="","",IF(B1511&lt;&gt;B1510,1,0))</f>
        <v/>
      </c>
    </row>
    <row r="1512" customFormat="false" ht="15" hidden="false" customHeight="true" outlineLevel="0" collapsed="false">
      <c r="A1512" s="21" t="str">
        <f aca="false">IF(B1512="","",ROW()-4)</f>
        <v/>
      </c>
      <c r="B1512" s="22"/>
      <c r="C1512" s="21" t="str">
        <f aca="false">IF(B1512="","",CHOOSE(WEEKDAY(B1512,2),"LUNES","MARTES","MIÉRCOLES","JUEVES","VIERNES","SÁBADO","DOMINGO"))</f>
        <v/>
      </c>
      <c r="M1512" s="23"/>
      <c r="Q1512" s="21" t="str">
        <f aca="false">IF(OR(K1512="",N1512=""),"",K1512-N1512)</f>
        <v/>
      </c>
      <c r="R1512" s="21" t="str">
        <f aca="false">IF(OR(J1512="",K1512=""),"",J1512*K1512)</f>
        <v/>
      </c>
      <c r="S1512" s="21" t="str">
        <f aca="false">IF(AND(ISNUMBER(J1512),ISNUMBER(K1512),F1512&lt;&gt;"Calentamiento",F1512&lt;&gt;"Bilbo"),IF(AND(K1512&gt;0,K1512&lt;=12),ROUND(J1512*(1+(K1512+IF(ISNUMBER(L1512),L1512,0))/30),1),""),"")</f>
        <v/>
      </c>
      <c r="T1512" s="21" t="str">
        <f aca="false">IF(AND(F1512="Bilbo",ISNUMBER(J1512),ISNUMBER(K1512)),ROUND(J1512*(1+K1512/30),1),"")</f>
        <v/>
      </c>
      <c r="W1512" s="22"/>
      <c r="X1512" s="21" t="str">
        <f aca="false">IF(AND(F1512="Bilbo",E1512&lt;&gt;"",G1512&lt;&gt;"",H1512&lt;&gt;""),E1512&amp;"|"&amp;G1512&amp;"|"&amp;H1512,"")</f>
        <v/>
      </c>
      <c r="Y1512" s="21" t="str">
        <f aca="false">IF(B1512="","",IF(B1512&lt;&gt;B1511,1,0))</f>
        <v/>
      </c>
    </row>
    <row r="1513" customFormat="false" ht="15" hidden="false" customHeight="true" outlineLevel="0" collapsed="false">
      <c r="A1513" s="21" t="str">
        <f aca="false">IF(B1513="","",ROW()-4)</f>
        <v/>
      </c>
      <c r="B1513" s="22"/>
      <c r="C1513" s="21" t="str">
        <f aca="false">IF(B1513="","",CHOOSE(WEEKDAY(B1513,2),"LUNES","MARTES","MIÉRCOLES","JUEVES","VIERNES","SÁBADO","DOMINGO"))</f>
        <v/>
      </c>
      <c r="M1513" s="23"/>
      <c r="Q1513" s="21" t="str">
        <f aca="false">IF(OR(K1513="",N1513=""),"",K1513-N1513)</f>
        <v/>
      </c>
      <c r="R1513" s="21" t="str">
        <f aca="false">IF(OR(J1513="",K1513=""),"",J1513*K1513)</f>
        <v/>
      </c>
      <c r="S1513" s="21" t="str">
        <f aca="false">IF(AND(ISNUMBER(J1513),ISNUMBER(K1513),F1513&lt;&gt;"Calentamiento",F1513&lt;&gt;"Bilbo"),IF(AND(K1513&gt;0,K1513&lt;=12),ROUND(J1513*(1+(K1513+IF(ISNUMBER(L1513),L1513,0))/30),1),""),"")</f>
        <v/>
      </c>
      <c r="T1513" s="21" t="str">
        <f aca="false">IF(AND(F1513="Bilbo",ISNUMBER(J1513),ISNUMBER(K1513)),ROUND(J1513*(1+K1513/30),1),"")</f>
        <v/>
      </c>
      <c r="W1513" s="22"/>
      <c r="X1513" s="21" t="str">
        <f aca="false">IF(AND(F1513="Bilbo",E1513&lt;&gt;"",G1513&lt;&gt;"",H1513&lt;&gt;""),E1513&amp;"|"&amp;G1513&amp;"|"&amp;H1513,"")</f>
        <v/>
      </c>
      <c r="Y1513" s="21" t="str">
        <f aca="false">IF(B1513="","",IF(B1513&lt;&gt;B1512,1,0))</f>
        <v/>
      </c>
    </row>
    <row r="1514" customFormat="false" ht="15" hidden="false" customHeight="true" outlineLevel="0" collapsed="false">
      <c r="A1514" s="21" t="str">
        <f aca="false">IF(B1514="","",ROW()-4)</f>
        <v/>
      </c>
      <c r="B1514" s="22"/>
      <c r="C1514" s="21" t="str">
        <f aca="false">IF(B1514="","",CHOOSE(WEEKDAY(B1514,2),"LUNES","MARTES","MIÉRCOLES","JUEVES","VIERNES","SÁBADO","DOMINGO"))</f>
        <v/>
      </c>
      <c r="M1514" s="23"/>
      <c r="Q1514" s="21" t="str">
        <f aca="false">IF(OR(K1514="",N1514=""),"",K1514-N1514)</f>
        <v/>
      </c>
      <c r="R1514" s="21" t="str">
        <f aca="false">IF(OR(J1514="",K1514=""),"",J1514*K1514)</f>
        <v/>
      </c>
      <c r="S1514" s="21" t="str">
        <f aca="false">IF(AND(ISNUMBER(J1514),ISNUMBER(K1514),F1514&lt;&gt;"Calentamiento",F1514&lt;&gt;"Bilbo"),IF(AND(K1514&gt;0,K1514&lt;=12),ROUND(J1514*(1+(K1514+IF(ISNUMBER(L1514),L1514,0))/30),1),""),"")</f>
        <v/>
      </c>
      <c r="T1514" s="21" t="str">
        <f aca="false">IF(AND(F1514="Bilbo",ISNUMBER(J1514),ISNUMBER(K1514)),ROUND(J1514*(1+K1514/30),1),"")</f>
        <v/>
      </c>
      <c r="W1514" s="22"/>
      <c r="X1514" s="21" t="str">
        <f aca="false">IF(AND(F1514="Bilbo",E1514&lt;&gt;"",G1514&lt;&gt;"",H1514&lt;&gt;""),E1514&amp;"|"&amp;G1514&amp;"|"&amp;H1514,"")</f>
        <v/>
      </c>
      <c r="Y1514" s="21" t="str">
        <f aca="false">IF(B1514="","",IF(B1514&lt;&gt;B1513,1,0))</f>
        <v/>
      </c>
    </row>
    <row r="1515" customFormat="false" ht="15" hidden="false" customHeight="true" outlineLevel="0" collapsed="false">
      <c r="A1515" s="21" t="str">
        <f aca="false">IF(B1515="","",ROW()-4)</f>
        <v/>
      </c>
      <c r="B1515" s="22"/>
      <c r="C1515" s="21" t="str">
        <f aca="false">IF(B1515="","",CHOOSE(WEEKDAY(B1515,2),"LUNES","MARTES","MIÉRCOLES","JUEVES","VIERNES","SÁBADO","DOMINGO"))</f>
        <v/>
      </c>
      <c r="M1515" s="23"/>
      <c r="Q1515" s="21" t="str">
        <f aca="false">IF(OR(K1515="",N1515=""),"",K1515-N1515)</f>
        <v/>
      </c>
      <c r="R1515" s="21" t="str">
        <f aca="false">IF(OR(J1515="",K1515=""),"",J1515*K1515)</f>
        <v/>
      </c>
      <c r="S1515" s="21" t="str">
        <f aca="false">IF(AND(ISNUMBER(J1515),ISNUMBER(K1515),F1515&lt;&gt;"Calentamiento",F1515&lt;&gt;"Bilbo"),IF(AND(K1515&gt;0,K1515&lt;=12),ROUND(J1515*(1+(K1515+IF(ISNUMBER(L1515),L1515,0))/30),1),""),"")</f>
        <v/>
      </c>
      <c r="T1515" s="21" t="str">
        <f aca="false">IF(AND(F1515="Bilbo",ISNUMBER(J1515),ISNUMBER(K1515)),ROUND(J1515*(1+K1515/30),1),"")</f>
        <v/>
      </c>
      <c r="W1515" s="22"/>
      <c r="X1515" s="21" t="str">
        <f aca="false">IF(AND(F1515="Bilbo",E1515&lt;&gt;"",G1515&lt;&gt;"",H1515&lt;&gt;""),E1515&amp;"|"&amp;G1515&amp;"|"&amp;H1515,"")</f>
        <v/>
      </c>
      <c r="Y1515" s="21" t="str">
        <f aca="false">IF(B1515="","",IF(B1515&lt;&gt;B1514,1,0))</f>
        <v/>
      </c>
    </row>
    <row r="1516" customFormat="false" ht="15" hidden="false" customHeight="true" outlineLevel="0" collapsed="false">
      <c r="A1516" s="21" t="str">
        <f aca="false">IF(B1516="","",ROW()-4)</f>
        <v/>
      </c>
      <c r="B1516" s="22"/>
      <c r="C1516" s="21" t="str">
        <f aca="false">IF(B1516="","",CHOOSE(WEEKDAY(B1516,2),"LUNES","MARTES","MIÉRCOLES","JUEVES","VIERNES","SÁBADO","DOMINGO"))</f>
        <v/>
      </c>
      <c r="M1516" s="23"/>
      <c r="Q1516" s="21" t="str">
        <f aca="false">IF(OR(K1516="",N1516=""),"",K1516-N1516)</f>
        <v/>
      </c>
      <c r="R1516" s="21" t="str">
        <f aca="false">IF(OR(J1516="",K1516=""),"",J1516*K1516)</f>
        <v/>
      </c>
      <c r="S1516" s="21" t="str">
        <f aca="false">IF(AND(ISNUMBER(J1516),ISNUMBER(K1516),F1516&lt;&gt;"Calentamiento",F1516&lt;&gt;"Bilbo"),IF(AND(K1516&gt;0,K1516&lt;=12),ROUND(J1516*(1+(K1516+IF(ISNUMBER(L1516),L1516,0))/30),1),""),"")</f>
        <v/>
      </c>
      <c r="T1516" s="21" t="str">
        <f aca="false">IF(AND(F1516="Bilbo",ISNUMBER(J1516),ISNUMBER(K1516)),ROUND(J1516*(1+K1516/30),1),"")</f>
        <v/>
      </c>
      <c r="W1516" s="22"/>
      <c r="X1516" s="21" t="str">
        <f aca="false">IF(AND(F1516="Bilbo",E1516&lt;&gt;"",G1516&lt;&gt;"",H1516&lt;&gt;""),E1516&amp;"|"&amp;G1516&amp;"|"&amp;H1516,"")</f>
        <v/>
      </c>
      <c r="Y1516" s="21" t="str">
        <f aca="false">IF(B1516="","",IF(B1516&lt;&gt;B1515,1,0))</f>
        <v/>
      </c>
    </row>
    <row r="1517" customFormat="false" ht="15" hidden="false" customHeight="true" outlineLevel="0" collapsed="false">
      <c r="A1517" s="21" t="str">
        <f aca="false">IF(B1517="","",ROW()-4)</f>
        <v/>
      </c>
      <c r="B1517" s="22"/>
      <c r="C1517" s="21" t="str">
        <f aca="false">IF(B1517="","",CHOOSE(WEEKDAY(B1517,2),"LUNES","MARTES","MIÉRCOLES","JUEVES","VIERNES","SÁBADO","DOMINGO"))</f>
        <v/>
      </c>
      <c r="M1517" s="23"/>
      <c r="Q1517" s="21" t="str">
        <f aca="false">IF(OR(K1517="",N1517=""),"",K1517-N1517)</f>
        <v/>
      </c>
      <c r="R1517" s="21" t="str">
        <f aca="false">IF(OR(J1517="",K1517=""),"",J1517*K1517)</f>
        <v/>
      </c>
      <c r="S1517" s="21" t="str">
        <f aca="false">IF(AND(ISNUMBER(J1517),ISNUMBER(K1517),F1517&lt;&gt;"Calentamiento",F1517&lt;&gt;"Bilbo"),IF(AND(K1517&gt;0,K1517&lt;=12),ROUND(J1517*(1+(K1517+IF(ISNUMBER(L1517),L1517,0))/30),1),""),"")</f>
        <v/>
      </c>
      <c r="T1517" s="21" t="str">
        <f aca="false">IF(AND(F1517="Bilbo",ISNUMBER(J1517),ISNUMBER(K1517)),ROUND(J1517*(1+K1517/30),1),"")</f>
        <v/>
      </c>
      <c r="W1517" s="22"/>
      <c r="X1517" s="21" t="str">
        <f aca="false">IF(AND(F1517="Bilbo",E1517&lt;&gt;"",G1517&lt;&gt;"",H1517&lt;&gt;""),E1517&amp;"|"&amp;G1517&amp;"|"&amp;H1517,"")</f>
        <v/>
      </c>
      <c r="Y1517" s="21" t="str">
        <f aca="false">IF(B1517="","",IF(B1517&lt;&gt;B1516,1,0))</f>
        <v/>
      </c>
    </row>
    <row r="1518" customFormat="false" ht="15" hidden="false" customHeight="true" outlineLevel="0" collapsed="false">
      <c r="A1518" s="21" t="str">
        <f aca="false">IF(B1518="","",ROW()-4)</f>
        <v/>
      </c>
      <c r="B1518" s="22"/>
      <c r="C1518" s="21" t="str">
        <f aca="false">IF(B1518="","",CHOOSE(WEEKDAY(B1518,2),"LUNES","MARTES","MIÉRCOLES","JUEVES","VIERNES","SÁBADO","DOMINGO"))</f>
        <v/>
      </c>
      <c r="M1518" s="23"/>
      <c r="Q1518" s="21" t="str">
        <f aca="false">IF(OR(K1518="",N1518=""),"",K1518-N1518)</f>
        <v/>
      </c>
      <c r="R1518" s="21" t="str">
        <f aca="false">IF(OR(J1518="",K1518=""),"",J1518*K1518)</f>
        <v/>
      </c>
      <c r="S1518" s="21" t="str">
        <f aca="false">IF(AND(ISNUMBER(J1518),ISNUMBER(K1518),F1518&lt;&gt;"Calentamiento",F1518&lt;&gt;"Bilbo"),IF(AND(K1518&gt;0,K1518&lt;=12),ROUND(J1518*(1+(K1518+IF(ISNUMBER(L1518),L1518,0))/30),1),""),"")</f>
        <v/>
      </c>
      <c r="T1518" s="21" t="str">
        <f aca="false">IF(AND(F1518="Bilbo",ISNUMBER(J1518),ISNUMBER(K1518)),ROUND(J1518*(1+K1518/30),1),"")</f>
        <v/>
      </c>
      <c r="W1518" s="22"/>
      <c r="X1518" s="21" t="str">
        <f aca="false">IF(AND(F1518="Bilbo",E1518&lt;&gt;"",G1518&lt;&gt;"",H1518&lt;&gt;""),E1518&amp;"|"&amp;G1518&amp;"|"&amp;H1518,"")</f>
        <v/>
      </c>
      <c r="Y1518" s="21" t="str">
        <f aca="false">IF(B1518="","",IF(B1518&lt;&gt;B1517,1,0))</f>
        <v/>
      </c>
    </row>
    <row r="1519" customFormat="false" ht="15" hidden="false" customHeight="true" outlineLevel="0" collapsed="false">
      <c r="A1519" s="21" t="str">
        <f aca="false">IF(B1519="","",ROW()-4)</f>
        <v/>
      </c>
      <c r="B1519" s="22"/>
      <c r="C1519" s="21" t="str">
        <f aca="false">IF(B1519="","",CHOOSE(WEEKDAY(B1519,2),"LUNES","MARTES","MIÉRCOLES","JUEVES","VIERNES","SÁBADO","DOMINGO"))</f>
        <v/>
      </c>
      <c r="M1519" s="23"/>
      <c r="Q1519" s="21" t="str">
        <f aca="false">IF(OR(K1519="",N1519=""),"",K1519-N1519)</f>
        <v/>
      </c>
      <c r="R1519" s="21" t="str">
        <f aca="false">IF(OR(J1519="",K1519=""),"",J1519*K1519)</f>
        <v/>
      </c>
      <c r="S1519" s="21" t="str">
        <f aca="false">IF(AND(ISNUMBER(J1519),ISNUMBER(K1519),F1519&lt;&gt;"Calentamiento",F1519&lt;&gt;"Bilbo"),IF(AND(K1519&gt;0,K1519&lt;=12),ROUND(J1519*(1+(K1519+IF(ISNUMBER(L1519),L1519,0))/30),1),""),"")</f>
        <v/>
      </c>
      <c r="T1519" s="21" t="str">
        <f aca="false">IF(AND(F1519="Bilbo",ISNUMBER(J1519),ISNUMBER(K1519)),ROUND(J1519*(1+K1519/30),1),"")</f>
        <v/>
      </c>
      <c r="W1519" s="22"/>
      <c r="X1519" s="21" t="str">
        <f aca="false">IF(AND(F1519="Bilbo",E1519&lt;&gt;"",G1519&lt;&gt;"",H1519&lt;&gt;""),E1519&amp;"|"&amp;G1519&amp;"|"&amp;H1519,"")</f>
        <v/>
      </c>
      <c r="Y1519" s="21" t="str">
        <f aca="false">IF(B1519="","",IF(B1519&lt;&gt;B1518,1,0))</f>
        <v/>
      </c>
    </row>
    <row r="1520" customFormat="false" ht="15" hidden="false" customHeight="true" outlineLevel="0" collapsed="false">
      <c r="A1520" s="21" t="str">
        <f aca="false">IF(B1520="","",ROW()-4)</f>
        <v/>
      </c>
      <c r="B1520" s="22"/>
      <c r="C1520" s="21" t="str">
        <f aca="false">IF(B1520="","",CHOOSE(WEEKDAY(B1520,2),"LUNES","MARTES","MIÉRCOLES","JUEVES","VIERNES","SÁBADO","DOMINGO"))</f>
        <v/>
      </c>
      <c r="M1520" s="23"/>
      <c r="Q1520" s="21" t="str">
        <f aca="false">IF(OR(K1520="",N1520=""),"",K1520-N1520)</f>
        <v/>
      </c>
      <c r="R1520" s="21" t="str">
        <f aca="false">IF(OR(J1520="",K1520=""),"",J1520*K1520)</f>
        <v/>
      </c>
      <c r="S1520" s="21" t="str">
        <f aca="false">IF(AND(ISNUMBER(J1520),ISNUMBER(K1520),F1520&lt;&gt;"Calentamiento",F1520&lt;&gt;"Bilbo"),IF(AND(K1520&gt;0,K1520&lt;=12),ROUND(J1520*(1+(K1520+IF(ISNUMBER(L1520),L1520,0))/30),1),""),"")</f>
        <v/>
      </c>
      <c r="T1520" s="21" t="str">
        <f aca="false">IF(AND(F1520="Bilbo",ISNUMBER(J1520),ISNUMBER(K1520)),ROUND(J1520*(1+K1520/30),1),"")</f>
        <v/>
      </c>
      <c r="W1520" s="22"/>
      <c r="X1520" s="21" t="str">
        <f aca="false">IF(AND(F1520="Bilbo",E1520&lt;&gt;"",G1520&lt;&gt;"",H1520&lt;&gt;""),E1520&amp;"|"&amp;G1520&amp;"|"&amp;H1520,"")</f>
        <v/>
      </c>
      <c r="Y1520" s="21" t="str">
        <f aca="false">IF(B1520="","",IF(B1520&lt;&gt;B1519,1,0))</f>
        <v/>
      </c>
    </row>
    <row r="1521" customFormat="false" ht="15" hidden="false" customHeight="true" outlineLevel="0" collapsed="false">
      <c r="A1521" s="21" t="str">
        <f aca="false">IF(B1521="","",ROW()-4)</f>
        <v/>
      </c>
      <c r="B1521" s="22"/>
      <c r="C1521" s="21" t="str">
        <f aca="false">IF(B1521="","",CHOOSE(WEEKDAY(B1521,2),"LUNES","MARTES","MIÉRCOLES","JUEVES","VIERNES","SÁBADO","DOMINGO"))</f>
        <v/>
      </c>
      <c r="M1521" s="23"/>
      <c r="Q1521" s="21" t="str">
        <f aca="false">IF(OR(K1521="",N1521=""),"",K1521-N1521)</f>
        <v/>
      </c>
      <c r="R1521" s="21" t="str">
        <f aca="false">IF(OR(J1521="",K1521=""),"",J1521*K1521)</f>
        <v/>
      </c>
      <c r="S1521" s="21" t="str">
        <f aca="false">IF(AND(ISNUMBER(J1521),ISNUMBER(K1521),F1521&lt;&gt;"Calentamiento",F1521&lt;&gt;"Bilbo"),IF(AND(K1521&gt;0,K1521&lt;=12),ROUND(J1521*(1+(K1521+IF(ISNUMBER(L1521),L1521,0))/30),1),""),"")</f>
        <v/>
      </c>
      <c r="T1521" s="21" t="str">
        <f aca="false">IF(AND(F1521="Bilbo",ISNUMBER(J1521),ISNUMBER(K1521)),ROUND(J1521*(1+K1521/30),1),"")</f>
        <v/>
      </c>
      <c r="W1521" s="22"/>
      <c r="X1521" s="21" t="str">
        <f aca="false">IF(AND(F1521="Bilbo",E1521&lt;&gt;"",G1521&lt;&gt;"",H1521&lt;&gt;""),E1521&amp;"|"&amp;G1521&amp;"|"&amp;H1521,"")</f>
        <v/>
      </c>
      <c r="Y1521" s="21" t="str">
        <f aca="false">IF(B1521="","",IF(B1521&lt;&gt;B1520,1,0))</f>
        <v/>
      </c>
    </row>
    <row r="1522" customFormat="false" ht="15" hidden="false" customHeight="true" outlineLevel="0" collapsed="false">
      <c r="A1522" s="21" t="str">
        <f aca="false">IF(B1522="","",ROW()-4)</f>
        <v/>
      </c>
      <c r="B1522" s="22"/>
      <c r="C1522" s="21" t="str">
        <f aca="false">IF(B1522="","",CHOOSE(WEEKDAY(B1522,2),"LUNES","MARTES","MIÉRCOLES","JUEVES","VIERNES","SÁBADO","DOMINGO"))</f>
        <v/>
      </c>
      <c r="M1522" s="23"/>
      <c r="Q1522" s="21" t="str">
        <f aca="false">IF(OR(K1522="",N1522=""),"",K1522-N1522)</f>
        <v/>
      </c>
      <c r="R1522" s="21" t="str">
        <f aca="false">IF(OR(J1522="",K1522=""),"",J1522*K1522)</f>
        <v/>
      </c>
      <c r="S1522" s="21" t="str">
        <f aca="false">IF(AND(ISNUMBER(J1522),ISNUMBER(K1522),F1522&lt;&gt;"Calentamiento",F1522&lt;&gt;"Bilbo"),IF(AND(K1522&gt;0,K1522&lt;=12),ROUND(J1522*(1+(K1522+IF(ISNUMBER(L1522),L1522,0))/30),1),""),"")</f>
        <v/>
      </c>
      <c r="T1522" s="21" t="str">
        <f aca="false">IF(AND(F1522="Bilbo",ISNUMBER(J1522),ISNUMBER(K1522)),ROUND(J1522*(1+K1522/30),1),"")</f>
        <v/>
      </c>
      <c r="W1522" s="22"/>
      <c r="X1522" s="21" t="str">
        <f aca="false">IF(AND(F1522="Bilbo",E1522&lt;&gt;"",G1522&lt;&gt;"",H1522&lt;&gt;""),E1522&amp;"|"&amp;G1522&amp;"|"&amp;H1522,"")</f>
        <v/>
      </c>
      <c r="Y1522" s="21" t="str">
        <f aca="false">IF(B1522="","",IF(B1522&lt;&gt;B1521,1,0))</f>
        <v/>
      </c>
    </row>
    <row r="1523" customFormat="false" ht="15" hidden="false" customHeight="true" outlineLevel="0" collapsed="false">
      <c r="A1523" s="21" t="str">
        <f aca="false">IF(B1523="","",ROW()-4)</f>
        <v/>
      </c>
      <c r="B1523" s="22"/>
      <c r="C1523" s="21" t="str">
        <f aca="false">IF(B1523="","",CHOOSE(WEEKDAY(B1523,2),"LUNES","MARTES","MIÉRCOLES","JUEVES","VIERNES","SÁBADO","DOMINGO"))</f>
        <v/>
      </c>
      <c r="M1523" s="23"/>
      <c r="Q1523" s="21" t="str">
        <f aca="false">IF(OR(K1523="",N1523=""),"",K1523-N1523)</f>
        <v/>
      </c>
      <c r="R1523" s="21" t="str">
        <f aca="false">IF(OR(J1523="",K1523=""),"",J1523*K1523)</f>
        <v/>
      </c>
      <c r="S1523" s="21" t="str">
        <f aca="false">IF(AND(ISNUMBER(J1523),ISNUMBER(K1523),F1523&lt;&gt;"Calentamiento",F1523&lt;&gt;"Bilbo"),IF(AND(K1523&gt;0,K1523&lt;=12),ROUND(J1523*(1+(K1523+IF(ISNUMBER(L1523),L1523,0))/30),1),""),"")</f>
        <v/>
      </c>
      <c r="T1523" s="21" t="str">
        <f aca="false">IF(AND(F1523="Bilbo",ISNUMBER(J1523),ISNUMBER(K1523)),ROUND(J1523*(1+K1523/30),1),"")</f>
        <v/>
      </c>
      <c r="W1523" s="22"/>
      <c r="X1523" s="21" t="str">
        <f aca="false">IF(AND(F1523="Bilbo",E1523&lt;&gt;"",G1523&lt;&gt;"",H1523&lt;&gt;""),E1523&amp;"|"&amp;G1523&amp;"|"&amp;H1523,"")</f>
        <v/>
      </c>
      <c r="Y1523" s="21" t="str">
        <f aca="false">IF(B1523="","",IF(B1523&lt;&gt;B1522,1,0))</f>
        <v/>
      </c>
    </row>
    <row r="1524" customFormat="false" ht="15" hidden="false" customHeight="true" outlineLevel="0" collapsed="false">
      <c r="A1524" s="21" t="str">
        <f aca="false">IF(B1524="","",ROW()-4)</f>
        <v/>
      </c>
      <c r="B1524" s="22"/>
      <c r="C1524" s="21" t="str">
        <f aca="false">IF(B1524="","",CHOOSE(WEEKDAY(B1524,2),"LUNES","MARTES","MIÉRCOLES","JUEVES","VIERNES","SÁBADO","DOMINGO"))</f>
        <v/>
      </c>
      <c r="M1524" s="23"/>
      <c r="Q1524" s="21" t="str">
        <f aca="false">IF(OR(K1524="",N1524=""),"",K1524-N1524)</f>
        <v/>
      </c>
      <c r="R1524" s="21" t="str">
        <f aca="false">IF(OR(J1524="",K1524=""),"",J1524*K1524)</f>
        <v/>
      </c>
      <c r="S1524" s="21" t="str">
        <f aca="false">IF(AND(ISNUMBER(J1524),ISNUMBER(K1524),F1524&lt;&gt;"Calentamiento",F1524&lt;&gt;"Bilbo"),IF(AND(K1524&gt;0,K1524&lt;=12),ROUND(J1524*(1+(K1524+IF(ISNUMBER(L1524),L1524,0))/30),1),""),"")</f>
        <v/>
      </c>
      <c r="T1524" s="21" t="str">
        <f aca="false">IF(AND(F1524="Bilbo",ISNUMBER(J1524),ISNUMBER(K1524)),ROUND(J1524*(1+K1524/30),1),"")</f>
        <v/>
      </c>
      <c r="W1524" s="22"/>
      <c r="X1524" s="21" t="str">
        <f aca="false">IF(AND(F1524="Bilbo",E1524&lt;&gt;"",G1524&lt;&gt;"",H1524&lt;&gt;""),E1524&amp;"|"&amp;G1524&amp;"|"&amp;H1524,"")</f>
        <v/>
      </c>
      <c r="Y1524" s="21" t="str">
        <f aca="false">IF(B1524="","",IF(B1524&lt;&gt;B1523,1,0))</f>
        <v/>
      </c>
    </row>
    <row r="1525" customFormat="false" ht="15" hidden="false" customHeight="true" outlineLevel="0" collapsed="false">
      <c r="A1525" s="21" t="str">
        <f aca="false">IF(B1525="","",ROW()-4)</f>
        <v/>
      </c>
      <c r="B1525" s="22"/>
      <c r="C1525" s="21" t="str">
        <f aca="false">IF(B1525="","",CHOOSE(WEEKDAY(B1525,2),"LUNES","MARTES","MIÉRCOLES","JUEVES","VIERNES","SÁBADO","DOMINGO"))</f>
        <v/>
      </c>
      <c r="M1525" s="23"/>
      <c r="Q1525" s="21" t="str">
        <f aca="false">IF(OR(K1525="",N1525=""),"",K1525-N1525)</f>
        <v/>
      </c>
      <c r="R1525" s="21" t="str">
        <f aca="false">IF(OR(J1525="",K1525=""),"",J1525*K1525)</f>
        <v/>
      </c>
      <c r="S1525" s="21" t="str">
        <f aca="false">IF(AND(ISNUMBER(J1525),ISNUMBER(K1525),F1525&lt;&gt;"Calentamiento",F1525&lt;&gt;"Bilbo"),IF(AND(K1525&gt;0,K1525&lt;=12),ROUND(J1525*(1+(K1525+IF(ISNUMBER(L1525),L1525,0))/30),1),""),"")</f>
        <v/>
      </c>
      <c r="T1525" s="21" t="str">
        <f aca="false">IF(AND(F1525="Bilbo",ISNUMBER(J1525),ISNUMBER(K1525)),ROUND(J1525*(1+K1525/30),1),"")</f>
        <v/>
      </c>
      <c r="W1525" s="22"/>
      <c r="X1525" s="21" t="str">
        <f aca="false">IF(AND(F1525="Bilbo",E1525&lt;&gt;"",G1525&lt;&gt;"",H1525&lt;&gt;""),E1525&amp;"|"&amp;G1525&amp;"|"&amp;H1525,"")</f>
        <v/>
      </c>
      <c r="Y1525" s="21" t="str">
        <f aca="false">IF(B1525="","",IF(B1525&lt;&gt;B1524,1,0))</f>
        <v/>
      </c>
    </row>
    <row r="1526" customFormat="false" ht="15" hidden="false" customHeight="true" outlineLevel="0" collapsed="false">
      <c r="A1526" s="21" t="str">
        <f aca="false">IF(B1526="","",ROW()-4)</f>
        <v/>
      </c>
      <c r="B1526" s="22"/>
      <c r="C1526" s="21" t="str">
        <f aca="false">IF(B1526="","",CHOOSE(WEEKDAY(B1526,2),"LUNES","MARTES","MIÉRCOLES","JUEVES","VIERNES","SÁBADO","DOMINGO"))</f>
        <v/>
      </c>
      <c r="M1526" s="23"/>
      <c r="Q1526" s="21" t="str">
        <f aca="false">IF(OR(K1526="",N1526=""),"",K1526-N1526)</f>
        <v/>
      </c>
      <c r="R1526" s="21" t="str">
        <f aca="false">IF(OR(J1526="",K1526=""),"",J1526*K1526)</f>
        <v/>
      </c>
      <c r="S1526" s="21" t="str">
        <f aca="false">IF(AND(ISNUMBER(J1526),ISNUMBER(K1526),F1526&lt;&gt;"Calentamiento",F1526&lt;&gt;"Bilbo"),IF(AND(K1526&gt;0,K1526&lt;=12),ROUND(J1526*(1+(K1526+IF(ISNUMBER(L1526),L1526,0))/30),1),""),"")</f>
        <v/>
      </c>
      <c r="T1526" s="21" t="str">
        <f aca="false">IF(AND(F1526="Bilbo",ISNUMBER(J1526),ISNUMBER(K1526)),ROUND(J1526*(1+K1526/30),1),"")</f>
        <v/>
      </c>
      <c r="W1526" s="22"/>
      <c r="X1526" s="21" t="str">
        <f aca="false">IF(AND(F1526="Bilbo",E1526&lt;&gt;"",G1526&lt;&gt;"",H1526&lt;&gt;""),E1526&amp;"|"&amp;G1526&amp;"|"&amp;H1526,"")</f>
        <v/>
      </c>
      <c r="Y1526" s="21" t="str">
        <f aca="false">IF(B1526="","",IF(B1526&lt;&gt;B1525,1,0))</f>
        <v/>
      </c>
    </row>
    <row r="1527" customFormat="false" ht="15" hidden="false" customHeight="true" outlineLevel="0" collapsed="false">
      <c r="A1527" s="21" t="str">
        <f aca="false">IF(B1527="","",ROW()-4)</f>
        <v/>
      </c>
      <c r="B1527" s="22"/>
      <c r="C1527" s="21" t="str">
        <f aca="false">IF(B1527="","",CHOOSE(WEEKDAY(B1527,2),"LUNES","MARTES","MIÉRCOLES","JUEVES","VIERNES","SÁBADO","DOMINGO"))</f>
        <v/>
      </c>
      <c r="M1527" s="23"/>
      <c r="Q1527" s="21" t="str">
        <f aca="false">IF(OR(K1527="",N1527=""),"",K1527-N1527)</f>
        <v/>
      </c>
      <c r="R1527" s="21" t="str">
        <f aca="false">IF(OR(J1527="",K1527=""),"",J1527*K1527)</f>
        <v/>
      </c>
      <c r="S1527" s="21" t="str">
        <f aca="false">IF(AND(ISNUMBER(J1527),ISNUMBER(K1527),F1527&lt;&gt;"Calentamiento",F1527&lt;&gt;"Bilbo"),IF(AND(K1527&gt;0,K1527&lt;=12),ROUND(J1527*(1+(K1527+IF(ISNUMBER(L1527),L1527,0))/30),1),""),"")</f>
        <v/>
      </c>
      <c r="T1527" s="21" t="str">
        <f aca="false">IF(AND(F1527="Bilbo",ISNUMBER(J1527),ISNUMBER(K1527)),ROUND(J1527*(1+K1527/30),1),"")</f>
        <v/>
      </c>
      <c r="W1527" s="22"/>
      <c r="X1527" s="21" t="str">
        <f aca="false">IF(AND(F1527="Bilbo",E1527&lt;&gt;"",G1527&lt;&gt;"",H1527&lt;&gt;""),E1527&amp;"|"&amp;G1527&amp;"|"&amp;H1527,"")</f>
        <v/>
      </c>
      <c r="Y1527" s="21" t="str">
        <f aca="false">IF(B1527="","",IF(B1527&lt;&gt;B1526,1,0))</f>
        <v/>
      </c>
    </row>
    <row r="1528" customFormat="false" ht="15" hidden="false" customHeight="true" outlineLevel="0" collapsed="false">
      <c r="A1528" s="21" t="str">
        <f aca="false">IF(B1528="","",ROW()-4)</f>
        <v/>
      </c>
      <c r="B1528" s="22"/>
      <c r="C1528" s="21" t="str">
        <f aca="false">IF(B1528="","",CHOOSE(WEEKDAY(B1528,2),"LUNES","MARTES","MIÉRCOLES","JUEVES","VIERNES","SÁBADO","DOMINGO"))</f>
        <v/>
      </c>
      <c r="M1528" s="23"/>
      <c r="Q1528" s="21" t="str">
        <f aca="false">IF(OR(K1528="",N1528=""),"",K1528-N1528)</f>
        <v/>
      </c>
      <c r="R1528" s="21" t="str">
        <f aca="false">IF(OR(J1528="",K1528=""),"",J1528*K1528)</f>
        <v/>
      </c>
      <c r="S1528" s="21" t="str">
        <f aca="false">IF(AND(ISNUMBER(J1528),ISNUMBER(K1528),F1528&lt;&gt;"Calentamiento",F1528&lt;&gt;"Bilbo"),IF(AND(K1528&gt;0,K1528&lt;=12),ROUND(J1528*(1+(K1528+IF(ISNUMBER(L1528),L1528,0))/30),1),""),"")</f>
        <v/>
      </c>
      <c r="T1528" s="21" t="str">
        <f aca="false">IF(AND(F1528="Bilbo",ISNUMBER(J1528),ISNUMBER(K1528)),ROUND(J1528*(1+K1528/30),1),"")</f>
        <v/>
      </c>
      <c r="W1528" s="22"/>
      <c r="X1528" s="21" t="str">
        <f aca="false">IF(AND(F1528="Bilbo",E1528&lt;&gt;"",G1528&lt;&gt;"",H1528&lt;&gt;""),E1528&amp;"|"&amp;G1528&amp;"|"&amp;H1528,"")</f>
        <v/>
      </c>
      <c r="Y1528" s="21" t="str">
        <f aca="false">IF(B1528="","",IF(B1528&lt;&gt;B1527,1,0))</f>
        <v/>
      </c>
    </row>
    <row r="1529" customFormat="false" ht="15" hidden="false" customHeight="true" outlineLevel="0" collapsed="false">
      <c r="A1529" s="21" t="str">
        <f aca="false">IF(B1529="","",ROW()-4)</f>
        <v/>
      </c>
      <c r="B1529" s="22"/>
      <c r="C1529" s="21" t="str">
        <f aca="false">IF(B1529="","",CHOOSE(WEEKDAY(B1529,2),"LUNES","MARTES","MIÉRCOLES","JUEVES","VIERNES","SÁBADO","DOMINGO"))</f>
        <v/>
      </c>
      <c r="M1529" s="23"/>
      <c r="Q1529" s="21" t="str">
        <f aca="false">IF(OR(K1529="",N1529=""),"",K1529-N1529)</f>
        <v/>
      </c>
      <c r="R1529" s="21" t="str">
        <f aca="false">IF(OR(J1529="",K1529=""),"",J1529*K1529)</f>
        <v/>
      </c>
      <c r="S1529" s="21" t="str">
        <f aca="false">IF(AND(ISNUMBER(J1529),ISNUMBER(K1529),F1529&lt;&gt;"Calentamiento",F1529&lt;&gt;"Bilbo"),IF(AND(K1529&gt;0,K1529&lt;=12),ROUND(J1529*(1+(K1529+IF(ISNUMBER(L1529),L1529,0))/30),1),""),"")</f>
        <v/>
      </c>
      <c r="T1529" s="21" t="str">
        <f aca="false">IF(AND(F1529="Bilbo",ISNUMBER(J1529),ISNUMBER(K1529)),ROUND(J1529*(1+K1529/30),1),"")</f>
        <v/>
      </c>
      <c r="W1529" s="22"/>
      <c r="X1529" s="21" t="str">
        <f aca="false">IF(AND(F1529="Bilbo",E1529&lt;&gt;"",G1529&lt;&gt;"",H1529&lt;&gt;""),E1529&amp;"|"&amp;G1529&amp;"|"&amp;H1529,"")</f>
        <v/>
      </c>
      <c r="Y1529" s="21" t="str">
        <f aca="false">IF(B1529="","",IF(B1529&lt;&gt;B1528,1,0))</f>
        <v/>
      </c>
    </row>
    <row r="1530" customFormat="false" ht="15" hidden="false" customHeight="true" outlineLevel="0" collapsed="false">
      <c r="A1530" s="21" t="str">
        <f aca="false">IF(B1530="","",ROW()-4)</f>
        <v/>
      </c>
      <c r="B1530" s="22"/>
      <c r="C1530" s="21" t="str">
        <f aca="false">IF(B1530="","",CHOOSE(WEEKDAY(B1530,2),"LUNES","MARTES","MIÉRCOLES","JUEVES","VIERNES","SÁBADO","DOMINGO"))</f>
        <v/>
      </c>
      <c r="M1530" s="23"/>
      <c r="Q1530" s="21" t="str">
        <f aca="false">IF(OR(K1530="",N1530=""),"",K1530-N1530)</f>
        <v/>
      </c>
      <c r="R1530" s="21" t="str">
        <f aca="false">IF(OR(J1530="",K1530=""),"",J1530*K1530)</f>
        <v/>
      </c>
      <c r="S1530" s="21" t="str">
        <f aca="false">IF(AND(ISNUMBER(J1530),ISNUMBER(K1530),F1530&lt;&gt;"Calentamiento",F1530&lt;&gt;"Bilbo"),IF(AND(K1530&gt;0,K1530&lt;=12),ROUND(J1530*(1+(K1530+IF(ISNUMBER(L1530),L1530,0))/30),1),""),"")</f>
        <v/>
      </c>
      <c r="T1530" s="21" t="str">
        <f aca="false">IF(AND(F1530="Bilbo",ISNUMBER(J1530),ISNUMBER(K1530)),ROUND(J1530*(1+K1530/30),1),"")</f>
        <v/>
      </c>
      <c r="W1530" s="22"/>
      <c r="X1530" s="21" t="str">
        <f aca="false">IF(AND(F1530="Bilbo",E1530&lt;&gt;"",G1530&lt;&gt;"",H1530&lt;&gt;""),E1530&amp;"|"&amp;G1530&amp;"|"&amp;H1530,"")</f>
        <v/>
      </c>
      <c r="Y1530" s="21" t="str">
        <f aca="false">IF(B1530="","",IF(B1530&lt;&gt;B1529,1,0))</f>
        <v/>
      </c>
    </row>
    <row r="1531" customFormat="false" ht="15" hidden="false" customHeight="true" outlineLevel="0" collapsed="false">
      <c r="A1531" s="21" t="str">
        <f aca="false">IF(B1531="","",ROW()-4)</f>
        <v/>
      </c>
      <c r="B1531" s="22"/>
      <c r="C1531" s="21" t="str">
        <f aca="false">IF(B1531="","",CHOOSE(WEEKDAY(B1531,2),"LUNES","MARTES","MIÉRCOLES","JUEVES","VIERNES","SÁBADO","DOMINGO"))</f>
        <v/>
      </c>
      <c r="M1531" s="23"/>
      <c r="Q1531" s="21" t="str">
        <f aca="false">IF(OR(K1531="",N1531=""),"",K1531-N1531)</f>
        <v/>
      </c>
      <c r="R1531" s="21" t="str">
        <f aca="false">IF(OR(J1531="",K1531=""),"",J1531*K1531)</f>
        <v/>
      </c>
      <c r="S1531" s="21" t="str">
        <f aca="false">IF(AND(ISNUMBER(J1531),ISNUMBER(K1531),F1531&lt;&gt;"Calentamiento",F1531&lt;&gt;"Bilbo"),IF(AND(K1531&gt;0,K1531&lt;=12),ROUND(J1531*(1+(K1531+IF(ISNUMBER(L1531),L1531,0))/30),1),""),"")</f>
        <v/>
      </c>
      <c r="T1531" s="21" t="str">
        <f aca="false">IF(AND(F1531="Bilbo",ISNUMBER(J1531),ISNUMBER(K1531)),ROUND(J1531*(1+K1531/30),1),"")</f>
        <v/>
      </c>
      <c r="W1531" s="22"/>
      <c r="X1531" s="21" t="str">
        <f aca="false">IF(AND(F1531="Bilbo",E1531&lt;&gt;"",G1531&lt;&gt;"",H1531&lt;&gt;""),E1531&amp;"|"&amp;G1531&amp;"|"&amp;H1531,"")</f>
        <v/>
      </c>
      <c r="Y1531" s="21" t="str">
        <f aca="false">IF(B1531="","",IF(B1531&lt;&gt;B1530,1,0))</f>
        <v/>
      </c>
    </row>
    <row r="1532" customFormat="false" ht="15" hidden="false" customHeight="true" outlineLevel="0" collapsed="false">
      <c r="A1532" s="21" t="str">
        <f aca="false">IF(B1532="","",ROW()-4)</f>
        <v/>
      </c>
      <c r="B1532" s="22"/>
      <c r="C1532" s="21" t="str">
        <f aca="false">IF(B1532="","",CHOOSE(WEEKDAY(B1532,2),"LUNES","MARTES","MIÉRCOLES","JUEVES","VIERNES","SÁBADO","DOMINGO"))</f>
        <v/>
      </c>
      <c r="M1532" s="23"/>
      <c r="Q1532" s="21" t="str">
        <f aca="false">IF(OR(K1532="",N1532=""),"",K1532-N1532)</f>
        <v/>
      </c>
      <c r="R1532" s="21" t="str">
        <f aca="false">IF(OR(J1532="",K1532=""),"",J1532*K1532)</f>
        <v/>
      </c>
      <c r="S1532" s="21" t="str">
        <f aca="false">IF(AND(ISNUMBER(J1532),ISNUMBER(K1532),F1532&lt;&gt;"Calentamiento",F1532&lt;&gt;"Bilbo"),IF(AND(K1532&gt;0,K1532&lt;=12),ROUND(J1532*(1+(K1532+IF(ISNUMBER(L1532),L1532,0))/30),1),""),"")</f>
        <v/>
      </c>
      <c r="T1532" s="21" t="str">
        <f aca="false">IF(AND(F1532="Bilbo",ISNUMBER(J1532),ISNUMBER(K1532)),ROUND(J1532*(1+K1532/30),1),"")</f>
        <v/>
      </c>
      <c r="W1532" s="22"/>
      <c r="X1532" s="21" t="str">
        <f aca="false">IF(AND(F1532="Bilbo",E1532&lt;&gt;"",G1532&lt;&gt;"",H1532&lt;&gt;""),E1532&amp;"|"&amp;G1532&amp;"|"&amp;H1532,"")</f>
        <v/>
      </c>
      <c r="Y1532" s="21" t="str">
        <f aca="false">IF(B1532="","",IF(B1532&lt;&gt;B1531,1,0))</f>
        <v/>
      </c>
    </row>
    <row r="1533" customFormat="false" ht="15" hidden="false" customHeight="true" outlineLevel="0" collapsed="false">
      <c r="A1533" s="21" t="str">
        <f aca="false">IF(B1533="","",ROW()-4)</f>
        <v/>
      </c>
      <c r="B1533" s="22"/>
      <c r="C1533" s="21" t="str">
        <f aca="false">IF(B1533="","",CHOOSE(WEEKDAY(B1533,2),"LUNES","MARTES","MIÉRCOLES","JUEVES","VIERNES","SÁBADO","DOMINGO"))</f>
        <v/>
      </c>
      <c r="M1533" s="23"/>
      <c r="Q1533" s="21" t="str">
        <f aca="false">IF(OR(K1533="",N1533=""),"",K1533-N1533)</f>
        <v/>
      </c>
      <c r="R1533" s="21" t="str">
        <f aca="false">IF(OR(J1533="",K1533=""),"",J1533*K1533)</f>
        <v/>
      </c>
      <c r="S1533" s="21" t="str">
        <f aca="false">IF(AND(ISNUMBER(J1533),ISNUMBER(K1533),F1533&lt;&gt;"Calentamiento",F1533&lt;&gt;"Bilbo"),IF(AND(K1533&gt;0,K1533&lt;=12),ROUND(J1533*(1+(K1533+IF(ISNUMBER(L1533),L1533,0))/30),1),""),"")</f>
        <v/>
      </c>
      <c r="T1533" s="21" t="str">
        <f aca="false">IF(AND(F1533="Bilbo",ISNUMBER(J1533),ISNUMBER(K1533)),ROUND(J1533*(1+K1533/30),1),"")</f>
        <v/>
      </c>
      <c r="W1533" s="22"/>
      <c r="X1533" s="21" t="str">
        <f aca="false">IF(AND(F1533="Bilbo",E1533&lt;&gt;"",G1533&lt;&gt;"",H1533&lt;&gt;""),E1533&amp;"|"&amp;G1533&amp;"|"&amp;H1533,"")</f>
        <v/>
      </c>
      <c r="Y1533" s="21" t="str">
        <f aca="false">IF(B1533="","",IF(B1533&lt;&gt;B1532,1,0))</f>
        <v/>
      </c>
    </row>
    <row r="1534" customFormat="false" ht="15" hidden="false" customHeight="true" outlineLevel="0" collapsed="false">
      <c r="A1534" s="21" t="str">
        <f aca="false">IF(B1534="","",ROW()-4)</f>
        <v/>
      </c>
      <c r="B1534" s="22"/>
      <c r="C1534" s="21" t="str">
        <f aca="false">IF(B1534="","",CHOOSE(WEEKDAY(B1534,2),"LUNES","MARTES","MIÉRCOLES","JUEVES","VIERNES","SÁBADO","DOMINGO"))</f>
        <v/>
      </c>
      <c r="M1534" s="23"/>
      <c r="Q1534" s="21" t="str">
        <f aca="false">IF(OR(K1534="",N1534=""),"",K1534-N1534)</f>
        <v/>
      </c>
      <c r="R1534" s="21" t="str">
        <f aca="false">IF(OR(J1534="",K1534=""),"",J1534*K1534)</f>
        <v/>
      </c>
      <c r="S1534" s="21" t="str">
        <f aca="false">IF(AND(ISNUMBER(J1534),ISNUMBER(K1534),F1534&lt;&gt;"Calentamiento",F1534&lt;&gt;"Bilbo"),IF(AND(K1534&gt;0,K1534&lt;=12),ROUND(J1534*(1+(K1534+IF(ISNUMBER(L1534),L1534,0))/30),1),""),"")</f>
        <v/>
      </c>
      <c r="T1534" s="21" t="str">
        <f aca="false">IF(AND(F1534="Bilbo",ISNUMBER(J1534),ISNUMBER(K1534)),ROUND(J1534*(1+K1534/30),1),"")</f>
        <v/>
      </c>
      <c r="W1534" s="22"/>
      <c r="X1534" s="21" t="str">
        <f aca="false">IF(AND(F1534="Bilbo",E1534&lt;&gt;"",G1534&lt;&gt;"",H1534&lt;&gt;""),E1534&amp;"|"&amp;G1534&amp;"|"&amp;H1534,"")</f>
        <v/>
      </c>
      <c r="Y1534" s="21" t="str">
        <f aca="false">IF(B1534="","",IF(B1534&lt;&gt;B1533,1,0))</f>
        <v/>
      </c>
    </row>
    <row r="1535" customFormat="false" ht="15" hidden="false" customHeight="true" outlineLevel="0" collapsed="false">
      <c r="A1535" s="21" t="str">
        <f aca="false">IF(B1535="","",ROW()-4)</f>
        <v/>
      </c>
      <c r="B1535" s="22"/>
      <c r="C1535" s="21" t="str">
        <f aca="false">IF(B1535="","",CHOOSE(WEEKDAY(B1535,2),"LUNES","MARTES","MIÉRCOLES","JUEVES","VIERNES","SÁBADO","DOMINGO"))</f>
        <v/>
      </c>
      <c r="M1535" s="23"/>
      <c r="Q1535" s="21" t="str">
        <f aca="false">IF(OR(K1535="",N1535=""),"",K1535-N1535)</f>
        <v/>
      </c>
      <c r="R1535" s="21" t="str">
        <f aca="false">IF(OR(J1535="",K1535=""),"",J1535*K1535)</f>
        <v/>
      </c>
      <c r="S1535" s="21" t="str">
        <f aca="false">IF(AND(ISNUMBER(J1535),ISNUMBER(K1535),F1535&lt;&gt;"Calentamiento",F1535&lt;&gt;"Bilbo"),IF(AND(K1535&gt;0,K1535&lt;=12),ROUND(J1535*(1+(K1535+IF(ISNUMBER(L1535),L1535,0))/30),1),""),"")</f>
        <v/>
      </c>
      <c r="T1535" s="21" t="str">
        <f aca="false">IF(AND(F1535="Bilbo",ISNUMBER(J1535),ISNUMBER(K1535)),ROUND(J1535*(1+K1535/30),1),"")</f>
        <v/>
      </c>
      <c r="W1535" s="22"/>
      <c r="X1535" s="21" t="str">
        <f aca="false">IF(AND(F1535="Bilbo",E1535&lt;&gt;"",G1535&lt;&gt;"",H1535&lt;&gt;""),E1535&amp;"|"&amp;G1535&amp;"|"&amp;H1535,"")</f>
        <v/>
      </c>
      <c r="Y1535" s="21" t="str">
        <f aca="false">IF(B1535="","",IF(B1535&lt;&gt;B1534,1,0))</f>
        <v/>
      </c>
    </row>
    <row r="1536" customFormat="false" ht="15" hidden="false" customHeight="true" outlineLevel="0" collapsed="false">
      <c r="A1536" s="21" t="str">
        <f aca="false">IF(B1536="","",ROW()-4)</f>
        <v/>
      </c>
      <c r="B1536" s="22"/>
      <c r="C1536" s="21" t="str">
        <f aca="false">IF(B1536="","",CHOOSE(WEEKDAY(B1536,2),"LUNES","MARTES","MIÉRCOLES","JUEVES","VIERNES","SÁBADO","DOMINGO"))</f>
        <v/>
      </c>
      <c r="M1536" s="23"/>
      <c r="Q1536" s="21" t="str">
        <f aca="false">IF(OR(K1536="",N1536=""),"",K1536-N1536)</f>
        <v/>
      </c>
      <c r="R1536" s="21" t="str">
        <f aca="false">IF(OR(J1536="",K1536=""),"",J1536*K1536)</f>
        <v/>
      </c>
      <c r="S1536" s="21" t="str">
        <f aca="false">IF(AND(ISNUMBER(J1536),ISNUMBER(K1536),F1536&lt;&gt;"Calentamiento",F1536&lt;&gt;"Bilbo"),IF(AND(K1536&gt;0,K1536&lt;=12),ROUND(J1536*(1+(K1536+IF(ISNUMBER(L1536),L1536,0))/30),1),""),"")</f>
        <v/>
      </c>
      <c r="T1536" s="21" t="str">
        <f aca="false">IF(AND(F1536="Bilbo",ISNUMBER(J1536),ISNUMBER(K1536)),ROUND(J1536*(1+K1536/30),1),"")</f>
        <v/>
      </c>
      <c r="W1536" s="22"/>
      <c r="X1536" s="21" t="str">
        <f aca="false">IF(AND(F1536="Bilbo",E1536&lt;&gt;"",G1536&lt;&gt;"",H1536&lt;&gt;""),E1536&amp;"|"&amp;G1536&amp;"|"&amp;H1536,"")</f>
        <v/>
      </c>
      <c r="Y1536" s="21" t="str">
        <f aca="false">IF(B1536="","",IF(B1536&lt;&gt;B1535,1,0))</f>
        <v/>
      </c>
    </row>
    <row r="1537" customFormat="false" ht="15" hidden="false" customHeight="true" outlineLevel="0" collapsed="false">
      <c r="A1537" s="21" t="str">
        <f aca="false">IF(B1537="","",ROW()-4)</f>
        <v/>
      </c>
      <c r="B1537" s="22"/>
      <c r="C1537" s="21" t="str">
        <f aca="false">IF(B1537="","",CHOOSE(WEEKDAY(B1537,2),"LUNES","MARTES","MIÉRCOLES","JUEVES","VIERNES","SÁBADO","DOMINGO"))</f>
        <v/>
      </c>
      <c r="M1537" s="23"/>
      <c r="Q1537" s="21" t="str">
        <f aca="false">IF(OR(K1537="",N1537=""),"",K1537-N1537)</f>
        <v/>
      </c>
      <c r="R1537" s="21" t="str">
        <f aca="false">IF(OR(J1537="",K1537=""),"",J1537*K1537)</f>
        <v/>
      </c>
      <c r="S1537" s="21" t="str">
        <f aca="false">IF(AND(ISNUMBER(J1537),ISNUMBER(K1537),F1537&lt;&gt;"Calentamiento",F1537&lt;&gt;"Bilbo"),IF(AND(K1537&gt;0,K1537&lt;=12),ROUND(J1537*(1+(K1537+IF(ISNUMBER(L1537),L1537,0))/30),1),""),"")</f>
        <v/>
      </c>
      <c r="T1537" s="21" t="str">
        <f aca="false">IF(AND(F1537="Bilbo",ISNUMBER(J1537),ISNUMBER(K1537)),ROUND(J1537*(1+K1537/30),1),"")</f>
        <v/>
      </c>
      <c r="W1537" s="22"/>
      <c r="X1537" s="21" t="str">
        <f aca="false">IF(AND(F1537="Bilbo",E1537&lt;&gt;"",G1537&lt;&gt;"",H1537&lt;&gt;""),E1537&amp;"|"&amp;G1537&amp;"|"&amp;H1537,"")</f>
        <v/>
      </c>
      <c r="Y1537" s="21" t="str">
        <f aca="false">IF(B1537="","",IF(B1537&lt;&gt;B1536,1,0))</f>
        <v/>
      </c>
    </row>
    <row r="1538" customFormat="false" ht="15" hidden="false" customHeight="true" outlineLevel="0" collapsed="false">
      <c r="A1538" s="21" t="str">
        <f aca="false">IF(B1538="","",ROW()-4)</f>
        <v/>
      </c>
      <c r="B1538" s="22"/>
      <c r="C1538" s="21" t="str">
        <f aca="false">IF(B1538="","",CHOOSE(WEEKDAY(B1538,2),"LUNES","MARTES","MIÉRCOLES","JUEVES","VIERNES","SÁBADO","DOMINGO"))</f>
        <v/>
      </c>
      <c r="M1538" s="23"/>
      <c r="Q1538" s="21" t="str">
        <f aca="false">IF(OR(K1538="",N1538=""),"",K1538-N1538)</f>
        <v/>
      </c>
      <c r="R1538" s="21" t="str">
        <f aca="false">IF(OR(J1538="",K1538=""),"",J1538*K1538)</f>
        <v/>
      </c>
      <c r="S1538" s="21" t="str">
        <f aca="false">IF(AND(ISNUMBER(J1538),ISNUMBER(K1538),F1538&lt;&gt;"Calentamiento",F1538&lt;&gt;"Bilbo"),IF(AND(K1538&gt;0,K1538&lt;=12),ROUND(J1538*(1+(K1538+IF(ISNUMBER(L1538),L1538,0))/30),1),""),"")</f>
        <v/>
      </c>
      <c r="T1538" s="21" t="str">
        <f aca="false">IF(AND(F1538="Bilbo",ISNUMBER(J1538),ISNUMBER(K1538)),ROUND(J1538*(1+K1538/30),1),"")</f>
        <v/>
      </c>
      <c r="W1538" s="22"/>
      <c r="X1538" s="21" t="str">
        <f aca="false">IF(AND(F1538="Bilbo",E1538&lt;&gt;"",G1538&lt;&gt;"",H1538&lt;&gt;""),E1538&amp;"|"&amp;G1538&amp;"|"&amp;H1538,"")</f>
        <v/>
      </c>
      <c r="Y1538" s="21" t="str">
        <f aca="false">IF(B1538="","",IF(B1538&lt;&gt;B1537,1,0))</f>
        <v/>
      </c>
    </row>
    <row r="1539" customFormat="false" ht="15" hidden="false" customHeight="true" outlineLevel="0" collapsed="false">
      <c r="A1539" s="21" t="str">
        <f aca="false">IF(B1539="","",ROW()-4)</f>
        <v/>
      </c>
      <c r="B1539" s="22"/>
      <c r="C1539" s="21" t="str">
        <f aca="false">IF(B1539="","",CHOOSE(WEEKDAY(B1539,2),"LUNES","MARTES","MIÉRCOLES","JUEVES","VIERNES","SÁBADO","DOMINGO"))</f>
        <v/>
      </c>
      <c r="M1539" s="23"/>
      <c r="Q1539" s="21" t="str">
        <f aca="false">IF(OR(K1539="",N1539=""),"",K1539-N1539)</f>
        <v/>
      </c>
      <c r="R1539" s="21" t="str">
        <f aca="false">IF(OR(J1539="",K1539=""),"",J1539*K1539)</f>
        <v/>
      </c>
      <c r="S1539" s="21" t="str">
        <f aca="false">IF(AND(ISNUMBER(J1539),ISNUMBER(K1539),F1539&lt;&gt;"Calentamiento",F1539&lt;&gt;"Bilbo"),IF(AND(K1539&gt;0,K1539&lt;=12),ROUND(J1539*(1+(K1539+IF(ISNUMBER(L1539),L1539,0))/30),1),""),"")</f>
        <v/>
      </c>
      <c r="T1539" s="21" t="str">
        <f aca="false">IF(AND(F1539="Bilbo",ISNUMBER(J1539),ISNUMBER(K1539)),ROUND(J1539*(1+K1539/30),1),"")</f>
        <v/>
      </c>
      <c r="W1539" s="22"/>
      <c r="X1539" s="21" t="str">
        <f aca="false">IF(AND(F1539="Bilbo",E1539&lt;&gt;"",G1539&lt;&gt;"",H1539&lt;&gt;""),E1539&amp;"|"&amp;G1539&amp;"|"&amp;H1539,"")</f>
        <v/>
      </c>
      <c r="Y1539" s="21" t="str">
        <f aca="false">IF(B1539="","",IF(B1539&lt;&gt;B1538,1,0))</f>
        <v/>
      </c>
    </row>
    <row r="1540" customFormat="false" ht="15" hidden="false" customHeight="true" outlineLevel="0" collapsed="false">
      <c r="A1540" s="21" t="str">
        <f aca="false">IF(B1540="","",ROW()-4)</f>
        <v/>
      </c>
      <c r="B1540" s="22"/>
      <c r="C1540" s="21" t="str">
        <f aca="false">IF(B1540="","",CHOOSE(WEEKDAY(B1540,2),"LUNES","MARTES","MIÉRCOLES","JUEVES","VIERNES","SÁBADO","DOMINGO"))</f>
        <v/>
      </c>
      <c r="M1540" s="23"/>
      <c r="Q1540" s="21" t="str">
        <f aca="false">IF(OR(K1540="",N1540=""),"",K1540-N1540)</f>
        <v/>
      </c>
      <c r="R1540" s="21" t="str">
        <f aca="false">IF(OR(J1540="",K1540=""),"",J1540*K1540)</f>
        <v/>
      </c>
      <c r="S1540" s="21" t="str">
        <f aca="false">IF(AND(ISNUMBER(J1540),ISNUMBER(K1540),F1540&lt;&gt;"Calentamiento",F1540&lt;&gt;"Bilbo"),IF(AND(K1540&gt;0,K1540&lt;=12),ROUND(J1540*(1+(K1540+IF(ISNUMBER(L1540),L1540,0))/30),1),""),"")</f>
        <v/>
      </c>
      <c r="T1540" s="21" t="str">
        <f aca="false">IF(AND(F1540="Bilbo",ISNUMBER(J1540),ISNUMBER(K1540)),ROUND(J1540*(1+K1540/30),1),"")</f>
        <v/>
      </c>
      <c r="W1540" s="22"/>
      <c r="X1540" s="21" t="str">
        <f aca="false">IF(AND(F1540="Bilbo",E1540&lt;&gt;"",G1540&lt;&gt;"",H1540&lt;&gt;""),E1540&amp;"|"&amp;G1540&amp;"|"&amp;H1540,"")</f>
        <v/>
      </c>
      <c r="Y1540" s="21" t="str">
        <f aca="false">IF(B1540="","",IF(B1540&lt;&gt;B1539,1,0))</f>
        <v/>
      </c>
    </row>
    <row r="1541" customFormat="false" ht="15" hidden="false" customHeight="true" outlineLevel="0" collapsed="false">
      <c r="A1541" s="21" t="str">
        <f aca="false">IF(B1541="","",ROW()-4)</f>
        <v/>
      </c>
      <c r="B1541" s="22"/>
      <c r="C1541" s="21" t="str">
        <f aca="false">IF(B1541="","",CHOOSE(WEEKDAY(B1541,2),"LUNES","MARTES","MIÉRCOLES","JUEVES","VIERNES","SÁBADO","DOMINGO"))</f>
        <v/>
      </c>
      <c r="M1541" s="23"/>
      <c r="Q1541" s="21" t="str">
        <f aca="false">IF(OR(K1541="",N1541=""),"",K1541-N1541)</f>
        <v/>
      </c>
      <c r="R1541" s="21" t="str">
        <f aca="false">IF(OR(J1541="",K1541=""),"",J1541*K1541)</f>
        <v/>
      </c>
      <c r="S1541" s="21" t="str">
        <f aca="false">IF(AND(ISNUMBER(J1541),ISNUMBER(K1541),F1541&lt;&gt;"Calentamiento",F1541&lt;&gt;"Bilbo"),IF(AND(K1541&gt;0,K1541&lt;=12),ROUND(J1541*(1+(K1541+IF(ISNUMBER(L1541),L1541,0))/30),1),""),"")</f>
        <v/>
      </c>
      <c r="T1541" s="21" t="str">
        <f aca="false">IF(AND(F1541="Bilbo",ISNUMBER(J1541),ISNUMBER(K1541)),ROUND(J1541*(1+K1541/30),1),"")</f>
        <v/>
      </c>
      <c r="W1541" s="22"/>
      <c r="X1541" s="21" t="str">
        <f aca="false">IF(AND(F1541="Bilbo",E1541&lt;&gt;"",G1541&lt;&gt;"",H1541&lt;&gt;""),E1541&amp;"|"&amp;G1541&amp;"|"&amp;H1541,"")</f>
        <v/>
      </c>
      <c r="Y1541" s="21" t="str">
        <f aca="false">IF(B1541="","",IF(B1541&lt;&gt;B1540,1,0))</f>
        <v/>
      </c>
    </row>
    <row r="1542" customFormat="false" ht="15" hidden="false" customHeight="true" outlineLevel="0" collapsed="false">
      <c r="A1542" s="21" t="str">
        <f aca="false">IF(B1542="","",ROW()-4)</f>
        <v/>
      </c>
      <c r="B1542" s="22"/>
      <c r="C1542" s="21" t="str">
        <f aca="false">IF(B1542="","",CHOOSE(WEEKDAY(B1542,2),"LUNES","MARTES","MIÉRCOLES","JUEVES","VIERNES","SÁBADO","DOMINGO"))</f>
        <v/>
      </c>
      <c r="M1542" s="23"/>
      <c r="Q1542" s="21" t="str">
        <f aca="false">IF(OR(K1542="",N1542=""),"",K1542-N1542)</f>
        <v/>
      </c>
      <c r="R1542" s="21" t="str">
        <f aca="false">IF(OR(J1542="",K1542=""),"",J1542*K1542)</f>
        <v/>
      </c>
      <c r="S1542" s="21" t="str">
        <f aca="false">IF(AND(ISNUMBER(J1542),ISNUMBER(K1542),F1542&lt;&gt;"Calentamiento",F1542&lt;&gt;"Bilbo"),IF(AND(K1542&gt;0,K1542&lt;=12),ROUND(J1542*(1+(K1542+IF(ISNUMBER(L1542),L1542,0))/30),1),""),"")</f>
        <v/>
      </c>
      <c r="T1542" s="21" t="str">
        <f aca="false">IF(AND(F1542="Bilbo",ISNUMBER(J1542),ISNUMBER(K1542)),ROUND(J1542*(1+K1542/30),1),"")</f>
        <v/>
      </c>
      <c r="W1542" s="22"/>
      <c r="X1542" s="21" t="str">
        <f aca="false">IF(AND(F1542="Bilbo",E1542&lt;&gt;"",G1542&lt;&gt;"",H1542&lt;&gt;""),E1542&amp;"|"&amp;G1542&amp;"|"&amp;H1542,"")</f>
        <v/>
      </c>
      <c r="Y1542" s="21" t="str">
        <f aca="false">IF(B1542="","",IF(B1542&lt;&gt;B1541,1,0))</f>
        <v/>
      </c>
    </row>
    <row r="1543" customFormat="false" ht="15" hidden="false" customHeight="true" outlineLevel="0" collapsed="false">
      <c r="A1543" s="21" t="str">
        <f aca="false">IF(B1543="","",ROW()-4)</f>
        <v/>
      </c>
      <c r="B1543" s="22"/>
      <c r="C1543" s="21" t="str">
        <f aca="false">IF(B1543="","",CHOOSE(WEEKDAY(B1543,2),"LUNES","MARTES","MIÉRCOLES","JUEVES","VIERNES","SÁBADO","DOMINGO"))</f>
        <v/>
      </c>
      <c r="M1543" s="23"/>
      <c r="Q1543" s="21" t="str">
        <f aca="false">IF(OR(K1543="",N1543=""),"",K1543-N1543)</f>
        <v/>
      </c>
      <c r="R1543" s="21" t="str">
        <f aca="false">IF(OR(J1543="",K1543=""),"",J1543*K1543)</f>
        <v/>
      </c>
      <c r="S1543" s="21" t="str">
        <f aca="false">IF(AND(ISNUMBER(J1543),ISNUMBER(K1543),F1543&lt;&gt;"Calentamiento",F1543&lt;&gt;"Bilbo"),IF(AND(K1543&gt;0,K1543&lt;=12),ROUND(J1543*(1+(K1543+IF(ISNUMBER(L1543),L1543,0))/30),1),""),"")</f>
        <v/>
      </c>
      <c r="T1543" s="21" t="str">
        <f aca="false">IF(AND(F1543="Bilbo",ISNUMBER(J1543),ISNUMBER(K1543)),ROUND(J1543*(1+K1543/30),1),"")</f>
        <v/>
      </c>
      <c r="W1543" s="22"/>
      <c r="X1543" s="21" t="str">
        <f aca="false">IF(AND(F1543="Bilbo",E1543&lt;&gt;"",G1543&lt;&gt;"",H1543&lt;&gt;""),E1543&amp;"|"&amp;G1543&amp;"|"&amp;H1543,"")</f>
        <v/>
      </c>
      <c r="Y1543" s="21" t="str">
        <f aca="false">IF(B1543="","",IF(B1543&lt;&gt;B1542,1,0))</f>
        <v/>
      </c>
    </row>
    <row r="1544" customFormat="false" ht="15" hidden="false" customHeight="true" outlineLevel="0" collapsed="false">
      <c r="A1544" s="21" t="str">
        <f aca="false">IF(B1544="","",ROW()-4)</f>
        <v/>
      </c>
      <c r="B1544" s="22"/>
      <c r="C1544" s="21" t="str">
        <f aca="false">IF(B1544="","",CHOOSE(WEEKDAY(B1544,2),"LUNES","MARTES","MIÉRCOLES","JUEVES","VIERNES","SÁBADO","DOMINGO"))</f>
        <v/>
      </c>
      <c r="M1544" s="23"/>
      <c r="Q1544" s="21" t="str">
        <f aca="false">IF(OR(K1544="",N1544=""),"",K1544-N1544)</f>
        <v/>
      </c>
      <c r="R1544" s="21" t="str">
        <f aca="false">IF(OR(J1544="",K1544=""),"",J1544*K1544)</f>
        <v/>
      </c>
      <c r="S1544" s="21" t="str">
        <f aca="false">IF(AND(ISNUMBER(J1544),ISNUMBER(K1544),F1544&lt;&gt;"Calentamiento",F1544&lt;&gt;"Bilbo"),IF(AND(K1544&gt;0,K1544&lt;=12),ROUND(J1544*(1+(K1544+IF(ISNUMBER(L1544),L1544,0))/30),1),""),"")</f>
        <v/>
      </c>
      <c r="T1544" s="21" t="str">
        <f aca="false">IF(AND(F1544="Bilbo",ISNUMBER(J1544),ISNUMBER(K1544)),ROUND(J1544*(1+K1544/30),1),"")</f>
        <v/>
      </c>
      <c r="W1544" s="22"/>
      <c r="X1544" s="21" t="str">
        <f aca="false">IF(AND(F1544="Bilbo",E1544&lt;&gt;"",G1544&lt;&gt;"",H1544&lt;&gt;""),E1544&amp;"|"&amp;G1544&amp;"|"&amp;H1544,"")</f>
        <v/>
      </c>
      <c r="Y1544" s="21" t="str">
        <f aca="false">IF(B1544="","",IF(B1544&lt;&gt;B1543,1,0))</f>
        <v/>
      </c>
    </row>
    <row r="1545" customFormat="false" ht="15" hidden="false" customHeight="true" outlineLevel="0" collapsed="false">
      <c r="A1545" s="21" t="str">
        <f aca="false">IF(B1545="","",ROW()-4)</f>
        <v/>
      </c>
      <c r="B1545" s="22"/>
      <c r="C1545" s="21" t="str">
        <f aca="false">IF(B1545="","",CHOOSE(WEEKDAY(B1545,2),"LUNES","MARTES","MIÉRCOLES","JUEVES","VIERNES","SÁBADO","DOMINGO"))</f>
        <v/>
      </c>
      <c r="M1545" s="23"/>
      <c r="Q1545" s="21" t="str">
        <f aca="false">IF(OR(K1545="",N1545=""),"",K1545-N1545)</f>
        <v/>
      </c>
      <c r="R1545" s="21" t="str">
        <f aca="false">IF(OR(J1545="",K1545=""),"",J1545*K1545)</f>
        <v/>
      </c>
      <c r="S1545" s="21" t="str">
        <f aca="false">IF(AND(ISNUMBER(J1545),ISNUMBER(K1545),F1545&lt;&gt;"Calentamiento",F1545&lt;&gt;"Bilbo"),IF(AND(K1545&gt;0,K1545&lt;=12),ROUND(J1545*(1+(K1545+IF(ISNUMBER(L1545),L1545,0))/30),1),""),"")</f>
        <v/>
      </c>
      <c r="T1545" s="21" t="str">
        <f aca="false">IF(AND(F1545="Bilbo",ISNUMBER(J1545),ISNUMBER(K1545)),ROUND(J1545*(1+K1545/30),1),"")</f>
        <v/>
      </c>
      <c r="W1545" s="22"/>
      <c r="X1545" s="21" t="str">
        <f aca="false">IF(AND(F1545="Bilbo",E1545&lt;&gt;"",G1545&lt;&gt;"",H1545&lt;&gt;""),E1545&amp;"|"&amp;G1545&amp;"|"&amp;H1545,"")</f>
        <v/>
      </c>
      <c r="Y1545" s="21" t="str">
        <f aca="false">IF(B1545="","",IF(B1545&lt;&gt;B1544,1,0))</f>
        <v/>
      </c>
    </row>
    <row r="1546" customFormat="false" ht="15" hidden="false" customHeight="true" outlineLevel="0" collapsed="false">
      <c r="A1546" s="21" t="str">
        <f aca="false">IF(B1546="","",ROW()-4)</f>
        <v/>
      </c>
      <c r="B1546" s="22"/>
      <c r="C1546" s="21" t="str">
        <f aca="false">IF(B1546="","",CHOOSE(WEEKDAY(B1546,2),"LUNES","MARTES","MIÉRCOLES","JUEVES","VIERNES","SÁBADO","DOMINGO"))</f>
        <v/>
      </c>
      <c r="M1546" s="23"/>
      <c r="Q1546" s="21" t="str">
        <f aca="false">IF(OR(K1546="",N1546=""),"",K1546-N1546)</f>
        <v/>
      </c>
      <c r="R1546" s="21" t="str">
        <f aca="false">IF(OR(J1546="",K1546=""),"",J1546*K1546)</f>
        <v/>
      </c>
      <c r="S1546" s="21" t="str">
        <f aca="false">IF(AND(ISNUMBER(J1546),ISNUMBER(K1546),F1546&lt;&gt;"Calentamiento",F1546&lt;&gt;"Bilbo"),IF(AND(K1546&gt;0,K1546&lt;=12),ROUND(J1546*(1+(K1546+IF(ISNUMBER(L1546),L1546,0))/30),1),""),"")</f>
        <v/>
      </c>
      <c r="T1546" s="21" t="str">
        <f aca="false">IF(AND(F1546="Bilbo",ISNUMBER(J1546),ISNUMBER(K1546)),ROUND(J1546*(1+K1546/30),1),"")</f>
        <v/>
      </c>
      <c r="W1546" s="22"/>
      <c r="X1546" s="21" t="str">
        <f aca="false">IF(AND(F1546="Bilbo",E1546&lt;&gt;"",G1546&lt;&gt;"",H1546&lt;&gt;""),E1546&amp;"|"&amp;G1546&amp;"|"&amp;H1546,"")</f>
        <v/>
      </c>
      <c r="Y1546" s="21" t="str">
        <f aca="false">IF(B1546="","",IF(B1546&lt;&gt;B1545,1,0))</f>
        <v/>
      </c>
    </row>
    <row r="1547" customFormat="false" ht="15" hidden="false" customHeight="true" outlineLevel="0" collapsed="false">
      <c r="A1547" s="21" t="str">
        <f aca="false">IF(B1547="","",ROW()-4)</f>
        <v/>
      </c>
      <c r="B1547" s="22"/>
      <c r="C1547" s="21" t="str">
        <f aca="false">IF(B1547="","",CHOOSE(WEEKDAY(B1547,2),"LUNES","MARTES","MIÉRCOLES","JUEVES","VIERNES","SÁBADO","DOMINGO"))</f>
        <v/>
      </c>
      <c r="M1547" s="23"/>
      <c r="Q1547" s="21" t="str">
        <f aca="false">IF(OR(K1547="",N1547=""),"",K1547-N1547)</f>
        <v/>
      </c>
      <c r="R1547" s="21" t="str">
        <f aca="false">IF(OR(J1547="",K1547=""),"",J1547*K1547)</f>
        <v/>
      </c>
      <c r="S1547" s="21" t="str">
        <f aca="false">IF(AND(ISNUMBER(J1547),ISNUMBER(K1547),F1547&lt;&gt;"Calentamiento",F1547&lt;&gt;"Bilbo"),IF(AND(K1547&gt;0,K1547&lt;=12),ROUND(J1547*(1+(K1547+IF(ISNUMBER(L1547),L1547,0))/30),1),""),"")</f>
        <v/>
      </c>
      <c r="T1547" s="21" t="str">
        <f aca="false">IF(AND(F1547="Bilbo",ISNUMBER(J1547),ISNUMBER(K1547)),ROUND(J1547*(1+K1547/30),1),"")</f>
        <v/>
      </c>
      <c r="W1547" s="22"/>
      <c r="X1547" s="21" t="str">
        <f aca="false">IF(AND(F1547="Bilbo",E1547&lt;&gt;"",G1547&lt;&gt;"",H1547&lt;&gt;""),E1547&amp;"|"&amp;G1547&amp;"|"&amp;H1547,"")</f>
        <v/>
      </c>
      <c r="Y1547" s="21" t="str">
        <f aca="false">IF(B1547="","",IF(B1547&lt;&gt;B1546,1,0))</f>
        <v/>
      </c>
    </row>
    <row r="1548" customFormat="false" ht="15" hidden="false" customHeight="true" outlineLevel="0" collapsed="false">
      <c r="A1548" s="21" t="str">
        <f aca="false">IF(B1548="","",ROW()-4)</f>
        <v/>
      </c>
      <c r="B1548" s="22"/>
      <c r="C1548" s="21" t="str">
        <f aca="false">IF(B1548="","",CHOOSE(WEEKDAY(B1548,2),"LUNES","MARTES","MIÉRCOLES","JUEVES","VIERNES","SÁBADO","DOMINGO"))</f>
        <v/>
      </c>
      <c r="M1548" s="23"/>
      <c r="Q1548" s="21" t="str">
        <f aca="false">IF(OR(K1548="",N1548=""),"",K1548-N1548)</f>
        <v/>
      </c>
      <c r="R1548" s="21" t="str">
        <f aca="false">IF(OR(J1548="",K1548=""),"",J1548*K1548)</f>
        <v/>
      </c>
      <c r="S1548" s="21" t="str">
        <f aca="false">IF(AND(ISNUMBER(J1548),ISNUMBER(K1548),F1548&lt;&gt;"Calentamiento",F1548&lt;&gt;"Bilbo"),IF(AND(K1548&gt;0,K1548&lt;=12),ROUND(J1548*(1+(K1548+IF(ISNUMBER(L1548),L1548,0))/30),1),""),"")</f>
        <v/>
      </c>
      <c r="T1548" s="21" t="str">
        <f aca="false">IF(AND(F1548="Bilbo",ISNUMBER(J1548),ISNUMBER(K1548)),ROUND(J1548*(1+K1548/30),1),"")</f>
        <v/>
      </c>
      <c r="W1548" s="22"/>
      <c r="X1548" s="21" t="str">
        <f aca="false">IF(AND(F1548="Bilbo",E1548&lt;&gt;"",G1548&lt;&gt;"",H1548&lt;&gt;""),E1548&amp;"|"&amp;G1548&amp;"|"&amp;H1548,"")</f>
        <v/>
      </c>
      <c r="Y1548" s="21" t="str">
        <f aca="false">IF(B1548="","",IF(B1548&lt;&gt;B1547,1,0))</f>
        <v/>
      </c>
    </row>
    <row r="1549" customFormat="false" ht="15" hidden="false" customHeight="true" outlineLevel="0" collapsed="false">
      <c r="A1549" s="21" t="str">
        <f aca="false">IF(B1549="","",ROW()-4)</f>
        <v/>
      </c>
      <c r="B1549" s="22"/>
      <c r="C1549" s="21" t="str">
        <f aca="false">IF(B1549="","",CHOOSE(WEEKDAY(B1549,2),"LUNES","MARTES","MIÉRCOLES","JUEVES","VIERNES","SÁBADO","DOMINGO"))</f>
        <v/>
      </c>
      <c r="M1549" s="23"/>
      <c r="Q1549" s="21" t="str">
        <f aca="false">IF(OR(K1549="",N1549=""),"",K1549-N1549)</f>
        <v/>
      </c>
      <c r="R1549" s="21" t="str">
        <f aca="false">IF(OR(J1549="",K1549=""),"",J1549*K1549)</f>
        <v/>
      </c>
      <c r="S1549" s="21" t="str">
        <f aca="false">IF(AND(ISNUMBER(J1549),ISNUMBER(K1549),F1549&lt;&gt;"Calentamiento",F1549&lt;&gt;"Bilbo"),IF(AND(K1549&gt;0,K1549&lt;=12),ROUND(J1549*(1+(K1549+IF(ISNUMBER(L1549),L1549,0))/30),1),""),"")</f>
        <v/>
      </c>
      <c r="T1549" s="21" t="str">
        <f aca="false">IF(AND(F1549="Bilbo",ISNUMBER(J1549),ISNUMBER(K1549)),ROUND(J1549*(1+K1549/30),1),"")</f>
        <v/>
      </c>
      <c r="W1549" s="22"/>
      <c r="X1549" s="21" t="str">
        <f aca="false">IF(AND(F1549="Bilbo",E1549&lt;&gt;"",G1549&lt;&gt;"",H1549&lt;&gt;""),E1549&amp;"|"&amp;G1549&amp;"|"&amp;H1549,"")</f>
        <v/>
      </c>
      <c r="Y1549" s="21" t="str">
        <f aca="false">IF(B1549="","",IF(B1549&lt;&gt;B1548,1,0))</f>
        <v/>
      </c>
    </row>
    <row r="1550" customFormat="false" ht="15" hidden="false" customHeight="true" outlineLevel="0" collapsed="false">
      <c r="A1550" s="21" t="str">
        <f aca="false">IF(B1550="","",ROW()-4)</f>
        <v/>
      </c>
      <c r="B1550" s="22"/>
      <c r="C1550" s="21" t="str">
        <f aca="false">IF(B1550="","",CHOOSE(WEEKDAY(B1550,2),"LUNES","MARTES","MIÉRCOLES","JUEVES","VIERNES","SÁBADO","DOMINGO"))</f>
        <v/>
      </c>
      <c r="M1550" s="23"/>
      <c r="Q1550" s="21" t="str">
        <f aca="false">IF(OR(K1550="",N1550=""),"",K1550-N1550)</f>
        <v/>
      </c>
      <c r="R1550" s="21" t="str">
        <f aca="false">IF(OR(J1550="",K1550=""),"",J1550*K1550)</f>
        <v/>
      </c>
      <c r="S1550" s="21" t="str">
        <f aca="false">IF(AND(ISNUMBER(J1550),ISNUMBER(K1550),F1550&lt;&gt;"Calentamiento",F1550&lt;&gt;"Bilbo"),IF(AND(K1550&gt;0,K1550&lt;=12),ROUND(J1550*(1+(K1550+IF(ISNUMBER(L1550),L1550,0))/30),1),""),"")</f>
        <v/>
      </c>
      <c r="T1550" s="21" t="str">
        <f aca="false">IF(AND(F1550="Bilbo",ISNUMBER(J1550),ISNUMBER(K1550)),ROUND(J1550*(1+K1550/30),1),"")</f>
        <v/>
      </c>
      <c r="W1550" s="22"/>
      <c r="X1550" s="21" t="str">
        <f aca="false">IF(AND(F1550="Bilbo",E1550&lt;&gt;"",G1550&lt;&gt;"",H1550&lt;&gt;""),E1550&amp;"|"&amp;G1550&amp;"|"&amp;H1550,"")</f>
        <v/>
      </c>
      <c r="Y1550" s="21" t="str">
        <f aca="false">IF(B1550="","",IF(B1550&lt;&gt;B1549,1,0))</f>
        <v/>
      </c>
    </row>
    <row r="1551" customFormat="false" ht="15" hidden="false" customHeight="true" outlineLevel="0" collapsed="false">
      <c r="A1551" s="21" t="str">
        <f aca="false">IF(B1551="","",ROW()-4)</f>
        <v/>
      </c>
      <c r="B1551" s="22"/>
      <c r="C1551" s="21" t="str">
        <f aca="false">IF(B1551="","",CHOOSE(WEEKDAY(B1551,2),"LUNES","MARTES","MIÉRCOLES","JUEVES","VIERNES","SÁBADO","DOMINGO"))</f>
        <v/>
      </c>
      <c r="M1551" s="23"/>
      <c r="Q1551" s="21" t="str">
        <f aca="false">IF(OR(K1551="",N1551=""),"",K1551-N1551)</f>
        <v/>
      </c>
      <c r="R1551" s="21" t="str">
        <f aca="false">IF(OR(J1551="",K1551=""),"",J1551*K1551)</f>
        <v/>
      </c>
      <c r="S1551" s="21" t="str">
        <f aca="false">IF(AND(ISNUMBER(J1551),ISNUMBER(K1551),F1551&lt;&gt;"Calentamiento",F1551&lt;&gt;"Bilbo"),IF(AND(K1551&gt;0,K1551&lt;=12),ROUND(J1551*(1+(K1551+IF(ISNUMBER(L1551),L1551,0))/30),1),""),"")</f>
        <v/>
      </c>
      <c r="T1551" s="21" t="str">
        <f aca="false">IF(AND(F1551="Bilbo",ISNUMBER(J1551),ISNUMBER(K1551)),ROUND(J1551*(1+K1551/30),1),"")</f>
        <v/>
      </c>
      <c r="W1551" s="22"/>
      <c r="X1551" s="21" t="str">
        <f aca="false">IF(AND(F1551="Bilbo",E1551&lt;&gt;"",G1551&lt;&gt;"",H1551&lt;&gt;""),E1551&amp;"|"&amp;G1551&amp;"|"&amp;H1551,"")</f>
        <v/>
      </c>
      <c r="Y1551" s="21" t="str">
        <f aca="false">IF(B1551="","",IF(B1551&lt;&gt;B1550,1,0))</f>
        <v/>
      </c>
    </row>
    <row r="1552" customFormat="false" ht="15" hidden="false" customHeight="true" outlineLevel="0" collapsed="false">
      <c r="A1552" s="21" t="str">
        <f aca="false">IF(B1552="","",ROW()-4)</f>
        <v/>
      </c>
      <c r="B1552" s="22"/>
      <c r="C1552" s="21" t="str">
        <f aca="false">IF(B1552="","",CHOOSE(WEEKDAY(B1552,2),"LUNES","MARTES","MIÉRCOLES","JUEVES","VIERNES","SÁBADO","DOMINGO"))</f>
        <v/>
      </c>
      <c r="M1552" s="23"/>
      <c r="Q1552" s="21" t="str">
        <f aca="false">IF(OR(K1552="",N1552=""),"",K1552-N1552)</f>
        <v/>
      </c>
      <c r="R1552" s="21" t="str">
        <f aca="false">IF(OR(J1552="",K1552=""),"",J1552*K1552)</f>
        <v/>
      </c>
      <c r="S1552" s="21" t="str">
        <f aca="false">IF(AND(ISNUMBER(J1552),ISNUMBER(K1552),F1552&lt;&gt;"Calentamiento",F1552&lt;&gt;"Bilbo"),IF(AND(K1552&gt;0,K1552&lt;=12),ROUND(J1552*(1+(K1552+IF(ISNUMBER(L1552),L1552,0))/30),1),""),"")</f>
        <v/>
      </c>
      <c r="T1552" s="21" t="str">
        <f aca="false">IF(AND(F1552="Bilbo",ISNUMBER(J1552),ISNUMBER(K1552)),ROUND(J1552*(1+K1552/30),1),"")</f>
        <v/>
      </c>
      <c r="W1552" s="22"/>
      <c r="X1552" s="21" t="str">
        <f aca="false">IF(AND(F1552="Bilbo",E1552&lt;&gt;"",G1552&lt;&gt;"",H1552&lt;&gt;""),E1552&amp;"|"&amp;G1552&amp;"|"&amp;H1552,"")</f>
        <v/>
      </c>
      <c r="Y1552" s="21" t="str">
        <f aca="false">IF(B1552="","",IF(B1552&lt;&gt;B1551,1,0))</f>
        <v/>
      </c>
    </row>
    <row r="1553" customFormat="false" ht="15" hidden="false" customHeight="true" outlineLevel="0" collapsed="false">
      <c r="A1553" s="21" t="str">
        <f aca="false">IF(B1553="","",ROW()-4)</f>
        <v/>
      </c>
      <c r="B1553" s="22"/>
      <c r="C1553" s="21" t="str">
        <f aca="false">IF(B1553="","",CHOOSE(WEEKDAY(B1553,2),"LUNES","MARTES","MIÉRCOLES","JUEVES","VIERNES","SÁBADO","DOMINGO"))</f>
        <v/>
      </c>
      <c r="M1553" s="23"/>
      <c r="Q1553" s="21" t="str">
        <f aca="false">IF(OR(K1553="",N1553=""),"",K1553-N1553)</f>
        <v/>
      </c>
      <c r="R1553" s="21" t="str">
        <f aca="false">IF(OR(J1553="",K1553=""),"",J1553*K1553)</f>
        <v/>
      </c>
      <c r="S1553" s="21" t="str">
        <f aca="false">IF(AND(ISNUMBER(J1553),ISNUMBER(K1553),F1553&lt;&gt;"Calentamiento",F1553&lt;&gt;"Bilbo"),IF(AND(K1553&gt;0,K1553&lt;=12),ROUND(J1553*(1+(K1553+IF(ISNUMBER(L1553),L1553,0))/30),1),""),"")</f>
        <v/>
      </c>
      <c r="T1553" s="21" t="str">
        <f aca="false">IF(AND(F1553="Bilbo",ISNUMBER(J1553),ISNUMBER(K1553)),ROUND(J1553*(1+K1553/30),1),"")</f>
        <v/>
      </c>
      <c r="W1553" s="22"/>
      <c r="X1553" s="21" t="str">
        <f aca="false">IF(AND(F1553="Bilbo",E1553&lt;&gt;"",G1553&lt;&gt;"",H1553&lt;&gt;""),E1553&amp;"|"&amp;G1553&amp;"|"&amp;H1553,"")</f>
        <v/>
      </c>
      <c r="Y1553" s="21" t="str">
        <f aca="false">IF(B1553="","",IF(B1553&lt;&gt;B1552,1,0))</f>
        <v/>
      </c>
    </row>
    <row r="1554" customFormat="false" ht="15" hidden="false" customHeight="true" outlineLevel="0" collapsed="false">
      <c r="A1554" s="21" t="str">
        <f aca="false">IF(B1554="","",ROW()-4)</f>
        <v/>
      </c>
      <c r="B1554" s="22"/>
      <c r="C1554" s="21" t="str">
        <f aca="false">IF(B1554="","",CHOOSE(WEEKDAY(B1554,2),"LUNES","MARTES","MIÉRCOLES","JUEVES","VIERNES","SÁBADO","DOMINGO"))</f>
        <v/>
      </c>
      <c r="M1554" s="23"/>
      <c r="Q1554" s="21" t="str">
        <f aca="false">IF(OR(K1554="",N1554=""),"",K1554-N1554)</f>
        <v/>
      </c>
      <c r="R1554" s="21" t="str">
        <f aca="false">IF(OR(J1554="",K1554=""),"",J1554*K1554)</f>
        <v/>
      </c>
      <c r="S1554" s="21" t="str">
        <f aca="false">IF(AND(ISNUMBER(J1554),ISNUMBER(K1554),F1554&lt;&gt;"Calentamiento",F1554&lt;&gt;"Bilbo"),IF(AND(K1554&gt;0,K1554&lt;=12),ROUND(J1554*(1+(K1554+IF(ISNUMBER(L1554),L1554,0))/30),1),""),"")</f>
        <v/>
      </c>
      <c r="T1554" s="21" t="str">
        <f aca="false">IF(AND(F1554="Bilbo",ISNUMBER(J1554),ISNUMBER(K1554)),ROUND(J1554*(1+K1554/30),1),"")</f>
        <v/>
      </c>
      <c r="W1554" s="22"/>
      <c r="X1554" s="21" t="str">
        <f aca="false">IF(AND(F1554="Bilbo",E1554&lt;&gt;"",G1554&lt;&gt;"",H1554&lt;&gt;""),E1554&amp;"|"&amp;G1554&amp;"|"&amp;H1554,"")</f>
        <v/>
      </c>
      <c r="Y1554" s="21" t="str">
        <f aca="false">IF(B1554="","",IF(B1554&lt;&gt;B1553,1,0))</f>
        <v/>
      </c>
    </row>
    <row r="1555" customFormat="false" ht="15" hidden="false" customHeight="true" outlineLevel="0" collapsed="false">
      <c r="A1555" s="21" t="str">
        <f aca="false">IF(B1555="","",ROW()-4)</f>
        <v/>
      </c>
      <c r="B1555" s="22"/>
      <c r="C1555" s="21" t="str">
        <f aca="false">IF(B1555="","",CHOOSE(WEEKDAY(B1555,2),"LUNES","MARTES","MIÉRCOLES","JUEVES","VIERNES","SÁBADO","DOMINGO"))</f>
        <v/>
      </c>
      <c r="M1555" s="23"/>
      <c r="Q1555" s="21" t="str">
        <f aca="false">IF(OR(K1555="",N1555=""),"",K1555-N1555)</f>
        <v/>
      </c>
      <c r="R1555" s="21" t="str">
        <f aca="false">IF(OR(J1555="",K1555=""),"",J1555*K1555)</f>
        <v/>
      </c>
      <c r="S1555" s="21" t="str">
        <f aca="false">IF(AND(ISNUMBER(J1555),ISNUMBER(K1555),F1555&lt;&gt;"Calentamiento",F1555&lt;&gt;"Bilbo"),IF(AND(K1555&gt;0,K1555&lt;=12),ROUND(J1555*(1+(K1555+IF(ISNUMBER(L1555),L1555,0))/30),1),""),"")</f>
        <v/>
      </c>
      <c r="T1555" s="21" t="str">
        <f aca="false">IF(AND(F1555="Bilbo",ISNUMBER(J1555),ISNUMBER(K1555)),ROUND(J1555*(1+K1555/30),1),"")</f>
        <v/>
      </c>
      <c r="W1555" s="22"/>
      <c r="X1555" s="21" t="str">
        <f aca="false">IF(AND(F1555="Bilbo",E1555&lt;&gt;"",G1555&lt;&gt;"",H1555&lt;&gt;""),E1555&amp;"|"&amp;G1555&amp;"|"&amp;H1555,"")</f>
        <v/>
      </c>
      <c r="Y1555" s="21" t="str">
        <f aca="false">IF(B1555="","",IF(B1555&lt;&gt;B1554,1,0))</f>
        <v/>
      </c>
    </row>
    <row r="1556" customFormat="false" ht="15" hidden="false" customHeight="true" outlineLevel="0" collapsed="false">
      <c r="A1556" s="21" t="str">
        <f aca="false">IF(B1556="","",ROW()-4)</f>
        <v/>
      </c>
      <c r="B1556" s="22"/>
      <c r="C1556" s="21" t="str">
        <f aca="false">IF(B1556="","",CHOOSE(WEEKDAY(B1556,2),"LUNES","MARTES","MIÉRCOLES","JUEVES","VIERNES","SÁBADO","DOMINGO"))</f>
        <v/>
      </c>
      <c r="M1556" s="23"/>
      <c r="Q1556" s="21" t="str">
        <f aca="false">IF(OR(K1556="",N1556=""),"",K1556-N1556)</f>
        <v/>
      </c>
      <c r="R1556" s="21" t="str">
        <f aca="false">IF(OR(J1556="",K1556=""),"",J1556*K1556)</f>
        <v/>
      </c>
      <c r="S1556" s="21" t="str">
        <f aca="false">IF(AND(ISNUMBER(J1556),ISNUMBER(K1556),F1556&lt;&gt;"Calentamiento",F1556&lt;&gt;"Bilbo"),IF(AND(K1556&gt;0,K1556&lt;=12),ROUND(J1556*(1+(K1556+IF(ISNUMBER(L1556),L1556,0))/30),1),""),"")</f>
        <v/>
      </c>
      <c r="T1556" s="21" t="str">
        <f aca="false">IF(AND(F1556="Bilbo",ISNUMBER(J1556),ISNUMBER(K1556)),ROUND(J1556*(1+K1556/30),1),"")</f>
        <v/>
      </c>
      <c r="W1556" s="22"/>
      <c r="X1556" s="21" t="str">
        <f aca="false">IF(AND(F1556="Bilbo",E1556&lt;&gt;"",G1556&lt;&gt;"",H1556&lt;&gt;""),E1556&amp;"|"&amp;G1556&amp;"|"&amp;H1556,"")</f>
        <v/>
      </c>
      <c r="Y1556" s="21" t="str">
        <f aca="false">IF(B1556="","",IF(B1556&lt;&gt;B1555,1,0))</f>
        <v/>
      </c>
    </row>
    <row r="1557" customFormat="false" ht="15" hidden="false" customHeight="true" outlineLevel="0" collapsed="false">
      <c r="A1557" s="21" t="str">
        <f aca="false">IF(B1557="","",ROW()-4)</f>
        <v/>
      </c>
      <c r="B1557" s="22"/>
      <c r="C1557" s="21" t="str">
        <f aca="false">IF(B1557="","",CHOOSE(WEEKDAY(B1557,2),"LUNES","MARTES","MIÉRCOLES","JUEVES","VIERNES","SÁBADO","DOMINGO"))</f>
        <v/>
      </c>
      <c r="M1557" s="23"/>
      <c r="Q1557" s="21" t="str">
        <f aca="false">IF(OR(K1557="",N1557=""),"",K1557-N1557)</f>
        <v/>
      </c>
      <c r="R1557" s="21" t="str">
        <f aca="false">IF(OR(J1557="",K1557=""),"",J1557*K1557)</f>
        <v/>
      </c>
      <c r="S1557" s="21" t="str">
        <f aca="false">IF(AND(ISNUMBER(J1557),ISNUMBER(K1557),F1557&lt;&gt;"Calentamiento",F1557&lt;&gt;"Bilbo"),IF(AND(K1557&gt;0,K1557&lt;=12),ROUND(J1557*(1+(K1557+IF(ISNUMBER(L1557),L1557,0))/30),1),""),"")</f>
        <v/>
      </c>
      <c r="T1557" s="21" t="str">
        <f aca="false">IF(AND(F1557="Bilbo",ISNUMBER(J1557),ISNUMBER(K1557)),ROUND(J1557*(1+K1557/30),1),"")</f>
        <v/>
      </c>
      <c r="W1557" s="22"/>
      <c r="X1557" s="21" t="str">
        <f aca="false">IF(AND(F1557="Bilbo",E1557&lt;&gt;"",G1557&lt;&gt;"",H1557&lt;&gt;""),E1557&amp;"|"&amp;G1557&amp;"|"&amp;H1557,"")</f>
        <v/>
      </c>
      <c r="Y1557" s="21" t="str">
        <f aca="false">IF(B1557="","",IF(B1557&lt;&gt;B1556,1,0))</f>
        <v/>
      </c>
    </row>
    <row r="1558" customFormat="false" ht="15" hidden="false" customHeight="true" outlineLevel="0" collapsed="false">
      <c r="A1558" s="21" t="str">
        <f aca="false">IF(B1558="","",ROW()-4)</f>
        <v/>
      </c>
      <c r="B1558" s="22"/>
      <c r="C1558" s="21" t="str">
        <f aca="false">IF(B1558="","",CHOOSE(WEEKDAY(B1558,2),"LUNES","MARTES","MIÉRCOLES","JUEVES","VIERNES","SÁBADO","DOMINGO"))</f>
        <v/>
      </c>
      <c r="M1558" s="23"/>
      <c r="Q1558" s="21" t="str">
        <f aca="false">IF(OR(K1558="",N1558=""),"",K1558-N1558)</f>
        <v/>
      </c>
      <c r="R1558" s="21" t="str">
        <f aca="false">IF(OR(J1558="",K1558=""),"",J1558*K1558)</f>
        <v/>
      </c>
      <c r="S1558" s="21" t="str">
        <f aca="false">IF(AND(ISNUMBER(J1558),ISNUMBER(K1558),F1558&lt;&gt;"Calentamiento",F1558&lt;&gt;"Bilbo"),IF(AND(K1558&gt;0,K1558&lt;=12),ROUND(J1558*(1+(K1558+IF(ISNUMBER(L1558),L1558,0))/30),1),""),"")</f>
        <v/>
      </c>
      <c r="T1558" s="21" t="str">
        <f aca="false">IF(AND(F1558="Bilbo",ISNUMBER(J1558),ISNUMBER(K1558)),ROUND(J1558*(1+K1558/30),1),"")</f>
        <v/>
      </c>
      <c r="W1558" s="22"/>
      <c r="X1558" s="21" t="str">
        <f aca="false">IF(AND(F1558="Bilbo",E1558&lt;&gt;"",G1558&lt;&gt;"",H1558&lt;&gt;""),E1558&amp;"|"&amp;G1558&amp;"|"&amp;H1558,"")</f>
        <v/>
      </c>
      <c r="Y1558" s="21" t="str">
        <f aca="false">IF(B1558="","",IF(B1558&lt;&gt;B1557,1,0))</f>
        <v/>
      </c>
    </row>
    <row r="1559" customFormat="false" ht="15" hidden="false" customHeight="true" outlineLevel="0" collapsed="false">
      <c r="A1559" s="21" t="str">
        <f aca="false">IF(B1559="","",ROW()-4)</f>
        <v/>
      </c>
      <c r="B1559" s="22"/>
      <c r="C1559" s="21" t="str">
        <f aca="false">IF(B1559="","",CHOOSE(WEEKDAY(B1559,2),"LUNES","MARTES","MIÉRCOLES","JUEVES","VIERNES","SÁBADO","DOMINGO"))</f>
        <v/>
      </c>
      <c r="M1559" s="23"/>
      <c r="Q1559" s="21" t="str">
        <f aca="false">IF(OR(K1559="",N1559=""),"",K1559-N1559)</f>
        <v/>
      </c>
      <c r="R1559" s="21" t="str">
        <f aca="false">IF(OR(J1559="",K1559=""),"",J1559*K1559)</f>
        <v/>
      </c>
      <c r="S1559" s="21" t="str">
        <f aca="false">IF(AND(ISNUMBER(J1559),ISNUMBER(K1559),F1559&lt;&gt;"Calentamiento",F1559&lt;&gt;"Bilbo"),IF(AND(K1559&gt;0,K1559&lt;=12),ROUND(J1559*(1+(K1559+IF(ISNUMBER(L1559),L1559,0))/30),1),""),"")</f>
        <v/>
      </c>
      <c r="T1559" s="21" t="str">
        <f aca="false">IF(AND(F1559="Bilbo",ISNUMBER(J1559),ISNUMBER(K1559)),ROUND(J1559*(1+K1559/30),1),"")</f>
        <v/>
      </c>
      <c r="W1559" s="22"/>
      <c r="X1559" s="21" t="str">
        <f aca="false">IF(AND(F1559="Bilbo",E1559&lt;&gt;"",G1559&lt;&gt;"",H1559&lt;&gt;""),E1559&amp;"|"&amp;G1559&amp;"|"&amp;H1559,"")</f>
        <v/>
      </c>
      <c r="Y1559" s="21" t="str">
        <f aca="false">IF(B1559="","",IF(B1559&lt;&gt;B1558,1,0))</f>
        <v/>
      </c>
    </row>
    <row r="1560" customFormat="false" ht="15" hidden="false" customHeight="true" outlineLevel="0" collapsed="false">
      <c r="A1560" s="21" t="str">
        <f aca="false">IF(B1560="","",ROW()-4)</f>
        <v/>
      </c>
      <c r="B1560" s="22"/>
      <c r="C1560" s="21" t="str">
        <f aca="false">IF(B1560="","",CHOOSE(WEEKDAY(B1560,2),"LUNES","MARTES","MIÉRCOLES","JUEVES","VIERNES","SÁBADO","DOMINGO"))</f>
        <v/>
      </c>
      <c r="M1560" s="23"/>
      <c r="Q1560" s="21" t="str">
        <f aca="false">IF(OR(K1560="",N1560=""),"",K1560-N1560)</f>
        <v/>
      </c>
      <c r="R1560" s="21" t="str">
        <f aca="false">IF(OR(J1560="",K1560=""),"",J1560*K1560)</f>
        <v/>
      </c>
      <c r="S1560" s="21" t="str">
        <f aca="false">IF(AND(ISNUMBER(J1560),ISNUMBER(K1560),F1560&lt;&gt;"Calentamiento",F1560&lt;&gt;"Bilbo"),IF(AND(K1560&gt;0,K1560&lt;=12),ROUND(J1560*(1+(K1560+IF(ISNUMBER(L1560),L1560,0))/30),1),""),"")</f>
        <v/>
      </c>
      <c r="T1560" s="21" t="str">
        <f aca="false">IF(AND(F1560="Bilbo",ISNUMBER(J1560),ISNUMBER(K1560)),ROUND(J1560*(1+K1560/30),1),"")</f>
        <v/>
      </c>
      <c r="W1560" s="22"/>
      <c r="X1560" s="21" t="str">
        <f aca="false">IF(AND(F1560="Bilbo",E1560&lt;&gt;"",G1560&lt;&gt;"",H1560&lt;&gt;""),E1560&amp;"|"&amp;G1560&amp;"|"&amp;H1560,"")</f>
        <v/>
      </c>
      <c r="Y1560" s="21" t="str">
        <f aca="false">IF(B1560="","",IF(B1560&lt;&gt;B1559,1,0))</f>
        <v/>
      </c>
    </row>
    <row r="1561" customFormat="false" ht="15" hidden="false" customHeight="true" outlineLevel="0" collapsed="false">
      <c r="A1561" s="21" t="str">
        <f aca="false">IF(B1561="","",ROW()-4)</f>
        <v/>
      </c>
      <c r="B1561" s="22"/>
      <c r="C1561" s="21" t="str">
        <f aca="false">IF(B1561="","",CHOOSE(WEEKDAY(B1561,2),"LUNES","MARTES","MIÉRCOLES","JUEVES","VIERNES","SÁBADO","DOMINGO"))</f>
        <v/>
      </c>
      <c r="M1561" s="23"/>
      <c r="Q1561" s="21" t="str">
        <f aca="false">IF(OR(K1561="",N1561=""),"",K1561-N1561)</f>
        <v/>
      </c>
      <c r="R1561" s="21" t="str">
        <f aca="false">IF(OR(J1561="",K1561=""),"",J1561*K1561)</f>
        <v/>
      </c>
      <c r="S1561" s="21" t="str">
        <f aca="false">IF(AND(ISNUMBER(J1561),ISNUMBER(K1561),F1561&lt;&gt;"Calentamiento",F1561&lt;&gt;"Bilbo"),IF(AND(K1561&gt;0,K1561&lt;=12),ROUND(J1561*(1+(K1561+IF(ISNUMBER(L1561),L1561,0))/30),1),""),"")</f>
        <v/>
      </c>
      <c r="T1561" s="21" t="str">
        <f aca="false">IF(AND(F1561="Bilbo",ISNUMBER(J1561),ISNUMBER(K1561)),ROUND(J1561*(1+K1561/30),1),"")</f>
        <v/>
      </c>
      <c r="W1561" s="22"/>
      <c r="X1561" s="21" t="str">
        <f aca="false">IF(AND(F1561="Bilbo",E1561&lt;&gt;"",G1561&lt;&gt;"",H1561&lt;&gt;""),E1561&amp;"|"&amp;G1561&amp;"|"&amp;H1561,"")</f>
        <v/>
      </c>
      <c r="Y1561" s="21" t="str">
        <f aca="false">IF(B1561="","",IF(B1561&lt;&gt;B1560,1,0))</f>
        <v/>
      </c>
    </row>
    <row r="1562" customFormat="false" ht="15" hidden="false" customHeight="true" outlineLevel="0" collapsed="false">
      <c r="A1562" s="21" t="str">
        <f aca="false">IF(B1562="","",ROW()-4)</f>
        <v/>
      </c>
      <c r="B1562" s="22"/>
      <c r="C1562" s="21" t="str">
        <f aca="false">IF(B1562="","",CHOOSE(WEEKDAY(B1562,2),"LUNES","MARTES","MIÉRCOLES","JUEVES","VIERNES","SÁBADO","DOMINGO"))</f>
        <v/>
      </c>
      <c r="M1562" s="23"/>
      <c r="Q1562" s="21" t="str">
        <f aca="false">IF(OR(K1562="",N1562=""),"",K1562-N1562)</f>
        <v/>
      </c>
      <c r="R1562" s="21" t="str">
        <f aca="false">IF(OR(J1562="",K1562=""),"",J1562*K1562)</f>
        <v/>
      </c>
      <c r="S1562" s="21" t="str">
        <f aca="false">IF(AND(ISNUMBER(J1562),ISNUMBER(K1562),F1562&lt;&gt;"Calentamiento",F1562&lt;&gt;"Bilbo"),IF(AND(K1562&gt;0,K1562&lt;=12),ROUND(J1562*(1+(K1562+IF(ISNUMBER(L1562),L1562,0))/30),1),""),"")</f>
        <v/>
      </c>
      <c r="T1562" s="21" t="str">
        <f aca="false">IF(AND(F1562="Bilbo",ISNUMBER(J1562),ISNUMBER(K1562)),ROUND(J1562*(1+K1562/30),1),"")</f>
        <v/>
      </c>
      <c r="W1562" s="22"/>
      <c r="X1562" s="21" t="str">
        <f aca="false">IF(AND(F1562="Bilbo",E1562&lt;&gt;"",G1562&lt;&gt;"",H1562&lt;&gt;""),E1562&amp;"|"&amp;G1562&amp;"|"&amp;H1562,"")</f>
        <v/>
      </c>
      <c r="Y1562" s="21" t="str">
        <f aca="false">IF(B1562="","",IF(B1562&lt;&gt;B1561,1,0))</f>
        <v/>
      </c>
    </row>
    <row r="1563" customFormat="false" ht="15" hidden="false" customHeight="true" outlineLevel="0" collapsed="false">
      <c r="A1563" s="21" t="str">
        <f aca="false">IF(B1563="","",ROW()-4)</f>
        <v/>
      </c>
      <c r="B1563" s="22"/>
      <c r="C1563" s="21" t="str">
        <f aca="false">IF(B1563="","",CHOOSE(WEEKDAY(B1563,2),"LUNES","MARTES","MIÉRCOLES","JUEVES","VIERNES","SÁBADO","DOMINGO"))</f>
        <v/>
      </c>
      <c r="M1563" s="23"/>
      <c r="Q1563" s="21" t="str">
        <f aca="false">IF(OR(K1563="",N1563=""),"",K1563-N1563)</f>
        <v/>
      </c>
      <c r="R1563" s="21" t="str">
        <f aca="false">IF(OR(J1563="",K1563=""),"",J1563*K1563)</f>
        <v/>
      </c>
      <c r="S1563" s="21" t="str">
        <f aca="false">IF(AND(ISNUMBER(J1563),ISNUMBER(K1563),F1563&lt;&gt;"Calentamiento",F1563&lt;&gt;"Bilbo"),IF(AND(K1563&gt;0,K1563&lt;=12),ROUND(J1563*(1+(K1563+IF(ISNUMBER(L1563),L1563,0))/30),1),""),"")</f>
        <v/>
      </c>
      <c r="T1563" s="21" t="str">
        <f aca="false">IF(AND(F1563="Bilbo",ISNUMBER(J1563),ISNUMBER(K1563)),ROUND(J1563*(1+K1563/30),1),"")</f>
        <v/>
      </c>
      <c r="W1563" s="22"/>
      <c r="X1563" s="21" t="str">
        <f aca="false">IF(AND(F1563="Bilbo",E1563&lt;&gt;"",G1563&lt;&gt;"",H1563&lt;&gt;""),E1563&amp;"|"&amp;G1563&amp;"|"&amp;H1563,"")</f>
        <v/>
      </c>
      <c r="Y1563" s="21" t="str">
        <f aca="false">IF(B1563="","",IF(B1563&lt;&gt;B1562,1,0))</f>
        <v/>
      </c>
    </row>
    <row r="1564" customFormat="false" ht="15" hidden="false" customHeight="true" outlineLevel="0" collapsed="false">
      <c r="A1564" s="21" t="str">
        <f aca="false">IF(B1564="","",ROW()-4)</f>
        <v/>
      </c>
      <c r="B1564" s="22"/>
      <c r="C1564" s="21" t="str">
        <f aca="false">IF(B1564="","",CHOOSE(WEEKDAY(B1564,2),"LUNES","MARTES","MIÉRCOLES","JUEVES","VIERNES","SÁBADO","DOMINGO"))</f>
        <v/>
      </c>
      <c r="M1564" s="23"/>
      <c r="Q1564" s="21" t="str">
        <f aca="false">IF(OR(K1564="",N1564=""),"",K1564-N1564)</f>
        <v/>
      </c>
      <c r="R1564" s="21" t="str">
        <f aca="false">IF(OR(J1564="",K1564=""),"",J1564*K1564)</f>
        <v/>
      </c>
      <c r="S1564" s="21" t="str">
        <f aca="false">IF(AND(ISNUMBER(J1564),ISNUMBER(K1564),F1564&lt;&gt;"Calentamiento",F1564&lt;&gt;"Bilbo"),IF(AND(K1564&gt;0,K1564&lt;=12),ROUND(J1564*(1+(K1564+IF(ISNUMBER(L1564),L1564,0))/30),1),""),"")</f>
        <v/>
      </c>
      <c r="T1564" s="21" t="str">
        <f aca="false">IF(AND(F1564="Bilbo",ISNUMBER(J1564),ISNUMBER(K1564)),ROUND(J1564*(1+K1564/30),1),"")</f>
        <v/>
      </c>
      <c r="W1564" s="22"/>
      <c r="X1564" s="21" t="str">
        <f aca="false">IF(AND(F1564="Bilbo",E1564&lt;&gt;"",G1564&lt;&gt;"",H1564&lt;&gt;""),E1564&amp;"|"&amp;G1564&amp;"|"&amp;H1564,"")</f>
        <v/>
      </c>
      <c r="Y1564" s="21" t="str">
        <f aca="false">IF(B1564="","",IF(B1564&lt;&gt;B1563,1,0))</f>
        <v/>
      </c>
    </row>
    <row r="1565" customFormat="false" ht="15" hidden="false" customHeight="true" outlineLevel="0" collapsed="false">
      <c r="A1565" s="21" t="str">
        <f aca="false">IF(B1565="","",ROW()-4)</f>
        <v/>
      </c>
      <c r="B1565" s="22"/>
      <c r="C1565" s="21" t="str">
        <f aca="false">IF(B1565="","",CHOOSE(WEEKDAY(B1565,2),"LUNES","MARTES","MIÉRCOLES","JUEVES","VIERNES","SÁBADO","DOMINGO"))</f>
        <v/>
      </c>
      <c r="M1565" s="23"/>
      <c r="Q1565" s="21" t="str">
        <f aca="false">IF(OR(K1565="",N1565=""),"",K1565-N1565)</f>
        <v/>
      </c>
      <c r="R1565" s="21" t="str">
        <f aca="false">IF(OR(J1565="",K1565=""),"",J1565*K1565)</f>
        <v/>
      </c>
      <c r="S1565" s="21" t="str">
        <f aca="false">IF(AND(ISNUMBER(J1565),ISNUMBER(K1565),F1565&lt;&gt;"Calentamiento",F1565&lt;&gt;"Bilbo"),IF(AND(K1565&gt;0,K1565&lt;=12),ROUND(J1565*(1+(K1565+IF(ISNUMBER(L1565),L1565,0))/30),1),""),"")</f>
        <v/>
      </c>
      <c r="T1565" s="21" t="str">
        <f aca="false">IF(AND(F1565="Bilbo",ISNUMBER(J1565),ISNUMBER(K1565)),ROUND(J1565*(1+K1565/30),1),"")</f>
        <v/>
      </c>
      <c r="W1565" s="22"/>
      <c r="X1565" s="21" t="str">
        <f aca="false">IF(AND(F1565="Bilbo",E1565&lt;&gt;"",G1565&lt;&gt;"",H1565&lt;&gt;""),E1565&amp;"|"&amp;G1565&amp;"|"&amp;H1565,"")</f>
        <v/>
      </c>
      <c r="Y1565" s="21" t="str">
        <f aca="false">IF(B1565="","",IF(B1565&lt;&gt;B1564,1,0))</f>
        <v/>
      </c>
    </row>
    <row r="1566" customFormat="false" ht="15" hidden="false" customHeight="true" outlineLevel="0" collapsed="false">
      <c r="A1566" s="21" t="str">
        <f aca="false">IF(B1566="","",ROW()-4)</f>
        <v/>
      </c>
      <c r="B1566" s="22"/>
      <c r="C1566" s="21" t="str">
        <f aca="false">IF(B1566="","",CHOOSE(WEEKDAY(B1566,2),"LUNES","MARTES","MIÉRCOLES","JUEVES","VIERNES","SÁBADO","DOMINGO"))</f>
        <v/>
      </c>
      <c r="M1566" s="23"/>
      <c r="Q1566" s="21" t="str">
        <f aca="false">IF(OR(K1566="",N1566=""),"",K1566-N1566)</f>
        <v/>
      </c>
      <c r="R1566" s="21" t="str">
        <f aca="false">IF(OR(J1566="",K1566=""),"",J1566*K1566)</f>
        <v/>
      </c>
      <c r="S1566" s="21" t="str">
        <f aca="false">IF(AND(ISNUMBER(J1566),ISNUMBER(K1566),F1566&lt;&gt;"Calentamiento",F1566&lt;&gt;"Bilbo"),IF(AND(K1566&gt;0,K1566&lt;=12),ROUND(J1566*(1+(K1566+IF(ISNUMBER(L1566),L1566,0))/30),1),""),"")</f>
        <v/>
      </c>
      <c r="T1566" s="21" t="str">
        <f aca="false">IF(AND(F1566="Bilbo",ISNUMBER(J1566),ISNUMBER(K1566)),ROUND(J1566*(1+K1566/30),1),"")</f>
        <v/>
      </c>
      <c r="W1566" s="22"/>
      <c r="X1566" s="21" t="str">
        <f aca="false">IF(AND(F1566="Bilbo",E1566&lt;&gt;"",G1566&lt;&gt;"",H1566&lt;&gt;""),E1566&amp;"|"&amp;G1566&amp;"|"&amp;H1566,"")</f>
        <v/>
      </c>
      <c r="Y1566" s="21" t="str">
        <f aca="false">IF(B1566="","",IF(B1566&lt;&gt;B1565,1,0))</f>
        <v/>
      </c>
    </row>
    <row r="1567" customFormat="false" ht="15" hidden="false" customHeight="true" outlineLevel="0" collapsed="false">
      <c r="A1567" s="21" t="str">
        <f aca="false">IF(B1567="","",ROW()-4)</f>
        <v/>
      </c>
      <c r="B1567" s="22"/>
      <c r="C1567" s="21" t="str">
        <f aca="false">IF(B1567="","",CHOOSE(WEEKDAY(B1567,2),"LUNES","MARTES","MIÉRCOLES","JUEVES","VIERNES","SÁBADO","DOMINGO"))</f>
        <v/>
      </c>
      <c r="M1567" s="23"/>
      <c r="Q1567" s="21" t="str">
        <f aca="false">IF(OR(K1567="",N1567=""),"",K1567-N1567)</f>
        <v/>
      </c>
      <c r="R1567" s="21" t="str">
        <f aca="false">IF(OR(J1567="",K1567=""),"",J1567*K1567)</f>
        <v/>
      </c>
      <c r="S1567" s="21" t="str">
        <f aca="false">IF(AND(ISNUMBER(J1567),ISNUMBER(K1567),F1567&lt;&gt;"Calentamiento",F1567&lt;&gt;"Bilbo"),IF(AND(K1567&gt;0,K1567&lt;=12),ROUND(J1567*(1+(K1567+IF(ISNUMBER(L1567),L1567,0))/30),1),""),"")</f>
        <v/>
      </c>
      <c r="T1567" s="21" t="str">
        <f aca="false">IF(AND(F1567="Bilbo",ISNUMBER(J1567),ISNUMBER(K1567)),ROUND(J1567*(1+K1567/30),1),"")</f>
        <v/>
      </c>
      <c r="W1567" s="22"/>
      <c r="X1567" s="21" t="str">
        <f aca="false">IF(AND(F1567="Bilbo",E1567&lt;&gt;"",G1567&lt;&gt;"",H1567&lt;&gt;""),E1567&amp;"|"&amp;G1567&amp;"|"&amp;H1567,"")</f>
        <v/>
      </c>
      <c r="Y1567" s="21" t="str">
        <f aca="false">IF(B1567="","",IF(B1567&lt;&gt;B1566,1,0))</f>
        <v/>
      </c>
    </row>
    <row r="1568" customFormat="false" ht="15" hidden="false" customHeight="true" outlineLevel="0" collapsed="false">
      <c r="A1568" s="21" t="str">
        <f aca="false">IF(B1568="","",ROW()-4)</f>
        <v/>
      </c>
      <c r="B1568" s="22"/>
      <c r="C1568" s="21" t="str">
        <f aca="false">IF(B1568="","",CHOOSE(WEEKDAY(B1568,2),"LUNES","MARTES","MIÉRCOLES","JUEVES","VIERNES","SÁBADO","DOMINGO"))</f>
        <v/>
      </c>
      <c r="M1568" s="23"/>
      <c r="Q1568" s="21" t="str">
        <f aca="false">IF(OR(K1568="",N1568=""),"",K1568-N1568)</f>
        <v/>
      </c>
      <c r="R1568" s="21" t="str">
        <f aca="false">IF(OR(J1568="",K1568=""),"",J1568*K1568)</f>
        <v/>
      </c>
      <c r="S1568" s="21" t="str">
        <f aca="false">IF(AND(ISNUMBER(J1568),ISNUMBER(K1568),F1568&lt;&gt;"Calentamiento",F1568&lt;&gt;"Bilbo"),IF(AND(K1568&gt;0,K1568&lt;=12),ROUND(J1568*(1+(K1568+IF(ISNUMBER(L1568),L1568,0))/30),1),""),"")</f>
        <v/>
      </c>
      <c r="T1568" s="21" t="str">
        <f aca="false">IF(AND(F1568="Bilbo",ISNUMBER(J1568),ISNUMBER(K1568)),ROUND(J1568*(1+K1568/30),1),"")</f>
        <v/>
      </c>
      <c r="W1568" s="22"/>
      <c r="X1568" s="21" t="str">
        <f aca="false">IF(AND(F1568="Bilbo",E1568&lt;&gt;"",G1568&lt;&gt;"",H1568&lt;&gt;""),E1568&amp;"|"&amp;G1568&amp;"|"&amp;H1568,"")</f>
        <v/>
      </c>
      <c r="Y1568" s="21" t="str">
        <f aca="false">IF(B1568="","",IF(B1568&lt;&gt;B1567,1,0))</f>
        <v/>
      </c>
    </row>
    <row r="1569" customFormat="false" ht="15" hidden="false" customHeight="true" outlineLevel="0" collapsed="false">
      <c r="A1569" s="21" t="str">
        <f aca="false">IF(B1569="","",ROW()-4)</f>
        <v/>
      </c>
      <c r="B1569" s="22"/>
      <c r="C1569" s="21" t="str">
        <f aca="false">IF(B1569="","",CHOOSE(WEEKDAY(B1569,2),"LUNES","MARTES","MIÉRCOLES","JUEVES","VIERNES","SÁBADO","DOMINGO"))</f>
        <v/>
      </c>
      <c r="M1569" s="23"/>
      <c r="Q1569" s="21" t="str">
        <f aca="false">IF(OR(K1569="",N1569=""),"",K1569-N1569)</f>
        <v/>
      </c>
      <c r="R1569" s="21" t="str">
        <f aca="false">IF(OR(J1569="",K1569=""),"",J1569*K1569)</f>
        <v/>
      </c>
      <c r="S1569" s="21" t="str">
        <f aca="false">IF(AND(ISNUMBER(J1569),ISNUMBER(K1569),F1569&lt;&gt;"Calentamiento",F1569&lt;&gt;"Bilbo"),IF(AND(K1569&gt;0,K1569&lt;=12),ROUND(J1569*(1+(K1569+IF(ISNUMBER(L1569),L1569,0))/30),1),""),"")</f>
        <v/>
      </c>
      <c r="T1569" s="21" t="str">
        <f aca="false">IF(AND(F1569="Bilbo",ISNUMBER(J1569),ISNUMBER(K1569)),ROUND(J1569*(1+K1569/30),1),"")</f>
        <v/>
      </c>
      <c r="W1569" s="22"/>
      <c r="X1569" s="21" t="str">
        <f aca="false">IF(AND(F1569="Bilbo",E1569&lt;&gt;"",G1569&lt;&gt;"",H1569&lt;&gt;""),E1569&amp;"|"&amp;G1569&amp;"|"&amp;H1569,"")</f>
        <v/>
      </c>
      <c r="Y1569" s="21" t="str">
        <f aca="false">IF(B1569="","",IF(B1569&lt;&gt;B1568,1,0))</f>
        <v/>
      </c>
    </row>
    <row r="1570" customFormat="false" ht="15" hidden="false" customHeight="true" outlineLevel="0" collapsed="false">
      <c r="A1570" s="21" t="str">
        <f aca="false">IF(B1570="","",ROW()-4)</f>
        <v/>
      </c>
      <c r="B1570" s="22"/>
      <c r="C1570" s="21" t="str">
        <f aca="false">IF(B1570="","",CHOOSE(WEEKDAY(B1570,2),"LUNES","MARTES","MIÉRCOLES","JUEVES","VIERNES","SÁBADO","DOMINGO"))</f>
        <v/>
      </c>
      <c r="M1570" s="23"/>
      <c r="Q1570" s="21" t="str">
        <f aca="false">IF(OR(K1570="",N1570=""),"",K1570-N1570)</f>
        <v/>
      </c>
      <c r="R1570" s="21" t="str">
        <f aca="false">IF(OR(J1570="",K1570=""),"",J1570*K1570)</f>
        <v/>
      </c>
      <c r="S1570" s="21" t="str">
        <f aca="false">IF(AND(ISNUMBER(J1570),ISNUMBER(K1570),F1570&lt;&gt;"Calentamiento",F1570&lt;&gt;"Bilbo"),IF(AND(K1570&gt;0,K1570&lt;=12),ROUND(J1570*(1+(K1570+IF(ISNUMBER(L1570),L1570,0))/30),1),""),"")</f>
        <v/>
      </c>
      <c r="T1570" s="21" t="str">
        <f aca="false">IF(AND(F1570="Bilbo",ISNUMBER(J1570),ISNUMBER(K1570)),ROUND(J1570*(1+K1570/30),1),"")</f>
        <v/>
      </c>
      <c r="W1570" s="22"/>
      <c r="X1570" s="21" t="str">
        <f aca="false">IF(AND(F1570="Bilbo",E1570&lt;&gt;"",G1570&lt;&gt;"",H1570&lt;&gt;""),E1570&amp;"|"&amp;G1570&amp;"|"&amp;H1570,"")</f>
        <v/>
      </c>
      <c r="Y1570" s="21" t="str">
        <f aca="false">IF(B1570="","",IF(B1570&lt;&gt;B1569,1,0))</f>
        <v/>
      </c>
    </row>
    <row r="1571" customFormat="false" ht="15" hidden="false" customHeight="true" outlineLevel="0" collapsed="false">
      <c r="A1571" s="21" t="str">
        <f aca="false">IF(B1571="","",ROW()-4)</f>
        <v/>
      </c>
      <c r="B1571" s="22"/>
      <c r="C1571" s="21" t="str">
        <f aca="false">IF(B1571="","",CHOOSE(WEEKDAY(B1571,2),"LUNES","MARTES","MIÉRCOLES","JUEVES","VIERNES","SÁBADO","DOMINGO"))</f>
        <v/>
      </c>
      <c r="M1571" s="23"/>
      <c r="Q1571" s="21" t="str">
        <f aca="false">IF(OR(K1571="",N1571=""),"",K1571-N1571)</f>
        <v/>
      </c>
      <c r="R1571" s="21" t="str">
        <f aca="false">IF(OR(J1571="",K1571=""),"",J1571*K1571)</f>
        <v/>
      </c>
      <c r="S1571" s="21" t="str">
        <f aca="false">IF(AND(ISNUMBER(J1571),ISNUMBER(K1571),F1571&lt;&gt;"Calentamiento",F1571&lt;&gt;"Bilbo"),IF(AND(K1571&gt;0,K1571&lt;=12),ROUND(J1571*(1+(K1571+IF(ISNUMBER(L1571),L1571,0))/30),1),""),"")</f>
        <v/>
      </c>
      <c r="T1571" s="21" t="str">
        <f aca="false">IF(AND(F1571="Bilbo",ISNUMBER(J1571),ISNUMBER(K1571)),ROUND(J1571*(1+K1571/30),1),"")</f>
        <v/>
      </c>
      <c r="W1571" s="22"/>
      <c r="X1571" s="21" t="str">
        <f aca="false">IF(AND(F1571="Bilbo",E1571&lt;&gt;"",G1571&lt;&gt;"",H1571&lt;&gt;""),E1571&amp;"|"&amp;G1571&amp;"|"&amp;H1571,"")</f>
        <v/>
      </c>
      <c r="Y1571" s="21" t="str">
        <f aca="false">IF(B1571="","",IF(B1571&lt;&gt;B1570,1,0))</f>
        <v/>
      </c>
    </row>
    <row r="1572" customFormat="false" ht="15" hidden="false" customHeight="true" outlineLevel="0" collapsed="false">
      <c r="A1572" s="21" t="str">
        <f aca="false">IF(B1572="","",ROW()-4)</f>
        <v/>
      </c>
      <c r="B1572" s="22"/>
      <c r="C1572" s="21" t="str">
        <f aca="false">IF(B1572="","",CHOOSE(WEEKDAY(B1572,2),"LUNES","MARTES","MIÉRCOLES","JUEVES","VIERNES","SÁBADO","DOMINGO"))</f>
        <v/>
      </c>
      <c r="M1572" s="23"/>
      <c r="Q1572" s="21" t="str">
        <f aca="false">IF(OR(K1572="",N1572=""),"",K1572-N1572)</f>
        <v/>
      </c>
      <c r="R1572" s="21" t="str">
        <f aca="false">IF(OR(J1572="",K1572=""),"",J1572*K1572)</f>
        <v/>
      </c>
      <c r="S1572" s="21" t="str">
        <f aca="false">IF(AND(ISNUMBER(J1572),ISNUMBER(K1572),F1572&lt;&gt;"Calentamiento",F1572&lt;&gt;"Bilbo"),IF(AND(K1572&gt;0,K1572&lt;=12),ROUND(J1572*(1+(K1572+IF(ISNUMBER(L1572),L1572,0))/30),1),""),"")</f>
        <v/>
      </c>
      <c r="T1572" s="21" t="str">
        <f aca="false">IF(AND(F1572="Bilbo",ISNUMBER(J1572),ISNUMBER(K1572)),ROUND(J1572*(1+K1572/30),1),"")</f>
        <v/>
      </c>
      <c r="W1572" s="22"/>
      <c r="X1572" s="21" t="str">
        <f aca="false">IF(AND(F1572="Bilbo",E1572&lt;&gt;"",G1572&lt;&gt;"",H1572&lt;&gt;""),E1572&amp;"|"&amp;G1572&amp;"|"&amp;H1572,"")</f>
        <v/>
      </c>
      <c r="Y1572" s="21" t="str">
        <f aca="false">IF(B1572="","",IF(B1572&lt;&gt;B1571,1,0))</f>
        <v/>
      </c>
    </row>
    <row r="1573" customFormat="false" ht="15" hidden="false" customHeight="true" outlineLevel="0" collapsed="false">
      <c r="A1573" s="21" t="str">
        <f aca="false">IF(B1573="","",ROW()-4)</f>
        <v/>
      </c>
      <c r="B1573" s="22"/>
      <c r="C1573" s="21" t="str">
        <f aca="false">IF(B1573="","",CHOOSE(WEEKDAY(B1573,2),"LUNES","MARTES","MIÉRCOLES","JUEVES","VIERNES","SÁBADO","DOMINGO"))</f>
        <v/>
      </c>
      <c r="M1573" s="23"/>
      <c r="Q1573" s="21" t="str">
        <f aca="false">IF(OR(K1573="",N1573=""),"",K1573-N1573)</f>
        <v/>
      </c>
      <c r="R1573" s="21" t="str">
        <f aca="false">IF(OR(J1573="",K1573=""),"",J1573*K1573)</f>
        <v/>
      </c>
      <c r="S1573" s="21" t="str">
        <f aca="false">IF(AND(ISNUMBER(J1573),ISNUMBER(K1573),F1573&lt;&gt;"Calentamiento",F1573&lt;&gt;"Bilbo"),IF(AND(K1573&gt;0,K1573&lt;=12),ROUND(J1573*(1+(K1573+IF(ISNUMBER(L1573),L1573,0))/30),1),""),"")</f>
        <v/>
      </c>
      <c r="T1573" s="21" t="str">
        <f aca="false">IF(AND(F1573="Bilbo",ISNUMBER(J1573),ISNUMBER(K1573)),ROUND(J1573*(1+K1573/30),1),"")</f>
        <v/>
      </c>
      <c r="W1573" s="22"/>
      <c r="X1573" s="21" t="str">
        <f aca="false">IF(AND(F1573="Bilbo",E1573&lt;&gt;"",G1573&lt;&gt;"",H1573&lt;&gt;""),E1573&amp;"|"&amp;G1573&amp;"|"&amp;H1573,"")</f>
        <v/>
      </c>
      <c r="Y1573" s="21" t="str">
        <f aca="false">IF(B1573="","",IF(B1573&lt;&gt;B1572,1,0))</f>
        <v/>
      </c>
    </row>
    <row r="1574" customFormat="false" ht="15" hidden="false" customHeight="true" outlineLevel="0" collapsed="false">
      <c r="A1574" s="21" t="str">
        <f aca="false">IF(B1574="","",ROW()-4)</f>
        <v/>
      </c>
      <c r="B1574" s="22"/>
      <c r="C1574" s="21" t="str">
        <f aca="false">IF(B1574="","",CHOOSE(WEEKDAY(B1574,2),"LUNES","MARTES","MIÉRCOLES","JUEVES","VIERNES","SÁBADO","DOMINGO"))</f>
        <v/>
      </c>
      <c r="M1574" s="23"/>
      <c r="Q1574" s="21" t="str">
        <f aca="false">IF(OR(K1574="",N1574=""),"",K1574-N1574)</f>
        <v/>
      </c>
      <c r="R1574" s="21" t="str">
        <f aca="false">IF(OR(J1574="",K1574=""),"",J1574*K1574)</f>
        <v/>
      </c>
      <c r="S1574" s="21" t="str">
        <f aca="false">IF(AND(ISNUMBER(J1574),ISNUMBER(K1574),F1574&lt;&gt;"Calentamiento",F1574&lt;&gt;"Bilbo"),IF(AND(K1574&gt;0,K1574&lt;=12),ROUND(J1574*(1+(K1574+IF(ISNUMBER(L1574),L1574,0))/30),1),""),"")</f>
        <v/>
      </c>
      <c r="T1574" s="21" t="str">
        <f aca="false">IF(AND(F1574="Bilbo",ISNUMBER(J1574),ISNUMBER(K1574)),ROUND(J1574*(1+K1574/30),1),"")</f>
        <v/>
      </c>
      <c r="W1574" s="22"/>
      <c r="X1574" s="21" t="str">
        <f aca="false">IF(AND(F1574="Bilbo",E1574&lt;&gt;"",G1574&lt;&gt;"",H1574&lt;&gt;""),E1574&amp;"|"&amp;G1574&amp;"|"&amp;H1574,"")</f>
        <v/>
      </c>
      <c r="Y1574" s="21" t="str">
        <f aca="false">IF(B1574="","",IF(B1574&lt;&gt;B1573,1,0))</f>
        <v/>
      </c>
    </row>
    <row r="1575" customFormat="false" ht="15" hidden="false" customHeight="true" outlineLevel="0" collapsed="false">
      <c r="A1575" s="21" t="str">
        <f aca="false">IF(B1575="","",ROW()-4)</f>
        <v/>
      </c>
      <c r="B1575" s="22"/>
      <c r="C1575" s="21" t="str">
        <f aca="false">IF(B1575="","",CHOOSE(WEEKDAY(B1575,2),"LUNES","MARTES","MIÉRCOLES","JUEVES","VIERNES","SÁBADO","DOMINGO"))</f>
        <v/>
      </c>
      <c r="M1575" s="23"/>
      <c r="Q1575" s="21" t="str">
        <f aca="false">IF(OR(K1575="",N1575=""),"",K1575-N1575)</f>
        <v/>
      </c>
      <c r="R1575" s="21" t="str">
        <f aca="false">IF(OR(J1575="",K1575=""),"",J1575*K1575)</f>
        <v/>
      </c>
      <c r="S1575" s="21" t="str">
        <f aca="false">IF(AND(ISNUMBER(J1575),ISNUMBER(K1575),F1575&lt;&gt;"Calentamiento",F1575&lt;&gt;"Bilbo"),IF(AND(K1575&gt;0,K1575&lt;=12),ROUND(J1575*(1+(K1575+IF(ISNUMBER(L1575),L1575,0))/30),1),""),"")</f>
        <v/>
      </c>
      <c r="T1575" s="21" t="str">
        <f aca="false">IF(AND(F1575="Bilbo",ISNUMBER(J1575),ISNUMBER(K1575)),ROUND(J1575*(1+K1575/30),1),"")</f>
        <v/>
      </c>
      <c r="W1575" s="22"/>
      <c r="X1575" s="21" t="str">
        <f aca="false">IF(AND(F1575="Bilbo",E1575&lt;&gt;"",G1575&lt;&gt;"",H1575&lt;&gt;""),E1575&amp;"|"&amp;G1575&amp;"|"&amp;H1575,"")</f>
        <v/>
      </c>
      <c r="Y1575" s="21" t="str">
        <f aca="false">IF(B1575="","",IF(B1575&lt;&gt;B1574,1,0))</f>
        <v/>
      </c>
    </row>
    <row r="1576" customFormat="false" ht="15" hidden="false" customHeight="true" outlineLevel="0" collapsed="false">
      <c r="A1576" s="21" t="str">
        <f aca="false">IF(B1576="","",ROW()-4)</f>
        <v/>
      </c>
      <c r="B1576" s="22"/>
      <c r="C1576" s="21" t="str">
        <f aca="false">IF(B1576="","",CHOOSE(WEEKDAY(B1576,2),"LUNES","MARTES","MIÉRCOLES","JUEVES","VIERNES","SÁBADO","DOMINGO"))</f>
        <v/>
      </c>
      <c r="M1576" s="23"/>
      <c r="Q1576" s="21" t="str">
        <f aca="false">IF(OR(K1576="",N1576=""),"",K1576-N1576)</f>
        <v/>
      </c>
      <c r="R1576" s="21" t="str">
        <f aca="false">IF(OR(J1576="",K1576=""),"",J1576*K1576)</f>
        <v/>
      </c>
      <c r="S1576" s="21" t="str">
        <f aca="false">IF(AND(ISNUMBER(J1576),ISNUMBER(K1576),F1576&lt;&gt;"Calentamiento",F1576&lt;&gt;"Bilbo"),IF(AND(K1576&gt;0,K1576&lt;=12),ROUND(J1576*(1+(K1576+IF(ISNUMBER(L1576),L1576,0))/30),1),""),"")</f>
        <v/>
      </c>
      <c r="T1576" s="21" t="str">
        <f aca="false">IF(AND(F1576="Bilbo",ISNUMBER(J1576),ISNUMBER(K1576)),ROUND(J1576*(1+K1576/30),1),"")</f>
        <v/>
      </c>
      <c r="W1576" s="22"/>
      <c r="X1576" s="21" t="str">
        <f aca="false">IF(AND(F1576="Bilbo",E1576&lt;&gt;"",G1576&lt;&gt;"",H1576&lt;&gt;""),E1576&amp;"|"&amp;G1576&amp;"|"&amp;H1576,"")</f>
        <v/>
      </c>
      <c r="Y1576" s="21" t="str">
        <f aca="false">IF(B1576="","",IF(B1576&lt;&gt;B1575,1,0))</f>
        <v/>
      </c>
    </row>
    <row r="1577" customFormat="false" ht="15" hidden="false" customHeight="true" outlineLevel="0" collapsed="false">
      <c r="A1577" s="21" t="str">
        <f aca="false">IF(B1577="","",ROW()-4)</f>
        <v/>
      </c>
      <c r="B1577" s="22"/>
      <c r="C1577" s="21" t="str">
        <f aca="false">IF(B1577="","",CHOOSE(WEEKDAY(B1577,2),"LUNES","MARTES","MIÉRCOLES","JUEVES","VIERNES","SÁBADO","DOMINGO"))</f>
        <v/>
      </c>
      <c r="M1577" s="23"/>
      <c r="Q1577" s="21" t="str">
        <f aca="false">IF(OR(K1577="",N1577=""),"",K1577-N1577)</f>
        <v/>
      </c>
      <c r="R1577" s="21" t="str">
        <f aca="false">IF(OR(J1577="",K1577=""),"",J1577*K1577)</f>
        <v/>
      </c>
      <c r="S1577" s="21" t="str">
        <f aca="false">IF(AND(ISNUMBER(J1577),ISNUMBER(K1577),F1577&lt;&gt;"Calentamiento",F1577&lt;&gt;"Bilbo"),IF(AND(K1577&gt;0,K1577&lt;=12),ROUND(J1577*(1+(K1577+IF(ISNUMBER(L1577),L1577,0))/30),1),""),"")</f>
        <v/>
      </c>
      <c r="T1577" s="21" t="str">
        <f aca="false">IF(AND(F1577="Bilbo",ISNUMBER(J1577),ISNUMBER(K1577)),ROUND(J1577*(1+K1577/30),1),"")</f>
        <v/>
      </c>
      <c r="W1577" s="22"/>
      <c r="X1577" s="21" t="str">
        <f aca="false">IF(AND(F1577="Bilbo",E1577&lt;&gt;"",G1577&lt;&gt;"",H1577&lt;&gt;""),E1577&amp;"|"&amp;G1577&amp;"|"&amp;H1577,"")</f>
        <v/>
      </c>
      <c r="Y1577" s="21" t="str">
        <f aca="false">IF(B1577="","",IF(B1577&lt;&gt;B1576,1,0))</f>
        <v/>
      </c>
    </row>
    <row r="1578" customFormat="false" ht="15" hidden="false" customHeight="true" outlineLevel="0" collapsed="false">
      <c r="A1578" s="21" t="str">
        <f aca="false">IF(B1578="","",ROW()-4)</f>
        <v/>
      </c>
      <c r="B1578" s="22"/>
      <c r="C1578" s="21" t="str">
        <f aca="false">IF(B1578="","",CHOOSE(WEEKDAY(B1578,2),"LUNES","MARTES","MIÉRCOLES","JUEVES","VIERNES","SÁBADO","DOMINGO"))</f>
        <v/>
      </c>
      <c r="M1578" s="23"/>
      <c r="Q1578" s="21" t="str">
        <f aca="false">IF(OR(K1578="",N1578=""),"",K1578-N1578)</f>
        <v/>
      </c>
      <c r="R1578" s="21" t="str">
        <f aca="false">IF(OR(J1578="",K1578=""),"",J1578*K1578)</f>
        <v/>
      </c>
      <c r="S1578" s="21" t="str">
        <f aca="false">IF(AND(ISNUMBER(J1578),ISNUMBER(K1578),F1578&lt;&gt;"Calentamiento",F1578&lt;&gt;"Bilbo"),IF(AND(K1578&gt;0,K1578&lt;=12),ROUND(J1578*(1+(K1578+IF(ISNUMBER(L1578),L1578,0))/30),1),""),"")</f>
        <v/>
      </c>
      <c r="T1578" s="21" t="str">
        <f aca="false">IF(AND(F1578="Bilbo",ISNUMBER(J1578),ISNUMBER(K1578)),ROUND(J1578*(1+K1578/30),1),"")</f>
        <v/>
      </c>
      <c r="W1578" s="22"/>
      <c r="X1578" s="21" t="str">
        <f aca="false">IF(AND(F1578="Bilbo",E1578&lt;&gt;"",G1578&lt;&gt;"",H1578&lt;&gt;""),E1578&amp;"|"&amp;G1578&amp;"|"&amp;H1578,"")</f>
        <v/>
      </c>
      <c r="Y1578" s="21" t="str">
        <f aca="false">IF(B1578="","",IF(B1578&lt;&gt;B1577,1,0))</f>
        <v/>
      </c>
    </row>
    <row r="1579" customFormat="false" ht="15" hidden="false" customHeight="true" outlineLevel="0" collapsed="false">
      <c r="A1579" s="21" t="str">
        <f aca="false">IF(B1579="","",ROW()-4)</f>
        <v/>
      </c>
      <c r="B1579" s="22"/>
      <c r="C1579" s="21" t="str">
        <f aca="false">IF(B1579="","",CHOOSE(WEEKDAY(B1579,2),"LUNES","MARTES","MIÉRCOLES","JUEVES","VIERNES","SÁBADO","DOMINGO"))</f>
        <v/>
      </c>
      <c r="M1579" s="23"/>
      <c r="Q1579" s="21" t="str">
        <f aca="false">IF(OR(K1579="",N1579=""),"",K1579-N1579)</f>
        <v/>
      </c>
      <c r="R1579" s="21" t="str">
        <f aca="false">IF(OR(J1579="",K1579=""),"",J1579*K1579)</f>
        <v/>
      </c>
      <c r="S1579" s="21" t="str">
        <f aca="false">IF(AND(ISNUMBER(J1579),ISNUMBER(K1579),F1579&lt;&gt;"Calentamiento",F1579&lt;&gt;"Bilbo"),IF(AND(K1579&gt;0,K1579&lt;=12),ROUND(J1579*(1+(K1579+IF(ISNUMBER(L1579),L1579,0))/30),1),""),"")</f>
        <v/>
      </c>
      <c r="T1579" s="21" t="str">
        <f aca="false">IF(AND(F1579="Bilbo",ISNUMBER(J1579),ISNUMBER(K1579)),ROUND(J1579*(1+K1579/30),1),"")</f>
        <v/>
      </c>
      <c r="W1579" s="22"/>
      <c r="X1579" s="21" t="str">
        <f aca="false">IF(AND(F1579="Bilbo",E1579&lt;&gt;"",G1579&lt;&gt;"",H1579&lt;&gt;""),E1579&amp;"|"&amp;G1579&amp;"|"&amp;H1579,"")</f>
        <v/>
      </c>
      <c r="Y1579" s="21" t="str">
        <f aca="false">IF(B1579="","",IF(B1579&lt;&gt;B1578,1,0))</f>
        <v/>
      </c>
    </row>
    <row r="1580" customFormat="false" ht="15" hidden="false" customHeight="true" outlineLevel="0" collapsed="false">
      <c r="A1580" s="21" t="str">
        <f aca="false">IF(B1580="","",ROW()-4)</f>
        <v/>
      </c>
      <c r="B1580" s="22"/>
      <c r="C1580" s="21" t="str">
        <f aca="false">IF(B1580="","",CHOOSE(WEEKDAY(B1580,2),"LUNES","MARTES","MIÉRCOLES","JUEVES","VIERNES","SÁBADO","DOMINGO"))</f>
        <v/>
      </c>
      <c r="M1580" s="23"/>
      <c r="Q1580" s="21" t="str">
        <f aca="false">IF(OR(K1580="",N1580=""),"",K1580-N1580)</f>
        <v/>
      </c>
      <c r="R1580" s="21" t="str">
        <f aca="false">IF(OR(J1580="",K1580=""),"",J1580*K1580)</f>
        <v/>
      </c>
      <c r="S1580" s="21" t="str">
        <f aca="false">IF(AND(ISNUMBER(J1580),ISNUMBER(K1580),F1580&lt;&gt;"Calentamiento",F1580&lt;&gt;"Bilbo"),IF(AND(K1580&gt;0,K1580&lt;=12),ROUND(J1580*(1+(K1580+IF(ISNUMBER(L1580),L1580,0))/30),1),""),"")</f>
        <v/>
      </c>
      <c r="T1580" s="21" t="str">
        <f aca="false">IF(AND(F1580="Bilbo",ISNUMBER(J1580),ISNUMBER(K1580)),ROUND(J1580*(1+K1580/30),1),"")</f>
        <v/>
      </c>
      <c r="W1580" s="22"/>
      <c r="X1580" s="21" t="str">
        <f aca="false">IF(AND(F1580="Bilbo",E1580&lt;&gt;"",G1580&lt;&gt;"",H1580&lt;&gt;""),E1580&amp;"|"&amp;G1580&amp;"|"&amp;H1580,"")</f>
        <v/>
      </c>
      <c r="Y1580" s="21" t="str">
        <f aca="false">IF(B1580="","",IF(B1580&lt;&gt;B1579,1,0))</f>
        <v/>
      </c>
    </row>
    <row r="1581" customFormat="false" ht="15" hidden="false" customHeight="true" outlineLevel="0" collapsed="false">
      <c r="A1581" s="21" t="str">
        <f aca="false">IF(B1581="","",ROW()-4)</f>
        <v/>
      </c>
      <c r="B1581" s="22"/>
      <c r="C1581" s="21" t="str">
        <f aca="false">IF(B1581="","",CHOOSE(WEEKDAY(B1581,2),"LUNES","MARTES","MIÉRCOLES","JUEVES","VIERNES","SÁBADO","DOMINGO"))</f>
        <v/>
      </c>
      <c r="M1581" s="23"/>
      <c r="Q1581" s="21" t="str">
        <f aca="false">IF(OR(K1581="",N1581=""),"",K1581-N1581)</f>
        <v/>
      </c>
      <c r="R1581" s="21" t="str">
        <f aca="false">IF(OR(J1581="",K1581=""),"",J1581*K1581)</f>
        <v/>
      </c>
      <c r="S1581" s="21" t="str">
        <f aca="false">IF(AND(ISNUMBER(J1581),ISNUMBER(K1581),F1581&lt;&gt;"Calentamiento",F1581&lt;&gt;"Bilbo"),IF(AND(K1581&gt;0,K1581&lt;=12),ROUND(J1581*(1+(K1581+IF(ISNUMBER(L1581),L1581,0))/30),1),""),"")</f>
        <v/>
      </c>
      <c r="T1581" s="21" t="str">
        <f aca="false">IF(AND(F1581="Bilbo",ISNUMBER(J1581),ISNUMBER(K1581)),ROUND(J1581*(1+K1581/30),1),"")</f>
        <v/>
      </c>
      <c r="W1581" s="22"/>
      <c r="X1581" s="21" t="str">
        <f aca="false">IF(AND(F1581="Bilbo",E1581&lt;&gt;"",G1581&lt;&gt;"",H1581&lt;&gt;""),E1581&amp;"|"&amp;G1581&amp;"|"&amp;H1581,"")</f>
        <v/>
      </c>
      <c r="Y1581" s="21" t="str">
        <f aca="false">IF(B1581="","",IF(B1581&lt;&gt;B1580,1,0))</f>
        <v/>
      </c>
    </row>
    <row r="1582" customFormat="false" ht="15" hidden="false" customHeight="true" outlineLevel="0" collapsed="false">
      <c r="A1582" s="21" t="str">
        <f aca="false">IF(B1582="","",ROW()-4)</f>
        <v/>
      </c>
      <c r="B1582" s="22"/>
      <c r="C1582" s="21" t="str">
        <f aca="false">IF(B1582="","",CHOOSE(WEEKDAY(B1582,2),"LUNES","MARTES","MIÉRCOLES","JUEVES","VIERNES","SÁBADO","DOMINGO"))</f>
        <v/>
      </c>
      <c r="M1582" s="23"/>
      <c r="Q1582" s="21" t="str">
        <f aca="false">IF(OR(K1582="",N1582=""),"",K1582-N1582)</f>
        <v/>
      </c>
      <c r="R1582" s="21" t="str">
        <f aca="false">IF(OR(J1582="",K1582=""),"",J1582*K1582)</f>
        <v/>
      </c>
      <c r="S1582" s="21" t="str">
        <f aca="false">IF(AND(ISNUMBER(J1582),ISNUMBER(K1582),F1582&lt;&gt;"Calentamiento",F1582&lt;&gt;"Bilbo"),IF(AND(K1582&gt;0,K1582&lt;=12),ROUND(J1582*(1+(K1582+IF(ISNUMBER(L1582),L1582,0))/30),1),""),"")</f>
        <v/>
      </c>
      <c r="T1582" s="21" t="str">
        <f aca="false">IF(AND(F1582="Bilbo",ISNUMBER(J1582),ISNUMBER(K1582)),ROUND(J1582*(1+K1582/30),1),"")</f>
        <v/>
      </c>
      <c r="W1582" s="22"/>
      <c r="X1582" s="21" t="str">
        <f aca="false">IF(AND(F1582="Bilbo",E1582&lt;&gt;"",G1582&lt;&gt;"",H1582&lt;&gt;""),E1582&amp;"|"&amp;G1582&amp;"|"&amp;H1582,"")</f>
        <v/>
      </c>
      <c r="Y1582" s="21" t="str">
        <f aca="false">IF(B1582="","",IF(B1582&lt;&gt;B1581,1,0))</f>
        <v/>
      </c>
    </row>
    <row r="1583" customFormat="false" ht="15" hidden="false" customHeight="true" outlineLevel="0" collapsed="false">
      <c r="A1583" s="21" t="str">
        <f aca="false">IF(B1583="","",ROW()-4)</f>
        <v/>
      </c>
      <c r="B1583" s="22"/>
      <c r="C1583" s="21" t="str">
        <f aca="false">IF(B1583="","",CHOOSE(WEEKDAY(B1583,2),"LUNES","MARTES","MIÉRCOLES","JUEVES","VIERNES","SÁBADO","DOMINGO"))</f>
        <v/>
      </c>
      <c r="M1583" s="23"/>
      <c r="Q1583" s="21" t="str">
        <f aca="false">IF(OR(K1583="",N1583=""),"",K1583-N1583)</f>
        <v/>
      </c>
      <c r="R1583" s="21" t="str">
        <f aca="false">IF(OR(J1583="",K1583=""),"",J1583*K1583)</f>
        <v/>
      </c>
      <c r="S1583" s="21" t="str">
        <f aca="false">IF(AND(ISNUMBER(J1583),ISNUMBER(K1583),F1583&lt;&gt;"Calentamiento",F1583&lt;&gt;"Bilbo"),IF(AND(K1583&gt;0,K1583&lt;=12),ROUND(J1583*(1+(K1583+IF(ISNUMBER(L1583),L1583,0))/30),1),""),"")</f>
        <v/>
      </c>
      <c r="T1583" s="21" t="str">
        <f aca="false">IF(AND(F1583="Bilbo",ISNUMBER(J1583),ISNUMBER(K1583)),ROUND(J1583*(1+K1583/30),1),"")</f>
        <v/>
      </c>
      <c r="W1583" s="22"/>
      <c r="X1583" s="21" t="str">
        <f aca="false">IF(AND(F1583="Bilbo",E1583&lt;&gt;"",G1583&lt;&gt;"",H1583&lt;&gt;""),E1583&amp;"|"&amp;G1583&amp;"|"&amp;H1583,"")</f>
        <v/>
      </c>
      <c r="Y1583" s="21" t="str">
        <f aca="false">IF(B1583="","",IF(B1583&lt;&gt;B1582,1,0))</f>
        <v/>
      </c>
    </row>
    <row r="1584" customFormat="false" ht="15" hidden="false" customHeight="true" outlineLevel="0" collapsed="false">
      <c r="A1584" s="21" t="str">
        <f aca="false">IF(B1584="","",ROW()-4)</f>
        <v/>
      </c>
      <c r="B1584" s="22"/>
      <c r="C1584" s="21" t="str">
        <f aca="false">IF(B1584="","",CHOOSE(WEEKDAY(B1584,2),"LUNES","MARTES","MIÉRCOLES","JUEVES","VIERNES","SÁBADO","DOMINGO"))</f>
        <v/>
      </c>
      <c r="M1584" s="23"/>
      <c r="Q1584" s="21" t="str">
        <f aca="false">IF(OR(K1584="",N1584=""),"",K1584-N1584)</f>
        <v/>
      </c>
      <c r="R1584" s="21" t="str">
        <f aca="false">IF(OR(J1584="",K1584=""),"",J1584*K1584)</f>
        <v/>
      </c>
      <c r="S1584" s="21" t="str">
        <f aca="false">IF(AND(ISNUMBER(J1584),ISNUMBER(K1584),F1584&lt;&gt;"Calentamiento",F1584&lt;&gt;"Bilbo"),IF(AND(K1584&gt;0,K1584&lt;=12),ROUND(J1584*(1+(K1584+IF(ISNUMBER(L1584),L1584,0))/30),1),""),"")</f>
        <v/>
      </c>
      <c r="T1584" s="21" t="str">
        <f aca="false">IF(AND(F1584="Bilbo",ISNUMBER(J1584),ISNUMBER(K1584)),ROUND(J1584*(1+K1584/30),1),"")</f>
        <v/>
      </c>
      <c r="W1584" s="22"/>
      <c r="X1584" s="21" t="str">
        <f aca="false">IF(AND(F1584="Bilbo",E1584&lt;&gt;"",G1584&lt;&gt;"",H1584&lt;&gt;""),E1584&amp;"|"&amp;G1584&amp;"|"&amp;H1584,"")</f>
        <v/>
      </c>
      <c r="Y1584" s="21" t="str">
        <f aca="false">IF(B1584="","",IF(B1584&lt;&gt;B1583,1,0))</f>
        <v/>
      </c>
    </row>
    <row r="1585" customFormat="false" ht="15" hidden="false" customHeight="true" outlineLevel="0" collapsed="false">
      <c r="A1585" s="21" t="str">
        <f aca="false">IF(B1585="","",ROW()-4)</f>
        <v/>
      </c>
      <c r="B1585" s="22"/>
      <c r="C1585" s="21" t="str">
        <f aca="false">IF(B1585="","",CHOOSE(WEEKDAY(B1585,2),"LUNES","MARTES","MIÉRCOLES","JUEVES","VIERNES","SÁBADO","DOMINGO"))</f>
        <v/>
      </c>
      <c r="M1585" s="23"/>
      <c r="Q1585" s="21" t="str">
        <f aca="false">IF(OR(K1585="",N1585=""),"",K1585-N1585)</f>
        <v/>
      </c>
      <c r="R1585" s="21" t="str">
        <f aca="false">IF(OR(J1585="",K1585=""),"",J1585*K1585)</f>
        <v/>
      </c>
      <c r="S1585" s="21" t="str">
        <f aca="false">IF(AND(ISNUMBER(J1585),ISNUMBER(K1585),F1585&lt;&gt;"Calentamiento",F1585&lt;&gt;"Bilbo"),IF(AND(K1585&gt;0,K1585&lt;=12),ROUND(J1585*(1+(K1585+IF(ISNUMBER(L1585),L1585,0))/30),1),""),"")</f>
        <v/>
      </c>
      <c r="T1585" s="21" t="str">
        <f aca="false">IF(AND(F1585="Bilbo",ISNUMBER(J1585),ISNUMBER(K1585)),ROUND(J1585*(1+K1585/30),1),"")</f>
        <v/>
      </c>
      <c r="W1585" s="22"/>
      <c r="X1585" s="21" t="str">
        <f aca="false">IF(AND(F1585="Bilbo",E1585&lt;&gt;"",G1585&lt;&gt;"",H1585&lt;&gt;""),E1585&amp;"|"&amp;G1585&amp;"|"&amp;H1585,"")</f>
        <v/>
      </c>
      <c r="Y1585" s="21" t="str">
        <f aca="false">IF(B1585="","",IF(B1585&lt;&gt;B1584,1,0))</f>
        <v/>
      </c>
    </row>
    <row r="1586" customFormat="false" ht="15" hidden="false" customHeight="true" outlineLevel="0" collapsed="false">
      <c r="A1586" s="21" t="str">
        <f aca="false">IF(B1586="","",ROW()-4)</f>
        <v/>
      </c>
      <c r="B1586" s="22"/>
      <c r="C1586" s="21" t="str">
        <f aca="false">IF(B1586="","",CHOOSE(WEEKDAY(B1586,2),"LUNES","MARTES","MIÉRCOLES","JUEVES","VIERNES","SÁBADO","DOMINGO"))</f>
        <v/>
      </c>
      <c r="M1586" s="23"/>
      <c r="Q1586" s="21" t="str">
        <f aca="false">IF(OR(K1586="",N1586=""),"",K1586-N1586)</f>
        <v/>
      </c>
      <c r="R1586" s="21" t="str">
        <f aca="false">IF(OR(J1586="",K1586=""),"",J1586*K1586)</f>
        <v/>
      </c>
      <c r="S1586" s="21" t="str">
        <f aca="false">IF(AND(ISNUMBER(J1586),ISNUMBER(K1586),F1586&lt;&gt;"Calentamiento",F1586&lt;&gt;"Bilbo"),IF(AND(K1586&gt;0,K1586&lt;=12),ROUND(J1586*(1+(K1586+IF(ISNUMBER(L1586),L1586,0))/30),1),""),"")</f>
        <v/>
      </c>
      <c r="T1586" s="21" t="str">
        <f aca="false">IF(AND(F1586="Bilbo",ISNUMBER(J1586),ISNUMBER(K1586)),ROUND(J1586*(1+K1586/30),1),"")</f>
        <v/>
      </c>
      <c r="W1586" s="22"/>
      <c r="X1586" s="21" t="str">
        <f aca="false">IF(AND(F1586="Bilbo",E1586&lt;&gt;"",G1586&lt;&gt;"",H1586&lt;&gt;""),E1586&amp;"|"&amp;G1586&amp;"|"&amp;H1586,"")</f>
        <v/>
      </c>
      <c r="Y1586" s="21" t="str">
        <f aca="false">IF(B1586="","",IF(B1586&lt;&gt;B1585,1,0))</f>
        <v/>
      </c>
    </row>
    <row r="1587" customFormat="false" ht="15" hidden="false" customHeight="true" outlineLevel="0" collapsed="false">
      <c r="A1587" s="21" t="str">
        <f aca="false">IF(B1587="","",ROW()-4)</f>
        <v/>
      </c>
      <c r="B1587" s="22"/>
      <c r="C1587" s="21" t="str">
        <f aca="false">IF(B1587="","",CHOOSE(WEEKDAY(B1587,2),"LUNES","MARTES","MIÉRCOLES","JUEVES","VIERNES","SÁBADO","DOMINGO"))</f>
        <v/>
      </c>
      <c r="M1587" s="23"/>
      <c r="Q1587" s="21" t="str">
        <f aca="false">IF(OR(K1587="",N1587=""),"",K1587-N1587)</f>
        <v/>
      </c>
      <c r="R1587" s="21" t="str">
        <f aca="false">IF(OR(J1587="",K1587=""),"",J1587*K1587)</f>
        <v/>
      </c>
      <c r="S1587" s="21" t="str">
        <f aca="false">IF(AND(ISNUMBER(J1587),ISNUMBER(K1587),F1587&lt;&gt;"Calentamiento",F1587&lt;&gt;"Bilbo"),IF(AND(K1587&gt;0,K1587&lt;=12),ROUND(J1587*(1+(K1587+IF(ISNUMBER(L1587),L1587,0))/30),1),""),"")</f>
        <v/>
      </c>
      <c r="T1587" s="21" t="str">
        <f aca="false">IF(AND(F1587="Bilbo",ISNUMBER(J1587),ISNUMBER(K1587)),ROUND(J1587*(1+K1587/30),1),"")</f>
        <v/>
      </c>
      <c r="W1587" s="22"/>
      <c r="X1587" s="21" t="str">
        <f aca="false">IF(AND(F1587="Bilbo",E1587&lt;&gt;"",G1587&lt;&gt;"",H1587&lt;&gt;""),E1587&amp;"|"&amp;G1587&amp;"|"&amp;H1587,"")</f>
        <v/>
      </c>
      <c r="Y1587" s="21" t="str">
        <f aca="false">IF(B1587="","",IF(B1587&lt;&gt;B1586,1,0))</f>
        <v/>
      </c>
    </row>
    <row r="1588" customFormat="false" ht="15" hidden="false" customHeight="true" outlineLevel="0" collapsed="false">
      <c r="A1588" s="21" t="str">
        <f aca="false">IF(B1588="","",ROW()-4)</f>
        <v/>
      </c>
      <c r="B1588" s="22"/>
      <c r="C1588" s="21" t="str">
        <f aca="false">IF(B1588="","",CHOOSE(WEEKDAY(B1588,2),"LUNES","MARTES","MIÉRCOLES","JUEVES","VIERNES","SÁBADO","DOMINGO"))</f>
        <v/>
      </c>
      <c r="M1588" s="23"/>
      <c r="Q1588" s="21" t="str">
        <f aca="false">IF(OR(K1588="",N1588=""),"",K1588-N1588)</f>
        <v/>
      </c>
      <c r="R1588" s="21" t="str">
        <f aca="false">IF(OR(J1588="",K1588=""),"",J1588*K1588)</f>
        <v/>
      </c>
      <c r="S1588" s="21" t="str">
        <f aca="false">IF(AND(ISNUMBER(J1588),ISNUMBER(K1588),F1588&lt;&gt;"Calentamiento",F1588&lt;&gt;"Bilbo"),IF(AND(K1588&gt;0,K1588&lt;=12),ROUND(J1588*(1+(K1588+IF(ISNUMBER(L1588),L1588,0))/30),1),""),"")</f>
        <v/>
      </c>
      <c r="T1588" s="21" t="str">
        <f aca="false">IF(AND(F1588="Bilbo",ISNUMBER(J1588),ISNUMBER(K1588)),ROUND(J1588*(1+K1588/30),1),"")</f>
        <v/>
      </c>
      <c r="W1588" s="22"/>
      <c r="X1588" s="21" t="str">
        <f aca="false">IF(AND(F1588="Bilbo",E1588&lt;&gt;"",G1588&lt;&gt;"",H1588&lt;&gt;""),E1588&amp;"|"&amp;G1588&amp;"|"&amp;H1588,"")</f>
        <v/>
      </c>
      <c r="Y1588" s="21" t="str">
        <f aca="false">IF(B1588="","",IF(B1588&lt;&gt;B1587,1,0))</f>
        <v/>
      </c>
    </row>
    <row r="1589" customFormat="false" ht="15" hidden="false" customHeight="true" outlineLevel="0" collapsed="false">
      <c r="A1589" s="21" t="str">
        <f aca="false">IF(B1589="","",ROW()-4)</f>
        <v/>
      </c>
      <c r="B1589" s="22"/>
      <c r="C1589" s="21" t="str">
        <f aca="false">IF(B1589="","",CHOOSE(WEEKDAY(B1589,2),"LUNES","MARTES","MIÉRCOLES","JUEVES","VIERNES","SÁBADO","DOMINGO"))</f>
        <v/>
      </c>
      <c r="M1589" s="23"/>
      <c r="Q1589" s="21" t="str">
        <f aca="false">IF(OR(K1589="",N1589=""),"",K1589-N1589)</f>
        <v/>
      </c>
      <c r="R1589" s="21" t="str">
        <f aca="false">IF(OR(J1589="",K1589=""),"",J1589*K1589)</f>
        <v/>
      </c>
      <c r="S1589" s="21" t="str">
        <f aca="false">IF(AND(ISNUMBER(J1589),ISNUMBER(K1589),F1589&lt;&gt;"Calentamiento",F1589&lt;&gt;"Bilbo"),IF(AND(K1589&gt;0,K1589&lt;=12),ROUND(J1589*(1+(K1589+IF(ISNUMBER(L1589),L1589,0))/30),1),""),"")</f>
        <v/>
      </c>
      <c r="T1589" s="21" t="str">
        <f aca="false">IF(AND(F1589="Bilbo",ISNUMBER(J1589),ISNUMBER(K1589)),ROUND(J1589*(1+K1589/30),1),"")</f>
        <v/>
      </c>
      <c r="W1589" s="22"/>
      <c r="X1589" s="21" t="str">
        <f aca="false">IF(AND(F1589="Bilbo",E1589&lt;&gt;"",G1589&lt;&gt;"",H1589&lt;&gt;""),E1589&amp;"|"&amp;G1589&amp;"|"&amp;H1589,"")</f>
        <v/>
      </c>
      <c r="Y1589" s="21" t="str">
        <f aca="false">IF(B1589="","",IF(B1589&lt;&gt;B1588,1,0))</f>
        <v/>
      </c>
    </row>
    <row r="1590" customFormat="false" ht="15" hidden="false" customHeight="true" outlineLevel="0" collapsed="false">
      <c r="A1590" s="21" t="str">
        <f aca="false">IF(B1590="","",ROW()-4)</f>
        <v/>
      </c>
      <c r="B1590" s="22"/>
      <c r="C1590" s="21" t="str">
        <f aca="false">IF(B1590="","",CHOOSE(WEEKDAY(B1590,2),"LUNES","MARTES","MIÉRCOLES","JUEVES","VIERNES","SÁBADO","DOMINGO"))</f>
        <v/>
      </c>
      <c r="M1590" s="23"/>
      <c r="Q1590" s="21" t="str">
        <f aca="false">IF(OR(K1590="",N1590=""),"",K1590-N1590)</f>
        <v/>
      </c>
      <c r="R1590" s="21" t="str">
        <f aca="false">IF(OR(J1590="",K1590=""),"",J1590*K1590)</f>
        <v/>
      </c>
      <c r="S1590" s="21" t="str">
        <f aca="false">IF(AND(ISNUMBER(J1590),ISNUMBER(K1590),F1590&lt;&gt;"Calentamiento",F1590&lt;&gt;"Bilbo"),IF(AND(K1590&gt;0,K1590&lt;=12),ROUND(J1590*(1+(K1590+IF(ISNUMBER(L1590),L1590,0))/30),1),""),"")</f>
        <v/>
      </c>
      <c r="T1590" s="21" t="str">
        <f aca="false">IF(AND(F1590="Bilbo",ISNUMBER(J1590),ISNUMBER(K1590)),ROUND(J1590*(1+K1590/30),1),"")</f>
        <v/>
      </c>
      <c r="W1590" s="22"/>
      <c r="X1590" s="21" t="str">
        <f aca="false">IF(AND(F1590="Bilbo",E1590&lt;&gt;"",G1590&lt;&gt;"",H1590&lt;&gt;""),E1590&amp;"|"&amp;G1590&amp;"|"&amp;H1590,"")</f>
        <v/>
      </c>
      <c r="Y1590" s="21" t="str">
        <f aca="false">IF(B1590="","",IF(B1590&lt;&gt;B1589,1,0))</f>
        <v/>
      </c>
    </row>
    <row r="1591" customFormat="false" ht="15" hidden="false" customHeight="true" outlineLevel="0" collapsed="false">
      <c r="A1591" s="21" t="str">
        <f aca="false">IF(B1591="","",ROW()-4)</f>
        <v/>
      </c>
      <c r="B1591" s="22"/>
      <c r="C1591" s="21" t="str">
        <f aca="false">IF(B1591="","",CHOOSE(WEEKDAY(B1591,2),"LUNES","MARTES","MIÉRCOLES","JUEVES","VIERNES","SÁBADO","DOMINGO"))</f>
        <v/>
      </c>
      <c r="M1591" s="23"/>
      <c r="Q1591" s="21" t="str">
        <f aca="false">IF(OR(K1591="",N1591=""),"",K1591-N1591)</f>
        <v/>
      </c>
      <c r="R1591" s="21" t="str">
        <f aca="false">IF(OR(J1591="",K1591=""),"",J1591*K1591)</f>
        <v/>
      </c>
      <c r="S1591" s="21" t="str">
        <f aca="false">IF(AND(ISNUMBER(J1591),ISNUMBER(K1591),F1591&lt;&gt;"Calentamiento",F1591&lt;&gt;"Bilbo"),IF(AND(K1591&gt;0,K1591&lt;=12),ROUND(J1591*(1+(K1591+IF(ISNUMBER(L1591),L1591,0))/30),1),""),"")</f>
        <v/>
      </c>
      <c r="T1591" s="21" t="str">
        <f aca="false">IF(AND(F1591="Bilbo",ISNUMBER(J1591),ISNUMBER(K1591)),ROUND(J1591*(1+K1591/30),1),"")</f>
        <v/>
      </c>
      <c r="W1591" s="22"/>
      <c r="X1591" s="21" t="str">
        <f aca="false">IF(AND(F1591="Bilbo",E1591&lt;&gt;"",G1591&lt;&gt;"",H1591&lt;&gt;""),E1591&amp;"|"&amp;G1591&amp;"|"&amp;H1591,"")</f>
        <v/>
      </c>
      <c r="Y1591" s="21" t="str">
        <f aca="false">IF(B1591="","",IF(B1591&lt;&gt;B1590,1,0))</f>
        <v/>
      </c>
    </row>
    <row r="1592" customFormat="false" ht="15" hidden="false" customHeight="true" outlineLevel="0" collapsed="false">
      <c r="A1592" s="21" t="str">
        <f aca="false">IF(B1592="","",ROW()-4)</f>
        <v/>
      </c>
      <c r="B1592" s="22"/>
      <c r="C1592" s="21" t="str">
        <f aca="false">IF(B1592="","",CHOOSE(WEEKDAY(B1592,2),"LUNES","MARTES","MIÉRCOLES","JUEVES","VIERNES","SÁBADO","DOMINGO"))</f>
        <v/>
      </c>
      <c r="M1592" s="23"/>
      <c r="Q1592" s="21" t="str">
        <f aca="false">IF(OR(K1592="",N1592=""),"",K1592-N1592)</f>
        <v/>
      </c>
      <c r="R1592" s="21" t="str">
        <f aca="false">IF(OR(J1592="",K1592=""),"",J1592*K1592)</f>
        <v/>
      </c>
      <c r="S1592" s="21" t="str">
        <f aca="false">IF(AND(ISNUMBER(J1592),ISNUMBER(K1592),F1592&lt;&gt;"Calentamiento",F1592&lt;&gt;"Bilbo"),IF(AND(K1592&gt;0,K1592&lt;=12),ROUND(J1592*(1+(K1592+IF(ISNUMBER(L1592),L1592,0))/30),1),""),"")</f>
        <v/>
      </c>
      <c r="T1592" s="21" t="str">
        <f aca="false">IF(AND(F1592="Bilbo",ISNUMBER(J1592),ISNUMBER(K1592)),ROUND(J1592*(1+K1592/30),1),"")</f>
        <v/>
      </c>
      <c r="W1592" s="22"/>
      <c r="X1592" s="21" t="str">
        <f aca="false">IF(AND(F1592="Bilbo",E1592&lt;&gt;"",G1592&lt;&gt;"",H1592&lt;&gt;""),E1592&amp;"|"&amp;G1592&amp;"|"&amp;H1592,"")</f>
        <v/>
      </c>
      <c r="Y1592" s="21" t="str">
        <f aca="false">IF(B1592="","",IF(B1592&lt;&gt;B1591,1,0))</f>
        <v/>
      </c>
    </row>
    <row r="1593" customFormat="false" ht="15" hidden="false" customHeight="true" outlineLevel="0" collapsed="false">
      <c r="A1593" s="21" t="str">
        <f aca="false">IF(B1593="","",ROW()-4)</f>
        <v/>
      </c>
      <c r="B1593" s="22"/>
      <c r="C1593" s="21" t="str">
        <f aca="false">IF(B1593="","",CHOOSE(WEEKDAY(B1593,2),"LUNES","MARTES","MIÉRCOLES","JUEVES","VIERNES","SÁBADO","DOMINGO"))</f>
        <v/>
      </c>
      <c r="M1593" s="23"/>
      <c r="Q1593" s="21" t="str">
        <f aca="false">IF(OR(K1593="",N1593=""),"",K1593-N1593)</f>
        <v/>
      </c>
      <c r="R1593" s="21" t="str">
        <f aca="false">IF(OR(J1593="",K1593=""),"",J1593*K1593)</f>
        <v/>
      </c>
      <c r="S1593" s="21" t="str">
        <f aca="false">IF(AND(ISNUMBER(J1593),ISNUMBER(K1593),F1593&lt;&gt;"Calentamiento",F1593&lt;&gt;"Bilbo"),IF(AND(K1593&gt;0,K1593&lt;=12),ROUND(J1593*(1+(K1593+IF(ISNUMBER(L1593),L1593,0))/30),1),""),"")</f>
        <v/>
      </c>
      <c r="T1593" s="21" t="str">
        <f aca="false">IF(AND(F1593="Bilbo",ISNUMBER(J1593),ISNUMBER(K1593)),ROUND(J1593*(1+K1593/30),1),"")</f>
        <v/>
      </c>
      <c r="W1593" s="22"/>
      <c r="X1593" s="21" t="str">
        <f aca="false">IF(AND(F1593="Bilbo",E1593&lt;&gt;"",G1593&lt;&gt;"",H1593&lt;&gt;""),E1593&amp;"|"&amp;G1593&amp;"|"&amp;H1593,"")</f>
        <v/>
      </c>
      <c r="Y1593" s="21" t="str">
        <f aca="false">IF(B1593="","",IF(B1593&lt;&gt;B1592,1,0))</f>
        <v/>
      </c>
    </row>
    <row r="1594" customFormat="false" ht="15" hidden="false" customHeight="true" outlineLevel="0" collapsed="false">
      <c r="A1594" s="21" t="str">
        <f aca="false">IF(B1594="","",ROW()-4)</f>
        <v/>
      </c>
      <c r="B1594" s="22"/>
      <c r="C1594" s="21" t="str">
        <f aca="false">IF(B1594="","",CHOOSE(WEEKDAY(B1594,2),"LUNES","MARTES","MIÉRCOLES","JUEVES","VIERNES","SÁBADO","DOMINGO"))</f>
        <v/>
      </c>
      <c r="M1594" s="23"/>
      <c r="Q1594" s="21" t="str">
        <f aca="false">IF(OR(K1594="",N1594=""),"",K1594-N1594)</f>
        <v/>
      </c>
      <c r="R1594" s="21" t="str">
        <f aca="false">IF(OR(J1594="",K1594=""),"",J1594*K1594)</f>
        <v/>
      </c>
      <c r="S1594" s="21" t="str">
        <f aca="false">IF(AND(ISNUMBER(J1594),ISNUMBER(K1594),F1594&lt;&gt;"Calentamiento",F1594&lt;&gt;"Bilbo"),IF(AND(K1594&gt;0,K1594&lt;=12),ROUND(J1594*(1+(K1594+IF(ISNUMBER(L1594),L1594,0))/30),1),""),"")</f>
        <v/>
      </c>
      <c r="T1594" s="21" t="str">
        <f aca="false">IF(AND(F1594="Bilbo",ISNUMBER(J1594),ISNUMBER(K1594)),ROUND(J1594*(1+K1594/30),1),"")</f>
        <v/>
      </c>
      <c r="W1594" s="22"/>
      <c r="X1594" s="21" t="str">
        <f aca="false">IF(AND(F1594="Bilbo",E1594&lt;&gt;"",G1594&lt;&gt;"",H1594&lt;&gt;""),E1594&amp;"|"&amp;G1594&amp;"|"&amp;H1594,"")</f>
        <v/>
      </c>
      <c r="Y1594" s="21" t="str">
        <f aca="false">IF(B1594="","",IF(B1594&lt;&gt;B1593,1,0))</f>
        <v/>
      </c>
    </row>
    <row r="1595" customFormat="false" ht="15" hidden="false" customHeight="true" outlineLevel="0" collapsed="false">
      <c r="A1595" s="21" t="str">
        <f aca="false">IF(B1595="","",ROW()-4)</f>
        <v/>
      </c>
      <c r="B1595" s="22"/>
      <c r="C1595" s="21" t="str">
        <f aca="false">IF(B1595="","",CHOOSE(WEEKDAY(B1595,2),"LUNES","MARTES","MIÉRCOLES","JUEVES","VIERNES","SÁBADO","DOMINGO"))</f>
        <v/>
      </c>
      <c r="M1595" s="23"/>
      <c r="Q1595" s="21" t="str">
        <f aca="false">IF(OR(K1595="",N1595=""),"",K1595-N1595)</f>
        <v/>
      </c>
      <c r="R1595" s="21" t="str">
        <f aca="false">IF(OR(J1595="",K1595=""),"",J1595*K1595)</f>
        <v/>
      </c>
      <c r="S1595" s="21" t="str">
        <f aca="false">IF(AND(ISNUMBER(J1595),ISNUMBER(K1595),F1595&lt;&gt;"Calentamiento",F1595&lt;&gt;"Bilbo"),IF(AND(K1595&gt;0,K1595&lt;=12),ROUND(J1595*(1+(K1595+IF(ISNUMBER(L1595),L1595,0))/30),1),""),"")</f>
        <v/>
      </c>
      <c r="T1595" s="21" t="str">
        <f aca="false">IF(AND(F1595="Bilbo",ISNUMBER(J1595),ISNUMBER(K1595)),ROUND(J1595*(1+K1595/30),1),"")</f>
        <v/>
      </c>
      <c r="W1595" s="22"/>
      <c r="X1595" s="21" t="str">
        <f aca="false">IF(AND(F1595="Bilbo",E1595&lt;&gt;"",G1595&lt;&gt;"",H1595&lt;&gt;""),E1595&amp;"|"&amp;G1595&amp;"|"&amp;H1595,"")</f>
        <v/>
      </c>
      <c r="Y1595" s="21" t="str">
        <f aca="false">IF(B1595="","",IF(B1595&lt;&gt;B1594,1,0))</f>
        <v/>
      </c>
    </row>
    <row r="1596" customFormat="false" ht="15" hidden="false" customHeight="true" outlineLevel="0" collapsed="false">
      <c r="A1596" s="21" t="str">
        <f aca="false">IF(B1596="","",ROW()-4)</f>
        <v/>
      </c>
      <c r="B1596" s="22"/>
      <c r="C1596" s="21" t="str">
        <f aca="false">IF(B1596="","",CHOOSE(WEEKDAY(B1596,2),"LUNES","MARTES","MIÉRCOLES","JUEVES","VIERNES","SÁBADO","DOMINGO"))</f>
        <v/>
      </c>
      <c r="M1596" s="23"/>
      <c r="Q1596" s="21" t="str">
        <f aca="false">IF(OR(K1596="",N1596=""),"",K1596-N1596)</f>
        <v/>
      </c>
      <c r="R1596" s="21" t="str">
        <f aca="false">IF(OR(J1596="",K1596=""),"",J1596*K1596)</f>
        <v/>
      </c>
      <c r="S1596" s="21" t="str">
        <f aca="false">IF(AND(ISNUMBER(J1596),ISNUMBER(K1596),F1596&lt;&gt;"Calentamiento",F1596&lt;&gt;"Bilbo"),IF(AND(K1596&gt;0,K1596&lt;=12),ROUND(J1596*(1+(K1596+IF(ISNUMBER(L1596),L1596,0))/30),1),""),"")</f>
        <v/>
      </c>
      <c r="T1596" s="21" t="str">
        <f aca="false">IF(AND(F1596="Bilbo",ISNUMBER(J1596),ISNUMBER(K1596)),ROUND(J1596*(1+K1596/30),1),"")</f>
        <v/>
      </c>
      <c r="W1596" s="22"/>
      <c r="X1596" s="21" t="str">
        <f aca="false">IF(AND(F1596="Bilbo",E1596&lt;&gt;"",G1596&lt;&gt;"",H1596&lt;&gt;""),E1596&amp;"|"&amp;G1596&amp;"|"&amp;H1596,"")</f>
        <v/>
      </c>
      <c r="Y1596" s="21" t="str">
        <f aca="false">IF(B1596="","",IF(B1596&lt;&gt;B1595,1,0))</f>
        <v/>
      </c>
    </row>
    <row r="1597" customFormat="false" ht="15" hidden="false" customHeight="true" outlineLevel="0" collapsed="false">
      <c r="A1597" s="21" t="str">
        <f aca="false">IF(B1597="","",ROW()-4)</f>
        <v/>
      </c>
      <c r="B1597" s="22"/>
      <c r="C1597" s="21" t="str">
        <f aca="false">IF(B1597="","",CHOOSE(WEEKDAY(B1597,2),"LUNES","MARTES","MIÉRCOLES","JUEVES","VIERNES","SÁBADO","DOMINGO"))</f>
        <v/>
      </c>
      <c r="M1597" s="23"/>
      <c r="Q1597" s="21" t="str">
        <f aca="false">IF(OR(K1597="",N1597=""),"",K1597-N1597)</f>
        <v/>
      </c>
      <c r="R1597" s="21" t="str">
        <f aca="false">IF(OR(J1597="",K1597=""),"",J1597*K1597)</f>
        <v/>
      </c>
      <c r="S1597" s="21" t="str">
        <f aca="false">IF(AND(ISNUMBER(J1597),ISNUMBER(K1597),F1597&lt;&gt;"Calentamiento",F1597&lt;&gt;"Bilbo"),IF(AND(K1597&gt;0,K1597&lt;=12),ROUND(J1597*(1+(K1597+IF(ISNUMBER(L1597),L1597,0))/30),1),""),"")</f>
        <v/>
      </c>
      <c r="T1597" s="21" t="str">
        <f aca="false">IF(AND(F1597="Bilbo",ISNUMBER(J1597),ISNUMBER(K1597)),ROUND(J1597*(1+K1597/30),1),"")</f>
        <v/>
      </c>
      <c r="W1597" s="22"/>
      <c r="X1597" s="21" t="str">
        <f aca="false">IF(AND(F1597="Bilbo",E1597&lt;&gt;"",G1597&lt;&gt;"",H1597&lt;&gt;""),E1597&amp;"|"&amp;G1597&amp;"|"&amp;H1597,"")</f>
        <v/>
      </c>
      <c r="Y1597" s="21" t="str">
        <f aca="false">IF(B1597="","",IF(B1597&lt;&gt;B1596,1,0))</f>
        <v/>
      </c>
    </row>
    <row r="1598" customFormat="false" ht="15" hidden="false" customHeight="true" outlineLevel="0" collapsed="false">
      <c r="A1598" s="21" t="str">
        <f aca="false">IF(B1598="","",ROW()-4)</f>
        <v/>
      </c>
      <c r="B1598" s="22"/>
      <c r="C1598" s="21" t="str">
        <f aca="false">IF(B1598="","",CHOOSE(WEEKDAY(B1598,2),"LUNES","MARTES","MIÉRCOLES","JUEVES","VIERNES","SÁBADO","DOMINGO"))</f>
        <v/>
      </c>
      <c r="M1598" s="23"/>
      <c r="Q1598" s="21" t="str">
        <f aca="false">IF(OR(K1598="",N1598=""),"",K1598-N1598)</f>
        <v/>
      </c>
      <c r="R1598" s="21" t="str">
        <f aca="false">IF(OR(J1598="",K1598=""),"",J1598*K1598)</f>
        <v/>
      </c>
      <c r="S1598" s="21" t="str">
        <f aca="false">IF(AND(ISNUMBER(J1598),ISNUMBER(K1598),F1598&lt;&gt;"Calentamiento",F1598&lt;&gt;"Bilbo"),IF(AND(K1598&gt;0,K1598&lt;=12),ROUND(J1598*(1+(K1598+IF(ISNUMBER(L1598),L1598,0))/30),1),""),"")</f>
        <v/>
      </c>
      <c r="T1598" s="21" t="str">
        <f aca="false">IF(AND(F1598="Bilbo",ISNUMBER(J1598),ISNUMBER(K1598)),ROUND(J1598*(1+K1598/30),1),"")</f>
        <v/>
      </c>
      <c r="W1598" s="22"/>
      <c r="X1598" s="21" t="str">
        <f aca="false">IF(AND(F1598="Bilbo",E1598&lt;&gt;"",G1598&lt;&gt;"",H1598&lt;&gt;""),E1598&amp;"|"&amp;G1598&amp;"|"&amp;H1598,"")</f>
        <v/>
      </c>
      <c r="Y1598" s="21" t="str">
        <f aca="false">IF(B1598="","",IF(B1598&lt;&gt;B1597,1,0))</f>
        <v/>
      </c>
    </row>
    <row r="1599" customFormat="false" ht="15" hidden="false" customHeight="true" outlineLevel="0" collapsed="false">
      <c r="A1599" s="21" t="str">
        <f aca="false">IF(B1599="","",ROW()-4)</f>
        <v/>
      </c>
      <c r="B1599" s="22"/>
      <c r="C1599" s="21" t="str">
        <f aca="false">IF(B1599="","",CHOOSE(WEEKDAY(B1599,2),"LUNES","MARTES","MIÉRCOLES","JUEVES","VIERNES","SÁBADO","DOMINGO"))</f>
        <v/>
      </c>
      <c r="M1599" s="23"/>
      <c r="Q1599" s="21" t="str">
        <f aca="false">IF(OR(K1599="",N1599=""),"",K1599-N1599)</f>
        <v/>
      </c>
      <c r="R1599" s="21" t="str">
        <f aca="false">IF(OR(J1599="",K1599=""),"",J1599*K1599)</f>
        <v/>
      </c>
      <c r="S1599" s="21" t="str">
        <f aca="false">IF(AND(ISNUMBER(J1599),ISNUMBER(K1599),F1599&lt;&gt;"Calentamiento",F1599&lt;&gt;"Bilbo"),IF(AND(K1599&gt;0,K1599&lt;=12),ROUND(J1599*(1+(K1599+IF(ISNUMBER(L1599),L1599,0))/30),1),""),"")</f>
        <v/>
      </c>
      <c r="T1599" s="21" t="str">
        <f aca="false">IF(AND(F1599="Bilbo",ISNUMBER(J1599),ISNUMBER(K1599)),ROUND(J1599*(1+K1599/30),1),"")</f>
        <v/>
      </c>
      <c r="W1599" s="22"/>
      <c r="X1599" s="21" t="str">
        <f aca="false">IF(AND(F1599="Bilbo",E1599&lt;&gt;"",G1599&lt;&gt;"",H1599&lt;&gt;""),E1599&amp;"|"&amp;G1599&amp;"|"&amp;H1599,"")</f>
        <v/>
      </c>
      <c r="Y1599" s="21" t="str">
        <f aca="false">IF(B1599="","",IF(B1599&lt;&gt;B1598,1,0))</f>
        <v/>
      </c>
    </row>
    <row r="1600" customFormat="false" ht="15" hidden="false" customHeight="true" outlineLevel="0" collapsed="false">
      <c r="A1600" s="21" t="str">
        <f aca="false">IF(B1600="","",ROW()-4)</f>
        <v/>
      </c>
      <c r="B1600" s="22"/>
      <c r="C1600" s="21" t="str">
        <f aca="false">IF(B1600="","",CHOOSE(WEEKDAY(B1600,2),"LUNES","MARTES","MIÉRCOLES","JUEVES","VIERNES","SÁBADO","DOMINGO"))</f>
        <v/>
      </c>
      <c r="M1600" s="23"/>
      <c r="Q1600" s="21" t="str">
        <f aca="false">IF(OR(K1600="",N1600=""),"",K1600-N1600)</f>
        <v/>
      </c>
      <c r="R1600" s="21" t="str">
        <f aca="false">IF(OR(J1600="",K1600=""),"",J1600*K1600)</f>
        <v/>
      </c>
      <c r="S1600" s="21" t="str">
        <f aca="false">IF(AND(ISNUMBER(J1600),ISNUMBER(K1600),F1600&lt;&gt;"Calentamiento",F1600&lt;&gt;"Bilbo"),IF(AND(K1600&gt;0,K1600&lt;=12),ROUND(J1600*(1+(K1600+IF(ISNUMBER(L1600),L1600,0))/30),1),""),"")</f>
        <v/>
      </c>
      <c r="T1600" s="21" t="str">
        <f aca="false">IF(AND(F1600="Bilbo",ISNUMBER(J1600),ISNUMBER(K1600)),ROUND(J1600*(1+K1600/30),1),"")</f>
        <v/>
      </c>
      <c r="W1600" s="22"/>
      <c r="X1600" s="21" t="str">
        <f aca="false">IF(AND(F1600="Bilbo",E1600&lt;&gt;"",G1600&lt;&gt;"",H1600&lt;&gt;""),E1600&amp;"|"&amp;G1600&amp;"|"&amp;H1600,"")</f>
        <v/>
      </c>
      <c r="Y1600" s="21" t="str">
        <f aca="false">IF(B1600="","",IF(B1600&lt;&gt;B1599,1,0))</f>
        <v/>
      </c>
    </row>
    <row r="1601" customFormat="false" ht="15" hidden="false" customHeight="true" outlineLevel="0" collapsed="false">
      <c r="A1601" s="21" t="str">
        <f aca="false">IF(B1601="","",ROW()-4)</f>
        <v/>
      </c>
      <c r="B1601" s="22"/>
      <c r="C1601" s="21" t="str">
        <f aca="false">IF(B1601="","",CHOOSE(WEEKDAY(B1601,2),"LUNES","MARTES","MIÉRCOLES","JUEVES","VIERNES","SÁBADO","DOMINGO"))</f>
        <v/>
      </c>
      <c r="M1601" s="23"/>
      <c r="Q1601" s="21" t="str">
        <f aca="false">IF(OR(K1601="",N1601=""),"",K1601-N1601)</f>
        <v/>
      </c>
      <c r="R1601" s="21" t="str">
        <f aca="false">IF(OR(J1601="",K1601=""),"",J1601*K1601)</f>
        <v/>
      </c>
      <c r="S1601" s="21" t="str">
        <f aca="false">IF(AND(ISNUMBER(J1601),ISNUMBER(K1601),F1601&lt;&gt;"Calentamiento",F1601&lt;&gt;"Bilbo"),IF(AND(K1601&gt;0,K1601&lt;=12),ROUND(J1601*(1+(K1601+IF(ISNUMBER(L1601),L1601,0))/30),1),""),"")</f>
        <v/>
      </c>
      <c r="T1601" s="21" t="str">
        <f aca="false">IF(AND(F1601="Bilbo",ISNUMBER(J1601),ISNUMBER(K1601)),ROUND(J1601*(1+K1601/30),1),"")</f>
        <v/>
      </c>
      <c r="W1601" s="22"/>
      <c r="X1601" s="21" t="str">
        <f aca="false">IF(AND(F1601="Bilbo",E1601&lt;&gt;"",G1601&lt;&gt;"",H1601&lt;&gt;""),E1601&amp;"|"&amp;G1601&amp;"|"&amp;H1601,"")</f>
        <v/>
      </c>
      <c r="Y1601" s="21" t="str">
        <f aca="false">IF(B1601="","",IF(B1601&lt;&gt;B1600,1,0))</f>
        <v/>
      </c>
    </row>
    <row r="1602" customFormat="false" ht="15" hidden="false" customHeight="true" outlineLevel="0" collapsed="false">
      <c r="A1602" s="21" t="str">
        <f aca="false">IF(B1602="","",ROW()-4)</f>
        <v/>
      </c>
      <c r="B1602" s="22"/>
      <c r="C1602" s="21" t="str">
        <f aca="false">IF(B1602="","",CHOOSE(WEEKDAY(B1602,2),"LUNES","MARTES","MIÉRCOLES","JUEVES","VIERNES","SÁBADO","DOMINGO"))</f>
        <v/>
      </c>
      <c r="M1602" s="23"/>
      <c r="Q1602" s="21" t="str">
        <f aca="false">IF(OR(K1602="",N1602=""),"",K1602-N1602)</f>
        <v/>
      </c>
      <c r="R1602" s="21" t="str">
        <f aca="false">IF(OR(J1602="",K1602=""),"",J1602*K1602)</f>
        <v/>
      </c>
      <c r="S1602" s="21" t="str">
        <f aca="false">IF(AND(ISNUMBER(J1602),ISNUMBER(K1602),F1602&lt;&gt;"Calentamiento",F1602&lt;&gt;"Bilbo"),IF(AND(K1602&gt;0,K1602&lt;=12),ROUND(J1602*(1+(K1602+IF(ISNUMBER(L1602),L1602,0))/30),1),""),"")</f>
        <v/>
      </c>
      <c r="T1602" s="21" t="str">
        <f aca="false">IF(AND(F1602="Bilbo",ISNUMBER(J1602),ISNUMBER(K1602)),ROUND(J1602*(1+K1602/30),1),"")</f>
        <v/>
      </c>
      <c r="W1602" s="22"/>
      <c r="X1602" s="21" t="str">
        <f aca="false">IF(AND(F1602="Bilbo",E1602&lt;&gt;"",G1602&lt;&gt;"",H1602&lt;&gt;""),E1602&amp;"|"&amp;G1602&amp;"|"&amp;H1602,"")</f>
        <v/>
      </c>
      <c r="Y1602" s="21" t="str">
        <f aca="false">IF(B1602="","",IF(B1602&lt;&gt;B1601,1,0))</f>
        <v/>
      </c>
    </row>
    <row r="1603" customFormat="false" ht="15" hidden="false" customHeight="true" outlineLevel="0" collapsed="false">
      <c r="A1603" s="21" t="str">
        <f aca="false">IF(B1603="","",ROW()-4)</f>
        <v/>
      </c>
      <c r="B1603" s="22"/>
      <c r="C1603" s="21" t="str">
        <f aca="false">IF(B1603="","",CHOOSE(WEEKDAY(B1603,2),"LUNES","MARTES","MIÉRCOLES","JUEVES","VIERNES","SÁBADO","DOMINGO"))</f>
        <v/>
      </c>
      <c r="M1603" s="23"/>
      <c r="Q1603" s="21" t="str">
        <f aca="false">IF(OR(K1603="",N1603=""),"",K1603-N1603)</f>
        <v/>
      </c>
      <c r="R1603" s="21" t="str">
        <f aca="false">IF(OR(J1603="",K1603=""),"",J1603*K1603)</f>
        <v/>
      </c>
      <c r="S1603" s="21" t="str">
        <f aca="false">IF(AND(ISNUMBER(J1603),ISNUMBER(K1603),F1603&lt;&gt;"Calentamiento",F1603&lt;&gt;"Bilbo"),IF(AND(K1603&gt;0,K1603&lt;=12),ROUND(J1603*(1+(K1603+IF(ISNUMBER(L1603),L1603,0))/30),1),""),"")</f>
        <v/>
      </c>
      <c r="T1603" s="21" t="str">
        <f aca="false">IF(AND(F1603="Bilbo",ISNUMBER(J1603),ISNUMBER(K1603)),ROUND(J1603*(1+K1603/30),1),"")</f>
        <v/>
      </c>
      <c r="W1603" s="22"/>
      <c r="X1603" s="21" t="str">
        <f aca="false">IF(AND(F1603="Bilbo",E1603&lt;&gt;"",G1603&lt;&gt;"",H1603&lt;&gt;""),E1603&amp;"|"&amp;G1603&amp;"|"&amp;H1603,"")</f>
        <v/>
      </c>
      <c r="Y1603" s="21" t="str">
        <f aca="false">IF(B1603="","",IF(B1603&lt;&gt;B1602,1,0))</f>
        <v/>
      </c>
    </row>
    <row r="1604" customFormat="false" ht="15" hidden="false" customHeight="true" outlineLevel="0" collapsed="false">
      <c r="A1604" s="21" t="str">
        <f aca="false">IF(B1604="","",ROW()-4)</f>
        <v/>
      </c>
      <c r="B1604" s="22"/>
      <c r="C1604" s="21" t="str">
        <f aca="false">IF(B1604="","",CHOOSE(WEEKDAY(B1604,2),"LUNES","MARTES","MIÉRCOLES","JUEVES","VIERNES","SÁBADO","DOMINGO"))</f>
        <v/>
      </c>
      <c r="M1604" s="23"/>
      <c r="Q1604" s="21" t="str">
        <f aca="false">IF(OR(K1604="",N1604=""),"",K1604-N1604)</f>
        <v/>
      </c>
      <c r="R1604" s="21" t="str">
        <f aca="false">IF(OR(J1604="",K1604=""),"",J1604*K1604)</f>
        <v/>
      </c>
      <c r="S1604" s="21" t="str">
        <f aca="false">IF(AND(ISNUMBER(J1604),ISNUMBER(K1604),F1604&lt;&gt;"Calentamiento",F1604&lt;&gt;"Bilbo"),IF(AND(K1604&gt;0,K1604&lt;=12),ROUND(J1604*(1+(K1604+IF(ISNUMBER(L1604),L1604,0))/30),1),""),"")</f>
        <v/>
      </c>
      <c r="T1604" s="21" t="str">
        <f aca="false">IF(AND(F1604="Bilbo",ISNUMBER(J1604),ISNUMBER(K1604)),ROUND(J1604*(1+K1604/30),1),"")</f>
        <v/>
      </c>
      <c r="W1604" s="22"/>
      <c r="X1604" s="21" t="str">
        <f aca="false">IF(AND(F1604="Bilbo",E1604&lt;&gt;"",G1604&lt;&gt;"",H1604&lt;&gt;""),E1604&amp;"|"&amp;G1604&amp;"|"&amp;H1604,"")</f>
        <v/>
      </c>
      <c r="Y1604" s="21" t="str">
        <f aca="false">IF(B1604="","",IF(B1604&lt;&gt;B1603,1,0))</f>
        <v/>
      </c>
    </row>
    <row r="1605" customFormat="false" ht="15" hidden="false" customHeight="true" outlineLevel="0" collapsed="false">
      <c r="A1605" s="21" t="str">
        <f aca="false">IF(B1605="","",ROW()-4)</f>
        <v/>
      </c>
      <c r="B1605" s="22"/>
      <c r="C1605" s="21" t="str">
        <f aca="false">IF(B1605="","",CHOOSE(WEEKDAY(B1605,2),"LUNES","MARTES","MIÉRCOLES","JUEVES","VIERNES","SÁBADO","DOMINGO"))</f>
        <v/>
      </c>
      <c r="M1605" s="23"/>
      <c r="Q1605" s="21" t="str">
        <f aca="false">IF(OR(K1605="",N1605=""),"",K1605-N1605)</f>
        <v/>
      </c>
      <c r="R1605" s="21" t="str">
        <f aca="false">IF(OR(J1605="",K1605=""),"",J1605*K1605)</f>
        <v/>
      </c>
      <c r="S1605" s="21" t="str">
        <f aca="false">IF(AND(ISNUMBER(J1605),ISNUMBER(K1605),F1605&lt;&gt;"Calentamiento",F1605&lt;&gt;"Bilbo"),IF(AND(K1605&gt;0,K1605&lt;=12),ROUND(J1605*(1+(K1605+IF(ISNUMBER(L1605),L1605,0))/30),1),""),"")</f>
        <v/>
      </c>
      <c r="T1605" s="21" t="str">
        <f aca="false">IF(AND(F1605="Bilbo",ISNUMBER(J1605),ISNUMBER(K1605)),ROUND(J1605*(1+K1605/30),1),"")</f>
        <v/>
      </c>
      <c r="W1605" s="22"/>
      <c r="X1605" s="21" t="str">
        <f aca="false">IF(AND(F1605="Bilbo",E1605&lt;&gt;"",G1605&lt;&gt;"",H1605&lt;&gt;""),E1605&amp;"|"&amp;G1605&amp;"|"&amp;H1605,"")</f>
        <v/>
      </c>
      <c r="Y1605" s="21" t="str">
        <f aca="false">IF(B1605="","",IF(B1605&lt;&gt;B1604,1,0))</f>
        <v/>
      </c>
    </row>
    <row r="1606" customFormat="false" ht="15" hidden="false" customHeight="true" outlineLevel="0" collapsed="false">
      <c r="A1606" s="21" t="str">
        <f aca="false">IF(B1606="","",ROW()-4)</f>
        <v/>
      </c>
      <c r="B1606" s="22"/>
      <c r="C1606" s="21" t="str">
        <f aca="false">IF(B1606="","",CHOOSE(WEEKDAY(B1606,2),"LUNES","MARTES","MIÉRCOLES","JUEVES","VIERNES","SÁBADO","DOMINGO"))</f>
        <v/>
      </c>
      <c r="M1606" s="23"/>
      <c r="Q1606" s="21" t="str">
        <f aca="false">IF(OR(K1606="",N1606=""),"",K1606-N1606)</f>
        <v/>
      </c>
      <c r="R1606" s="21" t="str">
        <f aca="false">IF(OR(J1606="",K1606=""),"",J1606*K1606)</f>
        <v/>
      </c>
      <c r="S1606" s="21" t="str">
        <f aca="false">IF(AND(ISNUMBER(J1606),ISNUMBER(K1606),F1606&lt;&gt;"Calentamiento",F1606&lt;&gt;"Bilbo"),IF(AND(K1606&gt;0,K1606&lt;=12),ROUND(J1606*(1+(K1606+IF(ISNUMBER(L1606),L1606,0))/30),1),""),"")</f>
        <v/>
      </c>
      <c r="T1606" s="21" t="str">
        <f aca="false">IF(AND(F1606="Bilbo",ISNUMBER(J1606),ISNUMBER(K1606)),ROUND(J1606*(1+K1606/30),1),"")</f>
        <v/>
      </c>
      <c r="W1606" s="22"/>
      <c r="X1606" s="21" t="str">
        <f aca="false">IF(AND(F1606="Bilbo",E1606&lt;&gt;"",G1606&lt;&gt;"",H1606&lt;&gt;""),E1606&amp;"|"&amp;G1606&amp;"|"&amp;H1606,"")</f>
        <v/>
      </c>
      <c r="Y1606" s="21" t="str">
        <f aca="false">IF(B1606="","",IF(B1606&lt;&gt;B1605,1,0))</f>
        <v/>
      </c>
    </row>
    <row r="1607" customFormat="false" ht="15" hidden="false" customHeight="true" outlineLevel="0" collapsed="false">
      <c r="A1607" s="21" t="str">
        <f aca="false">IF(B1607="","",ROW()-4)</f>
        <v/>
      </c>
      <c r="B1607" s="22"/>
      <c r="C1607" s="21" t="str">
        <f aca="false">IF(B1607="","",CHOOSE(WEEKDAY(B1607,2),"LUNES","MARTES","MIÉRCOLES","JUEVES","VIERNES","SÁBADO","DOMINGO"))</f>
        <v/>
      </c>
      <c r="M1607" s="23"/>
      <c r="Q1607" s="21" t="str">
        <f aca="false">IF(OR(K1607="",N1607=""),"",K1607-N1607)</f>
        <v/>
      </c>
      <c r="R1607" s="21" t="str">
        <f aca="false">IF(OR(J1607="",K1607=""),"",J1607*K1607)</f>
        <v/>
      </c>
      <c r="S1607" s="21" t="str">
        <f aca="false">IF(AND(ISNUMBER(J1607),ISNUMBER(K1607),F1607&lt;&gt;"Calentamiento",F1607&lt;&gt;"Bilbo"),IF(AND(K1607&gt;0,K1607&lt;=12),ROUND(J1607*(1+(K1607+IF(ISNUMBER(L1607),L1607,0))/30),1),""),"")</f>
        <v/>
      </c>
      <c r="T1607" s="21" t="str">
        <f aca="false">IF(AND(F1607="Bilbo",ISNUMBER(J1607),ISNUMBER(K1607)),ROUND(J1607*(1+K1607/30),1),"")</f>
        <v/>
      </c>
      <c r="W1607" s="22"/>
      <c r="X1607" s="21" t="str">
        <f aca="false">IF(AND(F1607="Bilbo",E1607&lt;&gt;"",G1607&lt;&gt;"",H1607&lt;&gt;""),E1607&amp;"|"&amp;G1607&amp;"|"&amp;H1607,"")</f>
        <v/>
      </c>
      <c r="Y1607" s="21" t="str">
        <f aca="false">IF(B1607="","",IF(B1607&lt;&gt;B1606,1,0))</f>
        <v/>
      </c>
    </row>
    <row r="1608" customFormat="false" ht="15" hidden="false" customHeight="true" outlineLevel="0" collapsed="false">
      <c r="A1608" s="21" t="str">
        <f aca="false">IF(B1608="","",ROW()-4)</f>
        <v/>
      </c>
      <c r="B1608" s="22"/>
      <c r="C1608" s="21" t="str">
        <f aca="false">IF(B1608="","",CHOOSE(WEEKDAY(B1608,2),"LUNES","MARTES","MIÉRCOLES","JUEVES","VIERNES","SÁBADO","DOMINGO"))</f>
        <v/>
      </c>
      <c r="M1608" s="23"/>
      <c r="Q1608" s="21" t="str">
        <f aca="false">IF(OR(K1608="",N1608=""),"",K1608-N1608)</f>
        <v/>
      </c>
      <c r="R1608" s="21" t="str">
        <f aca="false">IF(OR(J1608="",K1608=""),"",J1608*K1608)</f>
        <v/>
      </c>
      <c r="S1608" s="21" t="str">
        <f aca="false">IF(AND(ISNUMBER(J1608),ISNUMBER(K1608),F1608&lt;&gt;"Calentamiento",F1608&lt;&gt;"Bilbo"),IF(AND(K1608&gt;0,K1608&lt;=12),ROUND(J1608*(1+(K1608+IF(ISNUMBER(L1608),L1608,0))/30),1),""),"")</f>
        <v/>
      </c>
      <c r="T1608" s="21" t="str">
        <f aca="false">IF(AND(F1608="Bilbo",ISNUMBER(J1608),ISNUMBER(K1608)),ROUND(J1608*(1+K1608/30),1),"")</f>
        <v/>
      </c>
      <c r="W1608" s="22"/>
      <c r="X1608" s="21" t="str">
        <f aca="false">IF(AND(F1608="Bilbo",E1608&lt;&gt;"",G1608&lt;&gt;"",H1608&lt;&gt;""),E1608&amp;"|"&amp;G1608&amp;"|"&amp;H1608,"")</f>
        <v/>
      </c>
      <c r="Y1608" s="21" t="str">
        <f aca="false">IF(B1608="","",IF(B1608&lt;&gt;B1607,1,0))</f>
        <v/>
      </c>
    </row>
    <row r="1609" customFormat="false" ht="15" hidden="false" customHeight="true" outlineLevel="0" collapsed="false">
      <c r="A1609" s="21" t="str">
        <f aca="false">IF(B1609="","",ROW()-4)</f>
        <v/>
      </c>
      <c r="B1609" s="22"/>
      <c r="C1609" s="21" t="str">
        <f aca="false">IF(B1609="","",CHOOSE(WEEKDAY(B1609,2),"LUNES","MARTES","MIÉRCOLES","JUEVES","VIERNES","SÁBADO","DOMINGO"))</f>
        <v/>
      </c>
      <c r="M1609" s="23"/>
      <c r="Q1609" s="21" t="str">
        <f aca="false">IF(OR(K1609="",N1609=""),"",K1609-N1609)</f>
        <v/>
      </c>
      <c r="R1609" s="21" t="str">
        <f aca="false">IF(OR(J1609="",K1609=""),"",J1609*K1609)</f>
        <v/>
      </c>
      <c r="S1609" s="21" t="str">
        <f aca="false">IF(AND(ISNUMBER(J1609),ISNUMBER(K1609),F1609&lt;&gt;"Calentamiento",F1609&lt;&gt;"Bilbo"),IF(AND(K1609&gt;0,K1609&lt;=12),ROUND(J1609*(1+(K1609+IF(ISNUMBER(L1609),L1609,0))/30),1),""),"")</f>
        <v/>
      </c>
      <c r="T1609" s="21" t="str">
        <f aca="false">IF(AND(F1609="Bilbo",ISNUMBER(J1609),ISNUMBER(K1609)),ROUND(J1609*(1+K1609/30),1),"")</f>
        <v/>
      </c>
      <c r="W1609" s="22"/>
      <c r="X1609" s="21" t="str">
        <f aca="false">IF(AND(F1609="Bilbo",E1609&lt;&gt;"",G1609&lt;&gt;"",H1609&lt;&gt;""),E1609&amp;"|"&amp;G1609&amp;"|"&amp;H1609,"")</f>
        <v/>
      </c>
      <c r="Y1609" s="21" t="str">
        <f aca="false">IF(B1609="","",IF(B1609&lt;&gt;B1608,1,0))</f>
        <v/>
      </c>
    </row>
    <row r="1610" customFormat="false" ht="15" hidden="false" customHeight="true" outlineLevel="0" collapsed="false">
      <c r="A1610" s="21" t="str">
        <f aca="false">IF(B1610="","",ROW()-4)</f>
        <v/>
      </c>
      <c r="B1610" s="22"/>
      <c r="C1610" s="21" t="str">
        <f aca="false">IF(B1610="","",CHOOSE(WEEKDAY(B1610,2),"LUNES","MARTES","MIÉRCOLES","JUEVES","VIERNES","SÁBADO","DOMINGO"))</f>
        <v/>
      </c>
      <c r="M1610" s="23"/>
      <c r="Q1610" s="21" t="str">
        <f aca="false">IF(OR(K1610="",N1610=""),"",K1610-N1610)</f>
        <v/>
      </c>
      <c r="R1610" s="21" t="str">
        <f aca="false">IF(OR(J1610="",K1610=""),"",J1610*K1610)</f>
        <v/>
      </c>
      <c r="S1610" s="21" t="str">
        <f aca="false">IF(AND(ISNUMBER(J1610),ISNUMBER(K1610),F1610&lt;&gt;"Calentamiento",F1610&lt;&gt;"Bilbo"),IF(AND(K1610&gt;0,K1610&lt;=12),ROUND(J1610*(1+(K1610+IF(ISNUMBER(L1610),L1610,0))/30),1),""),"")</f>
        <v/>
      </c>
      <c r="T1610" s="21" t="str">
        <f aca="false">IF(AND(F1610="Bilbo",ISNUMBER(J1610),ISNUMBER(K1610)),ROUND(J1610*(1+K1610/30),1),"")</f>
        <v/>
      </c>
      <c r="W1610" s="22"/>
      <c r="X1610" s="21" t="str">
        <f aca="false">IF(AND(F1610="Bilbo",E1610&lt;&gt;"",G1610&lt;&gt;"",H1610&lt;&gt;""),E1610&amp;"|"&amp;G1610&amp;"|"&amp;H1610,"")</f>
        <v/>
      </c>
      <c r="Y1610" s="21" t="str">
        <f aca="false">IF(B1610="","",IF(B1610&lt;&gt;B1609,1,0))</f>
        <v/>
      </c>
    </row>
    <row r="1611" customFormat="false" ht="15" hidden="false" customHeight="true" outlineLevel="0" collapsed="false">
      <c r="A1611" s="21" t="str">
        <f aca="false">IF(B1611="","",ROW()-4)</f>
        <v/>
      </c>
      <c r="B1611" s="22"/>
      <c r="C1611" s="21" t="str">
        <f aca="false">IF(B1611="","",CHOOSE(WEEKDAY(B1611,2),"LUNES","MARTES","MIÉRCOLES","JUEVES","VIERNES","SÁBADO","DOMINGO"))</f>
        <v/>
      </c>
      <c r="M1611" s="23"/>
      <c r="Q1611" s="21" t="str">
        <f aca="false">IF(OR(K1611="",N1611=""),"",K1611-N1611)</f>
        <v/>
      </c>
      <c r="R1611" s="21" t="str">
        <f aca="false">IF(OR(J1611="",K1611=""),"",J1611*K1611)</f>
        <v/>
      </c>
      <c r="S1611" s="21" t="str">
        <f aca="false">IF(AND(ISNUMBER(J1611),ISNUMBER(K1611),F1611&lt;&gt;"Calentamiento",F1611&lt;&gt;"Bilbo"),IF(AND(K1611&gt;0,K1611&lt;=12),ROUND(J1611*(1+(K1611+IF(ISNUMBER(L1611),L1611,0))/30),1),""),"")</f>
        <v/>
      </c>
      <c r="T1611" s="21" t="str">
        <f aca="false">IF(AND(F1611="Bilbo",ISNUMBER(J1611),ISNUMBER(K1611)),ROUND(J1611*(1+K1611/30),1),"")</f>
        <v/>
      </c>
      <c r="W1611" s="22"/>
      <c r="X1611" s="21" t="str">
        <f aca="false">IF(AND(F1611="Bilbo",E1611&lt;&gt;"",G1611&lt;&gt;"",H1611&lt;&gt;""),E1611&amp;"|"&amp;G1611&amp;"|"&amp;H1611,"")</f>
        <v/>
      </c>
      <c r="Y1611" s="21" t="str">
        <f aca="false">IF(B1611="","",IF(B1611&lt;&gt;B1610,1,0))</f>
        <v/>
      </c>
    </row>
    <row r="1612" customFormat="false" ht="15" hidden="false" customHeight="true" outlineLevel="0" collapsed="false">
      <c r="A1612" s="21" t="str">
        <f aca="false">IF(B1612="","",ROW()-4)</f>
        <v/>
      </c>
      <c r="B1612" s="22"/>
      <c r="C1612" s="21" t="str">
        <f aca="false">IF(B1612="","",CHOOSE(WEEKDAY(B1612,2),"LUNES","MARTES","MIÉRCOLES","JUEVES","VIERNES","SÁBADO","DOMINGO"))</f>
        <v/>
      </c>
      <c r="M1612" s="23"/>
      <c r="Q1612" s="21" t="str">
        <f aca="false">IF(OR(K1612="",N1612=""),"",K1612-N1612)</f>
        <v/>
      </c>
      <c r="R1612" s="21" t="str">
        <f aca="false">IF(OR(J1612="",K1612=""),"",J1612*K1612)</f>
        <v/>
      </c>
      <c r="S1612" s="21" t="str">
        <f aca="false">IF(AND(ISNUMBER(J1612),ISNUMBER(K1612),F1612&lt;&gt;"Calentamiento",F1612&lt;&gt;"Bilbo"),IF(AND(K1612&gt;0,K1612&lt;=12),ROUND(J1612*(1+(K1612+IF(ISNUMBER(L1612),L1612,0))/30),1),""),"")</f>
        <v/>
      </c>
      <c r="T1612" s="21" t="str">
        <f aca="false">IF(AND(F1612="Bilbo",ISNUMBER(J1612),ISNUMBER(K1612)),ROUND(J1612*(1+K1612/30),1),"")</f>
        <v/>
      </c>
      <c r="W1612" s="22"/>
      <c r="X1612" s="21" t="str">
        <f aca="false">IF(AND(F1612="Bilbo",E1612&lt;&gt;"",G1612&lt;&gt;"",H1612&lt;&gt;""),E1612&amp;"|"&amp;G1612&amp;"|"&amp;H1612,"")</f>
        <v/>
      </c>
      <c r="Y1612" s="21" t="str">
        <f aca="false">IF(B1612="","",IF(B1612&lt;&gt;B1611,1,0))</f>
        <v/>
      </c>
    </row>
    <row r="1613" customFormat="false" ht="15" hidden="false" customHeight="true" outlineLevel="0" collapsed="false">
      <c r="A1613" s="21" t="str">
        <f aca="false">IF(B1613="","",ROW()-4)</f>
        <v/>
      </c>
      <c r="B1613" s="22"/>
      <c r="C1613" s="21" t="str">
        <f aca="false">IF(B1613="","",CHOOSE(WEEKDAY(B1613,2),"LUNES","MARTES","MIÉRCOLES","JUEVES","VIERNES","SÁBADO","DOMINGO"))</f>
        <v/>
      </c>
      <c r="M1613" s="23"/>
      <c r="Q1613" s="21" t="str">
        <f aca="false">IF(OR(K1613="",N1613=""),"",K1613-N1613)</f>
        <v/>
      </c>
      <c r="R1613" s="21" t="str">
        <f aca="false">IF(OR(J1613="",K1613=""),"",J1613*K1613)</f>
        <v/>
      </c>
      <c r="S1613" s="21" t="str">
        <f aca="false">IF(AND(ISNUMBER(J1613),ISNUMBER(K1613),F1613&lt;&gt;"Calentamiento",F1613&lt;&gt;"Bilbo"),IF(AND(K1613&gt;0,K1613&lt;=12),ROUND(J1613*(1+(K1613+IF(ISNUMBER(L1613),L1613,0))/30),1),""),"")</f>
        <v/>
      </c>
      <c r="T1613" s="21" t="str">
        <f aca="false">IF(AND(F1613="Bilbo",ISNUMBER(J1613),ISNUMBER(K1613)),ROUND(J1613*(1+K1613/30),1),"")</f>
        <v/>
      </c>
      <c r="W1613" s="22"/>
      <c r="X1613" s="21" t="str">
        <f aca="false">IF(AND(F1613="Bilbo",E1613&lt;&gt;"",G1613&lt;&gt;"",H1613&lt;&gt;""),E1613&amp;"|"&amp;G1613&amp;"|"&amp;H1613,"")</f>
        <v/>
      </c>
      <c r="Y1613" s="21" t="str">
        <f aca="false">IF(B1613="","",IF(B1613&lt;&gt;B1612,1,0))</f>
        <v/>
      </c>
    </row>
    <row r="1614" customFormat="false" ht="15" hidden="false" customHeight="true" outlineLevel="0" collapsed="false">
      <c r="A1614" s="21" t="str">
        <f aca="false">IF(B1614="","",ROW()-4)</f>
        <v/>
      </c>
      <c r="B1614" s="22"/>
      <c r="C1614" s="21" t="str">
        <f aca="false">IF(B1614="","",CHOOSE(WEEKDAY(B1614,2),"LUNES","MARTES","MIÉRCOLES","JUEVES","VIERNES","SÁBADO","DOMINGO"))</f>
        <v/>
      </c>
      <c r="M1614" s="23"/>
      <c r="Q1614" s="21" t="str">
        <f aca="false">IF(OR(K1614="",N1614=""),"",K1614-N1614)</f>
        <v/>
      </c>
      <c r="R1614" s="21" t="str">
        <f aca="false">IF(OR(J1614="",K1614=""),"",J1614*K1614)</f>
        <v/>
      </c>
      <c r="S1614" s="21" t="str">
        <f aca="false">IF(AND(ISNUMBER(J1614),ISNUMBER(K1614),F1614&lt;&gt;"Calentamiento",F1614&lt;&gt;"Bilbo"),IF(AND(K1614&gt;0,K1614&lt;=12),ROUND(J1614*(1+(K1614+IF(ISNUMBER(L1614),L1614,0))/30),1),""),"")</f>
        <v/>
      </c>
      <c r="T1614" s="21" t="str">
        <f aca="false">IF(AND(F1614="Bilbo",ISNUMBER(J1614),ISNUMBER(K1614)),ROUND(J1614*(1+K1614/30),1),"")</f>
        <v/>
      </c>
      <c r="W1614" s="22"/>
      <c r="X1614" s="21" t="str">
        <f aca="false">IF(AND(F1614="Bilbo",E1614&lt;&gt;"",G1614&lt;&gt;"",H1614&lt;&gt;""),E1614&amp;"|"&amp;G1614&amp;"|"&amp;H1614,"")</f>
        <v/>
      </c>
      <c r="Y1614" s="21" t="str">
        <f aca="false">IF(B1614="","",IF(B1614&lt;&gt;B1613,1,0))</f>
        <v/>
      </c>
    </row>
    <row r="1615" customFormat="false" ht="15" hidden="false" customHeight="true" outlineLevel="0" collapsed="false">
      <c r="A1615" s="21" t="str">
        <f aca="false">IF(B1615="","",ROW()-4)</f>
        <v/>
      </c>
      <c r="B1615" s="22"/>
      <c r="C1615" s="21" t="str">
        <f aca="false">IF(B1615="","",CHOOSE(WEEKDAY(B1615,2),"LUNES","MARTES","MIÉRCOLES","JUEVES","VIERNES","SÁBADO","DOMINGO"))</f>
        <v/>
      </c>
      <c r="M1615" s="23"/>
      <c r="Q1615" s="21" t="str">
        <f aca="false">IF(OR(K1615="",N1615=""),"",K1615-N1615)</f>
        <v/>
      </c>
      <c r="R1615" s="21" t="str">
        <f aca="false">IF(OR(J1615="",K1615=""),"",J1615*K1615)</f>
        <v/>
      </c>
      <c r="S1615" s="21" t="str">
        <f aca="false">IF(AND(ISNUMBER(J1615),ISNUMBER(K1615),F1615&lt;&gt;"Calentamiento",F1615&lt;&gt;"Bilbo"),IF(AND(K1615&gt;0,K1615&lt;=12),ROUND(J1615*(1+(K1615+IF(ISNUMBER(L1615),L1615,0))/30),1),""),"")</f>
        <v/>
      </c>
      <c r="T1615" s="21" t="str">
        <f aca="false">IF(AND(F1615="Bilbo",ISNUMBER(J1615),ISNUMBER(K1615)),ROUND(J1615*(1+K1615/30),1),"")</f>
        <v/>
      </c>
      <c r="W1615" s="22"/>
      <c r="X1615" s="21" t="str">
        <f aca="false">IF(AND(F1615="Bilbo",E1615&lt;&gt;"",G1615&lt;&gt;"",H1615&lt;&gt;""),E1615&amp;"|"&amp;G1615&amp;"|"&amp;H1615,"")</f>
        <v/>
      </c>
      <c r="Y1615" s="21" t="str">
        <f aca="false">IF(B1615="","",IF(B1615&lt;&gt;B1614,1,0))</f>
        <v/>
      </c>
    </row>
    <row r="1616" customFormat="false" ht="15" hidden="false" customHeight="true" outlineLevel="0" collapsed="false">
      <c r="A1616" s="21" t="str">
        <f aca="false">IF(B1616="","",ROW()-4)</f>
        <v/>
      </c>
      <c r="B1616" s="22"/>
      <c r="C1616" s="21" t="str">
        <f aca="false">IF(B1616="","",CHOOSE(WEEKDAY(B1616,2),"LUNES","MARTES","MIÉRCOLES","JUEVES","VIERNES","SÁBADO","DOMINGO"))</f>
        <v/>
      </c>
      <c r="M1616" s="23"/>
      <c r="Q1616" s="21" t="str">
        <f aca="false">IF(OR(K1616="",N1616=""),"",K1616-N1616)</f>
        <v/>
      </c>
      <c r="R1616" s="21" t="str">
        <f aca="false">IF(OR(J1616="",K1616=""),"",J1616*K1616)</f>
        <v/>
      </c>
      <c r="S1616" s="21" t="str">
        <f aca="false">IF(AND(ISNUMBER(J1616),ISNUMBER(K1616),F1616&lt;&gt;"Calentamiento",F1616&lt;&gt;"Bilbo"),IF(AND(K1616&gt;0,K1616&lt;=12),ROUND(J1616*(1+(K1616+IF(ISNUMBER(L1616),L1616,0))/30),1),""),"")</f>
        <v/>
      </c>
      <c r="T1616" s="21" t="str">
        <f aca="false">IF(AND(F1616="Bilbo",ISNUMBER(J1616),ISNUMBER(K1616)),ROUND(J1616*(1+K1616/30),1),"")</f>
        <v/>
      </c>
      <c r="W1616" s="22"/>
      <c r="X1616" s="21" t="str">
        <f aca="false">IF(AND(F1616="Bilbo",E1616&lt;&gt;"",G1616&lt;&gt;"",H1616&lt;&gt;""),E1616&amp;"|"&amp;G1616&amp;"|"&amp;H1616,"")</f>
        <v/>
      </c>
      <c r="Y1616" s="21" t="str">
        <f aca="false">IF(B1616="","",IF(B1616&lt;&gt;B1615,1,0))</f>
        <v/>
      </c>
    </row>
    <row r="1617" customFormat="false" ht="15" hidden="false" customHeight="true" outlineLevel="0" collapsed="false">
      <c r="A1617" s="21" t="str">
        <f aca="false">IF(B1617="","",ROW()-4)</f>
        <v/>
      </c>
      <c r="B1617" s="22"/>
      <c r="C1617" s="21" t="str">
        <f aca="false">IF(B1617="","",CHOOSE(WEEKDAY(B1617,2),"LUNES","MARTES","MIÉRCOLES","JUEVES","VIERNES","SÁBADO","DOMINGO"))</f>
        <v/>
      </c>
      <c r="M1617" s="23"/>
      <c r="Q1617" s="21" t="str">
        <f aca="false">IF(OR(K1617="",N1617=""),"",K1617-N1617)</f>
        <v/>
      </c>
      <c r="R1617" s="21" t="str">
        <f aca="false">IF(OR(J1617="",K1617=""),"",J1617*K1617)</f>
        <v/>
      </c>
      <c r="S1617" s="21" t="str">
        <f aca="false">IF(AND(ISNUMBER(J1617),ISNUMBER(K1617),F1617&lt;&gt;"Calentamiento",F1617&lt;&gt;"Bilbo"),IF(AND(K1617&gt;0,K1617&lt;=12),ROUND(J1617*(1+(K1617+IF(ISNUMBER(L1617),L1617,0))/30),1),""),"")</f>
        <v/>
      </c>
      <c r="T1617" s="21" t="str">
        <f aca="false">IF(AND(F1617="Bilbo",ISNUMBER(J1617),ISNUMBER(K1617)),ROUND(J1617*(1+K1617/30),1),"")</f>
        <v/>
      </c>
      <c r="W1617" s="22"/>
      <c r="X1617" s="21" t="str">
        <f aca="false">IF(AND(F1617="Bilbo",E1617&lt;&gt;"",G1617&lt;&gt;"",H1617&lt;&gt;""),E1617&amp;"|"&amp;G1617&amp;"|"&amp;H1617,"")</f>
        <v/>
      </c>
      <c r="Y1617" s="21" t="str">
        <f aca="false">IF(B1617="","",IF(B1617&lt;&gt;B1616,1,0))</f>
        <v/>
      </c>
    </row>
    <row r="1618" customFormat="false" ht="15" hidden="false" customHeight="true" outlineLevel="0" collapsed="false">
      <c r="A1618" s="21" t="str">
        <f aca="false">IF(B1618="","",ROW()-4)</f>
        <v/>
      </c>
      <c r="B1618" s="22"/>
      <c r="C1618" s="21" t="str">
        <f aca="false">IF(B1618="","",CHOOSE(WEEKDAY(B1618,2),"LUNES","MARTES","MIÉRCOLES","JUEVES","VIERNES","SÁBADO","DOMINGO"))</f>
        <v/>
      </c>
      <c r="M1618" s="23"/>
      <c r="Q1618" s="21" t="str">
        <f aca="false">IF(OR(K1618="",N1618=""),"",K1618-N1618)</f>
        <v/>
      </c>
      <c r="R1618" s="21" t="str">
        <f aca="false">IF(OR(J1618="",K1618=""),"",J1618*K1618)</f>
        <v/>
      </c>
      <c r="S1618" s="21" t="str">
        <f aca="false">IF(AND(ISNUMBER(J1618),ISNUMBER(K1618),F1618&lt;&gt;"Calentamiento",F1618&lt;&gt;"Bilbo"),IF(AND(K1618&gt;0,K1618&lt;=12),ROUND(J1618*(1+(K1618+IF(ISNUMBER(L1618),L1618,0))/30),1),""),"")</f>
        <v/>
      </c>
      <c r="T1618" s="21" t="str">
        <f aca="false">IF(AND(F1618="Bilbo",ISNUMBER(J1618),ISNUMBER(K1618)),ROUND(J1618*(1+K1618/30),1),"")</f>
        <v/>
      </c>
      <c r="W1618" s="22"/>
      <c r="X1618" s="21" t="str">
        <f aca="false">IF(AND(F1618="Bilbo",E1618&lt;&gt;"",G1618&lt;&gt;"",H1618&lt;&gt;""),E1618&amp;"|"&amp;G1618&amp;"|"&amp;H1618,"")</f>
        <v/>
      </c>
      <c r="Y1618" s="21" t="str">
        <f aca="false">IF(B1618="","",IF(B1618&lt;&gt;B1617,1,0))</f>
        <v/>
      </c>
    </row>
    <row r="1619" customFormat="false" ht="15" hidden="false" customHeight="true" outlineLevel="0" collapsed="false">
      <c r="A1619" s="21" t="str">
        <f aca="false">IF(B1619="","",ROW()-4)</f>
        <v/>
      </c>
      <c r="B1619" s="22"/>
      <c r="C1619" s="21" t="str">
        <f aca="false">IF(B1619="","",CHOOSE(WEEKDAY(B1619,2),"LUNES","MARTES","MIÉRCOLES","JUEVES","VIERNES","SÁBADO","DOMINGO"))</f>
        <v/>
      </c>
      <c r="M1619" s="23"/>
      <c r="Q1619" s="21" t="str">
        <f aca="false">IF(OR(K1619="",N1619=""),"",K1619-N1619)</f>
        <v/>
      </c>
      <c r="R1619" s="21" t="str">
        <f aca="false">IF(OR(J1619="",K1619=""),"",J1619*K1619)</f>
        <v/>
      </c>
      <c r="S1619" s="21" t="str">
        <f aca="false">IF(AND(ISNUMBER(J1619),ISNUMBER(K1619),F1619&lt;&gt;"Calentamiento",F1619&lt;&gt;"Bilbo"),IF(AND(K1619&gt;0,K1619&lt;=12),ROUND(J1619*(1+(K1619+IF(ISNUMBER(L1619),L1619,0))/30),1),""),"")</f>
        <v/>
      </c>
      <c r="T1619" s="21" t="str">
        <f aca="false">IF(AND(F1619="Bilbo",ISNUMBER(J1619),ISNUMBER(K1619)),ROUND(J1619*(1+K1619/30),1),"")</f>
        <v/>
      </c>
      <c r="W1619" s="22"/>
      <c r="X1619" s="21" t="str">
        <f aca="false">IF(AND(F1619="Bilbo",E1619&lt;&gt;"",G1619&lt;&gt;"",H1619&lt;&gt;""),E1619&amp;"|"&amp;G1619&amp;"|"&amp;H1619,"")</f>
        <v/>
      </c>
      <c r="Y1619" s="21" t="str">
        <f aca="false">IF(B1619="","",IF(B1619&lt;&gt;B1618,1,0))</f>
        <v/>
      </c>
    </row>
    <row r="1620" customFormat="false" ht="15" hidden="false" customHeight="true" outlineLevel="0" collapsed="false">
      <c r="A1620" s="21" t="str">
        <f aca="false">IF(B1620="","",ROW()-4)</f>
        <v/>
      </c>
      <c r="B1620" s="22"/>
      <c r="C1620" s="21" t="str">
        <f aca="false">IF(B1620="","",CHOOSE(WEEKDAY(B1620,2),"LUNES","MARTES","MIÉRCOLES","JUEVES","VIERNES","SÁBADO","DOMINGO"))</f>
        <v/>
      </c>
      <c r="M1620" s="23"/>
      <c r="Q1620" s="21" t="str">
        <f aca="false">IF(OR(K1620="",N1620=""),"",K1620-N1620)</f>
        <v/>
      </c>
      <c r="R1620" s="21" t="str">
        <f aca="false">IF(OR(J1620="",K1620=""),"",J1620*K1620)</f>
        <v/>
      </c>
      <c r="S1620" s="21" t="str">
        <f aca="false">IF(AND(ISNUMBER(J1620),ISNUMBER(K1620),F1620&lt;&gt;"Calentamiento",F1620&lt;&gt;"Bilbo"),IF(AND(K1620&gt;0,K1620&lt;=12),ROUND(J1620*(1+(K1620+IF(ISNUMBER(L1620),L1620,0))/30),1),""),"")</f>
        <v/>
      </c>
      <c r="T1620" s="21" t="str">
        <f aca="false">IF(AND(F1620="Bilbo",ISNUMBER(J1620),ISNUMBER(K1620)),ROUND(J1620*(1+K1620/30),1),"")</f>
        <v/>
      </c>
      <c r="W1620" s="22"/>
      <c r="X1620" s="21" t="str">
        <f aca="false">IF(AND(F1620="Bilbo",E1620&lt;&gt;"",G1620&lt;&gt;"",H1620&lt;&gt;""),E1620&amp;"|"&amp;G1620&amp;"|"&amp;H1620,"")</f>
        <v/>
      </c>
      <c r="Y1620" s="21" t="str">
        <f aca="false">IF(B1620="","",IF(B1620&lt;&gt;B1619,1,0))</f>
        <v/>
      </c>
    </row>
    <row r="1621" customFormat="false" ht="15" hidden="false" customHeight="true" outlineLevel="0" collapsed="false">
      <c r="A1621" s="21" t="str">
        <f aca="false">IF(B1621="","",ROW()-4)</f>
        <v/>
      </c>
      <c r="B1621" s="22"/>
      <c r="C1621" s="21" t="str">
        <f aca="false">IF(B1621="","",CHOOSE(WEEKDAY(B1621,2),"LUNES","MARTES","MIÉRCOLES","JUEVES","VIERNES","SÁBADO","DOMINGO"))</f>
        <v/>
      </c>
      <c r="M1621" s="23"/>
      <c r="Q1621" s="21" t="str">
        <f aca="false">IF(OR(K1621="",N1621=""),"",K1621-N1621)</f>
        <v/>
      </c>
      <c r="R1621" s="21" t="str">
        <f aca="false">IF(OR(J1621="",K1621=""),"",J1621*K1621)</f>
        <v/>
      </c>
      <c r="S1621" s="21" t="str">
        <f aca="false">IF(AND(ISNUMBER(J1621),ISNUMBER(K1621),F1621&lt;&gt;"Calentamiento",F1621&lt;&gt;"Bilbo"),IF(AND(K1621&gt;0,K1621&lt;=12),ROUND(J1621*(1+(K1621+IF(ISNUMBER(L1621),L1621,0))/30),1),""),"")</f>
        <v/>
      </c>
      <c r="T1621" s="21" t="str">
        <f aca="false">IF(AND(F1621="Bilbo",ISNUMBER(J1621),ISNUMBER(K1621)),ROUND(J1621*(1+K1621/30),1),"")</f>
        <v/>
      </c>
      <c r="W1621" s="22"/>
      <c r="X1621" s="21" t="str">
        <f aca="false">IF(AND(F1621="Bilbo",E1621&lt;&gt;"",G1621&lt;&gt;"",H1621&lt;&gt;""),E1621&amp;"|"&amp;G1621&amp;"|"&amp;H1621,"")</f>
        <v/>
      </c>
      <c r="Y1621" s="21" t="str">
        <f aca="false">IF(B1621="","",IF(B1621&lt;&gt;B1620,1,0))</f>
        <v/>
      </c>
    </row>
    <row r="1622" customFormat="false" ht="15" hidden="false" customHeight="true" outlineLevel="0" collapsed="false">
      <c r="A1622" s="21" t="str">
        <f aca="false">IF(B1622="","",ROW()-4)</f>
        <v/>
      </c>
      <c r="B1622" s="22"/>
      <c r="C1622" s="21" t="str">
        <f aca="false">IF(B1622="","",CHOOSE(WEEKDAY(B1622,2),"LUNES","MARTES","MIÉRCOLES","JUEVES","VIERNES","SÁBADO","DOMINGO"))</f>
        <v/>
      </c>
      <c r="M1622" s="23"/>
      <c r="Q1622" s="21" t="str">
        <f aca="false">IF(OR(K1622="",N1622=""),"",K1622-N1622)</f>
        <v/>
      </c>
      <c r="R1622" s="21" t="str">
        <f aca="false">IF(OR(J1622="",K1622=""),"",J1622*K1622)</f>
        <v/>
      </c>
      <c r="S1622" s="21" t="str">
        <f aca="false">IF(AND(ISNUMBER(J1622),ISNUMBER(K1622),F1622&lt;&gt;"Calentamiento",F1622&lt;&gt;"Bilbo"),IF(AND(K1622&gt;0,K1622&lt;=12),ROUND(J1622*(1+(K1622+IF(ISNUMBER(L1622),L1622,0))/30),1),""),"")</f>
        <v/>
      </c>
      <c r="T1622" s="21" t="str">
        <f aca="false">IF(AND(F1622="Bilbo",ISNUMBER(J1622),ISNUMBER(K1622)),ROUND(J1622*(1+K1622/30),1),"")</f>
        <v/>
      </c>
      <c r="W1622" s="22"/>
      <c r="X1622" s="21" t="str">
        <f aca="false">IF(AND(F1622="Bilbo",E1622&lt;&gt;"",G1622&lt;&gt;"",H1622&lt;&gt;""),E1622&amp;"|"&amp;G1622&amp;"|"&amp;H1622,"")</f>
        <v/>
      </c>
      <c r="Y1622" s="21" t="str">
        <f aca="false">IF(B1622="","",IF(B1622&lt;&gt;B1621,1,0))</f>
        <v/>
      </c>
    </row>
    <row r="1623" customFormat="false" ht="15" hidden="false" customHeight="true" outlineLevel="0" collapsed="false">
      <c r="A1623" s="21" t="str">
        <f aca="false">IF(B1623="","",ROW()-4)</f>
        <v/>
      </c>
      <c r="B1623" s="22"/>
      <c r="C1623" s="21" t="str">
        <f aca="false">IF(B1623="","",CHOOSE(WEEKDAY(B1623,2),"LUNES","MARTES","MIÉRCOLES","JUEVES","VIERNES","SÁBADO","DOMINGO"))</f>
        <v/>
      </c>
      <c r="M1623" s="23"/>
      <c r="Q1623" s="21" t="str">
        <f aca="false">IF(OR(K1623="",N1623=""),"",K1623-N1623)</f>
        <v/>
      </c>
      <c r="R1623" s="21" t="str">
        <f aca="false">IF(OR(J1623="",K1623=""),"",J1623*K1623)</f>
        <v/>
      </c>
      <c r="S1623" s="21" t="str">
        <f aca="false">IF(AND(ISNUMBER(J1623),ISNUMBER(K1623),F1623&lt;&gt;"Calentamiento",F1623&lt;&gt;"Bilbo"),IF(AND(K1623&gt;0,K1623&lt;=12),ROUND(J1623*(1+(K1623+IF(ISNUMBER(L1623),L1623,0))/30),1),""),"")</f>
        <v/>
      </c>
      <c r="T1623" s="21" t="str">
        <f aca="false">IF(AND(F1623="Bilbo",ISNUMBER(J1623),ISNUMBER(K1623)),ROUND(J1623*(1+K1623/30),1),"")</f>
        <v/>
      </c>
      <c r="W1623" s="22"/>
      <c r="X1623" s="21" t="str">
        <f aca="false">IF(AND(F1623="Bilbo",E1623&lt;&gt;"",G1623&lt;&gt;"",H1623&lt;&gt;""),E1623&amp;"|"&amp;G1623&amp;"|"&amp;H1623,"")</f>
        <v/>
      </c>
      <c r="Y1623" s="21" t="str">
        <f aca="false">IF(B1623="","",IF(B1623&lt;&gt;B1622,1,0))</f>
        <v/>
      </c>
    </row>
    <row r="1624" customFormat="false" ht="15" hidden="false" customHeight="true" outlineLevel="0" collapsed="false">
      <c r="A1624" s="21" t="str">
        <f aca="false">IF(B1624="","",ROW()-4)</f>
        <v/>
      </c>
      <c r="B1624" s="22"/>
      <c r="C1624" s="21" t="str">
        <f aca="false">IF(B1624="","",CHOOSE(WEEKDAY(B1624,2),"LUNES","MARTES","MIÉRCOLES","JUEVES","VIERNES","SÁBADO","DOMINGO"))</f>
        <v/>
      </c>
      <c r="M1624" s="23"/>
      <c r="Q1624" s="21" t="str">
        <f aca="false">IF(OR(K1624="",N1624=""),"",K1624-N1624)</f>
        <v/>
      </c>
      <c r="R1624" s="21" t="str">
        <f aca="false">IF(OR(J1624="",K1624=""),"",J1624*K1624)</f>
        <v/>
      </c>
      <c r="S1624" s="21" t="str">
        <f aca="false">IF(AND(ISNUMBER(J1624),ISNUMBER(K1624),F1624&lt;&gt;"Calentamiento",F1624&lt;&gt;"Bilbo"),IF(AND(K1624&gt;0,K1624&lt;=12),ROUND(J1624*(1+(K1624+IF(ISNUMBER(L1624),L1624,0))/30),1),""),"")</f>
        <v/>
      </c>
      <c r="T1624" s="21" t="str">
        <f aca="false">IF(AND(F1624="Bilbo",ISNUMBER(J1624),ISNUMBER(K1624)),ROUND(J1624*(1+K1624/30),1),"")</f>
        <v/>
      </c>
      <c r="W1624" s="22"/>
      <c r="X1624" s="21" t="str">
        <f aca="false">IF(AND(F1624="Bilbo",E1624&lt;&gt;"",G1624&lt;&gt;"",H1624&lt;&gt;""),E1624&amp;"|"&amp;G1624&amp;"|"&amp;H1624,"")</f>
        <v/>
      </c>
      <c r="Y1624" s="21" t="str">
        <f aca="false">IF(B1624="","",IF(B1624&lt;&gt;B1623,1,0))</f>
        <v/>
      </c>
    </row>
    <row r="1625" customFormat="false" ht="15" hidden="false" customHeight="true" outlineLevel="0" collapsed="false">
      <c r="A1625" s="21" t="str">
        <f aca="false">IF(B1625="","",ROW()-4)</f>
        <v/>
      </c>
      <c r="B1625" s="22"/>
      <c r="C1625" s="21" t="str">
        <f aca="false">IF(B1625="","",CHOOSE(WEEKDAY(B1625,2),"LUNES","MARTES","MIÉRCOLES","JUEVES","VIERNES","SÁBADO","DOMINGO"))</f>
        <v/>
      </c>
      <c r="M1625" s="23"/>
      <c r="Q1625" s="21" t="str">
        <f aca="false">IF(OR(K1625="",N1625=""),"",K1625-N1625)</f>
        <v/>
      </c>
      <c r="R1625" s="21" t="str">
        <f aca="false">IF(OR(J1625="",K1625=""),"",J1625*K1625)</f>
        <v/>
      </c>
      <c r="S1625" s="21" t="str">
        <f aca="false">IF(AND(ISNUMBER(J1625),ISNUMBER(K1625),F1625&lt;&gt;"Calentamiento",F1625&lt;&gt;"Bilbo"),IF(AND(K1625&gt;0,K1625&lt;=12),ROUND(J1625*(1+(K1625+IF(ISNUMBER(L1625),L1625,0))/30),1),""),"")</f>
        <v/>
      </c>
      <c r="T1625" s="21" t="str">
        <f aca="false">IF(AND(F1625="Bilbo",ISNUMBER(J1625),ISNUMBER(K1625)),ROUND(J1625*(1+K1625/30),1),"")</f>
        <v/>
      </c>
      <c r="W1625" s="22"/>
      <c r="X1625" s="21" t="str">
        <f aca="false">IF(AND(F1625="Bilbo",E1625&lt;&gt;"",G1625&lt;&gt;"",H1625&lt;&gt;""),E1625&amp;"|"&amp;G1625&amp;"|"&amp;H1625,"")</f>
        <v/>
      </c>
      <c r="Y1625" s="21" t="str">
        <f aca="false">IF(B1625="","",IF(B1625&lt;&gt;B1624,1,0))</f>
        <v/>
      </c>
    </row>
    <row r="1626" customFormat="false" ht="15" hidden="false" customHeight="true" outlineLevel="0" collapsed="false">
      <c r="A1626" s="21" t="str">
        <f aca="false">IF(B1626="","",ROW()-4)</f>
        <v/>
      </c>
      <c r="B1626" s="22"/>
      <c r="C1626" s="21" t="str">
        <f aca="false">IF(B1626="","",CHOOSE(WEEKDAY(B1626,2),"LUNES","MARTES","MIÉRCOLES","JUEVES","VIERNES","SÁBADO","DOMINGO"))</f>
        <v/>
      </c>
      <c r="M1626" s="23"/>
      <c r="Q1626" s="21" t="str">
        <f aca="false">IF(OR(K1626="",N1626=""),"",K1626-N1626)</f>
        <v/>
      </c>
      <c r="R1626" s="21" t="str">
        <f aca="false">IF(OR(J1626="",K1626=""),"",J1626*K1626)</f>
        <v/>
      </c>
      <c r="S1626" s="21" t="str">
        <f aca="false">IF(AND(ISNUMBER(J1626),ISNUMBER(K1626),F1626&lt;&gt;"Calentamiento",F1626&lt;&gt;"Bilbo"),IF(AND(K1626&gt;0,K1626&lt;=12),ROUND(J1626*(1+(K1626+IF(ISNUMBER(L1626),L1626,0))/30),1),""),"")</f>
        <v/>
      </c>
      <c r="T1626" s="21" t="str">
        <f aca="false">IF(AND(F1626="Bilbo",ISNUMBER(J1626),ISNUMBER(K1626)),ROUND(J1626*(1+K1626/30),1),"")</f>
        <v/>
      </c>
      <c r="W1626" s="22"/>
      <c r="X1626" s="21" t="str">
        <f aca="false">IF(AND(F1626="Bilbo",E1626&lt;&gt;"",G1626&lt;&gt;"",H1626&lt;&gt;""),E1626&amp;"|"&amp;G1626&amp;"|"&amp;H1626,"")</f>
        <v/>
      </c>
      <c r="Y1626" s="21" t="str">
        <f aca="false">IF(B1626="","",IF(B1626&lt;&gt;B1625,1,0))</f>
        <v/>
      </c>
    </row>
    <row r="1627" customFormat="false" ht="15" hidden="false" customHeight="true" outlineLevel="0" collapsed="false">
      <c r="A1627" s="21" t="str">
        <f aca="false">IF(B1627="","",ROW()-4)</f>
        <v/>
      </c>
      <c r="B1627" s="22"/>
      <c r="C1627" s="21" t="str">
        <f aca="false">IF(B1627="","",CHOOSE(WEEKDAY(B1627,2),"LUNES","MARTES","MIÉRCOLES","JUEVES","VIERNES","SÁBADO","DOMINGO"))</f>
        <v/>
      </c>
      <c r="M1627" s="23"/>
      <c r="Q1627" s="21" t="str">
        <f aca="false">IF(OR(K1627="",N1627=""),"",K1627-N1627)</f>
        <v/>
      </c>
      <c r="R1627" s="21" t="str">
        <f aca="false">IF(OR(J1627="",K1627=""),"",J1627*K1627)</f>
        <v/>
      </c>
      <c r="S1627" s="21" t="str">
        <f aca="false">IF(AND(ISNUMBER(J1627),ISNUMBER(K1627),F1627&lt;&gt;"Calentamiento",F1627&lt;&gt;"Bilbo"),IF(AND(K1627&gt;0,K1627&lt;=12),ROUND(J1627*(1+(K1627+IF(ISNUMBER(L1627),L1627,0))/30),1),""),"")</f>
        <v/>
      </c>
      <c r="T1627" s="21" t="str">
        <f aca="false">IF(AND(F1627="Bilbo",ISNUMBER(J1627),ISNUMBER(K1627)),ROUND(J1627*(1+K1627/30),1),"")</f>
        <v/>
      </c>
      <c r="W1627" s="22"/>
      <c r="X1627" s="21" t="str">
        <f aca="false">IF(AND(F1627="Bilbo",E1627&lt;&gt;"",G1627&lt;&gt;"",H1627&lt;&gt;""),E1627&amp;"|"&amp;G1627&amp;"|"&amp;H1627,"")</f>
        <v/>
      </c>
      <c r="Y1627" s="21" t="str">
        <f aca="false">IF(B1627="","",IF(B1627&lt;&gt;B1626,1,0))</f>
        <v/>
      </c>
    </row>
    <row r="1628" customFormat="false" ht="15" hidden="false" customHeight="true" outlineLevel="0" collapsed="false">
      <c r="A1628" s="21" t="str">
        <f aca="false">IF(B1628="","",ROW()-4)</f>
        <v/>
      </c>
      <c r="B1628" s="22"/>
      <c r="C1628" s="21" t="str">
        <f aca="false">IF(B1628="","",CHOOSE(WEEKDAY(B1628,2),"LUNES","MARTES","MIÉRCOLES","JUEVES","VIERNES","SÁBADO","DOMINGO"))</f>
        <v/>
      </c>
      <c r="M1628" s="23"/>
      <c r="Q1628" s="21" t="str">
        <f aca="false">IF(OR(K1628="",N1628=""),"",K1628-N1628)</f>
        <v/>
      </c>
      <c r="R1628" s="21" t="str">
        <f aca="false">IF(OR(J1628="",K1628=""),"",J1628*K1628)</f>
        <v/>
      </c>
      <c r="S1628" s="21" t="str">
        <f aca="false">IF(AND(ISNUMBER(J1628),ISNUMBER(K1628),F1628&lt;&gt;"Calentamiento",F1628&lt;&gt;"Bilbo"),IF(AND(K1628&gt;0,K1628&lt;=12),ROUND(J1628*(1+(K1628+IF(ISNUMBER(L1628),L1628,0))/30),1),""),"")</f>
        <v/>
      </c>
      <c r="T1628" s="21" t="str">
        <f aca="false">IF(AND(F1628="Bilbo",ISNUMBER(J1628),ISNUMBER(K1628)),ROUND(J1628*(1+K1628/30),1),"")</f>
        <v/>
      </c>
      <c r="W1628" s="22"/>
      <c r="X1628" s="21" t="str">
        <f aca="false">IF(AND(F1628="Bilbo",E1628&lt;&gt;"",G1628&lt;&gt;"",H1628&lt;&gt;""),E1628&amp;"|"&amp;G1628&amp;"|"&amp;H1628,"")</f>
        <v/>
      </c>
      <c r="Y1628" s="21" t="str">
        <f aca="false">IF(B1628="","",IF(B1628&lt;&gt;B1627,1,0))</f>
        <v/>
      </c>
    </row>
    <row r="1629" customFormat="false" ht="15" hidden="false" customHeight="true" outlineLevel="0" collapsed="false">
      <c r="A1629" s="21" t="str">
        <f aca="false">IF(B1629="","",ROW()-4)</f>
        <v/>
      </c>
      <c r="B1629" s="22"/>
      <c r="C1629" s="21" t="str">
        <f aca="false">IF(B1629="","",CHOOSE(WEEKDAY(B1629,2),"LUNES","MARTES","MIÉRCOLES","JUEVES","VIERNES","SÁBADO","DOMINGO"))</f>
        <v/>
      </c>
      <c r="M1629" s="23"/>
      <c r="Q1629" s="21" t="str">
        <f aca="false">IF(OR(K1629="",N1629=""),"",K1629-N1629)</f>
        <v/>
      </c>
      <c r="R1629" s="21" t="str">
        <f aca="false">IF(OR(J1629="",K1629=""),"",J1629*K1629)</f>
        <v/>
      </c>
      <c r="S1629" s="21" t="str">
        <f aca="false">IF(AND(ISNUMBER(J1629),ISNUMBER(K1629),F1629&lt;&gt;"Calentamiento",F1629&lt;&gt;"Bilbo"),IF(AND(K1629&gt;0,K1629&lt;=12),ROUND(J1629*(1+(K1629+IF(ISNUMBER(L1629),L1629,0))/30),1),""),"")</f>
        <v/>
      </c>
      <c r="T1629" s="21" t="str">
        <f aca="false">IF(AND(F1629="Bilbo",ISNUMBER(J1629),ISNUMBER(K1629)),ROUND(J1629*(1+K1629/30),1),"")</f>
        <v/>
      </c>
      <c r="W1629" s="22"/>
      <c r="X1629" s="21" t="str">
        <f aca="false">IF(AND(F1629="Bilbo",E1629&lt;&gt;"",G1629&lt;&gt;"",H1629&lt;&gt;""),E1629&amp;"|"&amp;G1629&amp;"|"&amp;H1629,"")</f>
        <v/>
      </c>
      <c r="Y1629" s="21" t="str">
        <f aca="false">IF(B1629="","",IF(B1629&lt;&gt;B1628,1,0))</f>
        <v/>
      </c>
    </row>
    <row r="1630" customFormat="false" ht="15" hidden="false" customHeight="true" outlineLevel="0" collapsed="false">
      <c r="A1630" s="21" t="str">
        <f aca="false">IF(B1630="","",ROW()-4)</f>
        <v/>
      </c>
      <c r="B1630" s="22"/>
      <c r="C1630" s="21" t="str">
        <f aca="false">IF(B1630="","",CHOOSE(WEEKDAY(B1630,2),"LUNES","MARTES","MIÉRCOLES","JUEVES","VIERNES","SÁBADO","DOMINGO"))</f>
        <v/>
      </c>
      <c r="M1630" s="23"/>
      <c r="Q1630" s="21" t="str">
        <f aca="false">IF(OR(K1630="",N1630=""),"",K1630-N1630)</f>
        <v/>
      </c>
      <c r="R1630" s="21" t="str">
        <f aca="false">IF(OR(J1630="",K1630=""),"",J1630*K1630)</f>
        <v/>
      </c>
      <c r="S1630" s="21" t="str">
        <f aca="false">IF(AND(ISNUMBER(J1630),ISNUMBER(K1630),F1630&lt;&gt;"Calentamiento",F1630&lt;&gt;"Bilbo"),IF(AND(K1630&gt;0,K1630&lt;=12),ROUND(J1630*(1+(K1630+IF(ISNUMBER(L1630),L1630,0))/30),1),""),"")</f>
        <v/>
      </c>
      <c r="T1630" s="21" t="str">
        <f aca="false">IF(AND(F1630="Bilbo",ISNUMBER(J1630),ISNUMBER(K1630)),ROUND(J1630*(1+K1630/30),1),"")</f>
        <v/>
      </c>
      <c r="W1630" s="22"/>
      <c r="X1630" s="21" t="str">
        <f aca="false">IF(AND(F1630="Bilbo",E1630&lt;&gt;"",G1630&lt;&gt;"",H1630&lt;&gt;""),E1630&amp;"|"&amp;G1630&amp;"|"&amp;H1630,"")</f>
        <v/>
      </c>
      <c r="Y1630" s="21" t="str">
        <f aca="false">IF(B1630="","",IF(B1630&lt;&gt;B1629,1,0))</f>
        <v/>
      </c>
    </row>
    <row r="1631" customFormat="false" ht="15" hidden="false" customHeight="true" outlineLevel="0" collapsed="false">
      <c r="A1631" s="21" t="str">
        <f aca="false">IF(B1631="","",ROW()-4)</f>
        <v/>
      </c>
      <c r="B1631" s="22"/>
      <c r="C1631" s="21" t="str">
        <f aca="false">IF(B1631="","",CHOOSE(WEEKDAY(B1631,2),"LUNES","MARTES","MIÉRCOLES","JUEVES","VIERNES","SÁBADO","DOMINGO"))</f>
        <v/>
      </c>
      <c r="M1631" s="23"/>
      <c r="Q1631" s="21" t="str">
        <f aca="false">IF(OR(K1631="",N1631=""),"",K1631-N1631)</f>
        <v/>
      </c>
      <c r="R1631" s="21" t="str">
        <f aca="false">IF(OR(J1631="",K1631=""),"",J1631*K1631)</f>
        <v/>
      </c>
      <c r="S1631" s="21" t="str">
        <f aca="false">IF(AND(ISNUMBER(J1631),ISNUMBER(K1631),F1631&lt;&gt;"Calentamiento",F1631&lt;&gt;"Bilbo"),IF(AND(K1631&gt;0,K1631&lt;=12),ROUND(J1631*(1+(K1631+IF(ISNUMBER(L1631),L1631,0))/30),1),""),"")</f>
        <v/>
      </c>
      <c r="T1631" s="21" t="str">
        <f aca="false">IF(AND(F1631="Bilbo",ISNUMBER(J1631),ISNUMBER(K1631)),ROUND(J1631*(1+K1631/30),1),"")</f>
        <v/>
      </c>
      <c r="W1631" s="22"/>
      <c r="X1631" s="21" t="str">
        <f aca="false">IF(AND(F1631="Bilbo",E1631&lt;&gt;"",G1631&lt;&gt;"",H1631&lt;&gt;""),E1631&amp;"|"&amp;G1631&amp;"|"&amp;H1631,"")</f>
        <v/>
      </c>
      <c r="Y1631" s="21" t="str">
        <f aca="false">IF(B1631="","",IF(B1631&lt;&gt;B1630,1,0))</f>
        <v/>
      </c>
    </row>
    <row r="1632" customFormat="false" ht="15" hidden="false" customHeight="true" outlineLevel="0" collapsed="false">
      <c r="A1632" s="21" t="str">
        <f aca="false">IF(B1632="","",ROW()-4)</f>
        <v/>
      </c>
      <c r="B1632" s="22"/>
      <c r="C1632" s="21" t="str">
        <f aca="false">IF(B1632="","",CHOOSE(WEEKDAY(B1632,2),"LUNES","MARTES","MIÉRCOLES","JUEVES","VIERNES","SÁBADO","DOMINGO"))</f>
        <v/>
      </c>
      <c r="M1632" s="23"/>
      <c r="Q1632" s="21" t="str">
        <f aca="false">IF(OR(K1632="",N1632=""),"",K1632-N1632)</f>
        <v/>
      </c>
      <c r="R1632" s="21" t="str">
        <f aca="false">IF(OR(J1632="",K1632=""),"",J1632*K1632)</f>
        <v/>
      </c>
      <c r="S1632" s="21" t="str">
        <f aca="false">IF(AND(ISNUMBER(J1632),ISNUMBER(K1632),F1632&lt;&gt;"Calentamiento",F1632&lt;&gt;"Bilbo"),IF(AND(K1632&gt;0,K1632&lt;=12),ROUND(J1632*(1+(K1632+IF(ISNUMBER(L1632),L1632,0))/30),1),""),"")</f>
        <v/>
      </c>
      <c r="T1632" s="21" t="str">
        <f aca="false">IF(AND(F1632="Bilbo",ISNUMBER(J1632),ISNUMBER(K1632)),ROUND(J1632*(1+K1632/30),1),"")</f>
        <v/>
      </c>
      <c r="W1632" s="22"/>
      <c r="X1632" s="21" t="str">
        <f aca="false">IF(AND(F1632="Bilbo",E1632&lt;&gt;"",G1632&lt;&gt;"",H1632&lt;&gt;""),E1632&amp;"|"&amp;G1632&amp;"|"&amp;H1632,"")</f>
        <v/>
      </c>
      <c r="Y1632" s="21" t="str">
        <f aca="false">IF(B1632="","",IF(B1632&lt;&gt;B1631,1,0))</f>
        <v/>
      </c>
    </row>
    <row r="1633" customFormat="false" ht="15" hidden="false" customHeight="true" outlineLevel="0" collapsed="false">
      <c r="A1633" s="21" t="str">
        <f aca="false">IF(B1633="","",ROW()-4)</f>
        <v/>
      </c>
      <c r="B1633" s="22"/>
      <c r="C1633" s="21" t="str">
        <f aca="false">IF(B1633="","",CHOOSE(WEEKDAY(B1633,2),"LUNES","MARTES","MIÉRCOLES","JUEVES","VIERNES","SÁBADO","DOMINGO"))</f>
        <v/>
      </c>
      <c r="M1633" s="23"/>
      <c r="Q1633" s="21" t="str">
        <f aca="false">IF(OR(K1633="",N1633=""),"",K1633-N1633)</f>
        <v/>
      </c>
      <c r="R1633" s="21" t="str">
        <f aca="false">IF(OR(J1633="",K1633=""),"",J1633*K1633)</f>
        <v/>
      </c>
      <c r="S1633" s="21" t="str">
        <f aca="false">IF(AND(ISNUMBER(J1633),ISNUMBER(K1633),F1633&lt;&gt;"Calentamiento",F1633&lt;&gt;"Bilbo"),IF(AND(K1633&gt;0,K1633&lt;=12),ROUND(J1633*(1+(K1633+IF(ISNUMBER(L1633),L1633,0))/30),1),""),"")</f>
        <v/>
      </c>
      <c r="T1633" s="21" t="str">
        <f aca="false">IF(AND(F1633="Bilbo",ISNUMBER(J1633),ISNUMBER(K1633)),ROUND(J1633*(1+K1633/30),1),"")</f>
        <v/>
      </c>
      <c r="W1633" s="22"/>
      <c r="X1633" s="21" t="str">
        <f aca="false">IF(AND(F1633="Bilbo",E1633&lt;&gt;"",G1633&lt;&gt;"",H1633&lt;&gt;""),E1633&amp;"|"&amp;G1633&amp;"|"&amp;H1633,"")</f>
        <v/>
      </c>
      <c r="Y1633" s="21" t="str">
        <f aca="false">IF(B1633="","",IF(B1633&lt;&gt;B1632,1,0))</f>
        <v/>
      </c>
    </row>
    <row r="1634" customFormat="false" ht="15" hidden="false" customHeight="true" outlineLevel="0" collapsed="false">
      <c r="A1634" s="21" t="str">
        <f aca="false">IF(B1634="","",ROW()-4)</f>
        <v/>
      </c>
      <c r="B1634" s="22"/>
      <c r="C1634" s="21" t="str">
        <f aca="false">IF(B1634="","",CHOOSE(WEEKDAY(B1634,2),"LUNES","MARTES","MIÉRCOLES","JUEVES","VIERNES","SÁBADO","DOMINGO"))</f>
        <v/>
      </c>
      <c r="M1634" s="23"/>
      <c r="Q1634" s="21" t="str">
        <f aca="false">IF(OR(K1634="",N1634=""),"",K1634-N1634)</f>
        <v/>
      </c>
      <c r="R1634" s="21" t="str">
        <f aca="false">IF(OR(J1634="",K1634=""),"",J1634*K1634)</f>
        <v/>
      </c>
      <c r="S1634" s="21" t="str">
        <f aca="false">IF(AND(ISNUMBER(J1634),ISNUMBER(K1634),F1634&lt;&gt;"Calentamiento",F1634&lt;&gt;"Bilbo"),IF(AND(K1634&gt;0,K1634&lt;=12),ROUND(J1634*(1+(K1634+IF(ISNUMBER(L1634),L1634,0))/30),1),""),"")</f>
        <v/>
      </c>
      <c r="T1634" s="21" t="str">
        <f aca="false">IF(AND(F1634="Bilbo",ISNUMBER(J1634),ISNUMBER(K1634)),ROUND(J1634*(1+K1634/30),1),"")</f>
        <v/>
      </c>
      <c r="W1634" s="22"/>
      <c r="X1634" s="21" t="str">
        <f aca="false">IF(AND(F1634="Bilbo",E1634&lt;&gt;"",G1634&lt;&gt;"",H1634&lt;&gt;""),E1634&amp;"|"&amp;G1634&amp;"|"&amp;H1634,"")</f>
        <v/>
      </c>
      <c r="Y1634" s="21" t="str">
        <f aca="false">IF(B1634="","",IF(B1634&lt;&gt;B1633,1,0))</f>
        <v/>
      </c>
    </row>
    <row r="1635" customFormat="false" ht="15" hidden="false" customHeight="true" outlineLevel="0" collapsed="false">
      <c r="A1635" s="21" t="str">
        <f aca="false">IF(B1635="","",ROW()-4)</f>
        <v/>
      </c>
      <c r="B1635" s="22"/>
      <c r="C1635" s="21" t="str">
        <f aca="false">IF(B1635="","",CHOOSE(WEEKDAY(B1635,2),"LUNES","MARTES","MIÉRCOLES","JUEVES","VIERNES","SÁBADO","DOMINGO"))</f>
        <v/>
      </c>
      <c r="M1635" s="23"/>
      <c r="Q1635" s="21" t="str">
        <f aca="false">IF(OR(K1635="",N1635=""),"",K1635-N1635)</f>
        <v/>
      </c>
      <c r="R1635" s="21" t="str">
        <f aca="false">IF(OR(J1635="",K1635=""),"",J1635*K1635)</f>
        <v/>
      </c>
      <c r="S1635" s="21" t="str">
        <f aca="false">IF(AND(ISNUMBER(J1635),ISNUMBER(K1635),F1635&lt;&gt;"Calentamiento",F1635&lt;&gt;"Bilbo"),IF(AND(K1635&gt;0,K1635&lt;=12),ROUND(J1635*(1+(K1635+IF(ISNUMBER(L1635),L1635,0))/30),1),""),"")</f>
        <v/>
      </c>
      <c r="T1635" s="21" t="str">
        <f aca="false">IF(AND(F1635="Bilbo",ISNUMBER(J1635),ISNUMBER(K1635)),ROUND(J1635*(1+K1635/30),1),"")</f>
        <v/>
      </c>
      <c r="W1635" s="22"/>
      <c r="X1635" s="21" t="str">
        <f aca="false">IF(AND(F1635="Bilbo",E1635&lt;&gt;"",G1635&lt;&gt;"",H1635&lt;&gt;""),E1635&amp;"|"&amp;G1635&amp;"|"&amp;H1635,"")</f>
        <v/>
      </c>
      <c r="Y1635" s="21" t="str">
        <f aca="false">IF(B1635="","",IF(B1635&lt;&gt;B1634,1,0))</f>
        <v/>
      </c>
    </row>
    <row r="1636" customFormat="false" ht="15" hidden="false" customHeight="true" outlineLevel="0" collapsed="false">
      <c r="A1636" s="21" t="str">
        <f aca="false">IF(B1636="","",ROW()-4)</f>
        <v/>
      </c>
      <c r="B1636" s="22"/>
      <c r="C1636" s="21" t="str">
        <f aca="false">IF(B1636="","",CHOOSE(WEEKDAY(B1636,2),"LUNES","MARTES","MIÉRCOLES","JUEVES","VIERNES","SÁBADO","DOMINGO"))</f>
        <v/>
      </c>
      <c r="M1636" s="23"/>
      <c r="Q1636" s="21" t="str">
        <f aca="false">IF(OR(K1636="",N1636=""),"",K1636-N1636)</f>
        <v/>
      </c>
      <c r="R1636" s="21" t="str">
        <f aca="false">IF(OR(J1636="",K1636=""),"",J1636*K1636)</f>
        <v/>
      </c>
      <c r="S1636" s="21" t="str">
        <f aca="false">IF(AND(ISNUMBER(J1636),ISNUMBER(K1636),F1636&lt;&gt;"Calentamiento",F1636&lt;&gt;"Bilbo"),IF(AND(K1636&gt;0,K1636&lt;=12),ROUND(J1636*(1+(K1636+IF(ISNUMBER(L1636),L1636,0))/30),1),""),"")</f>
        <v/>
      </c>
      <c r="T1636" s="21" t="str">
        <f aca="false">IF(AND(F1636="Bilbo",ISNUMBER(J1636),ISNUMBER(K1636)),ROUND(J1636*(1+K1636/30),1),"")</f>
        <v/>
      </c>
      <c r="W1636" s="22"/>
      <c r="X1636" s="21" t="str">
        <f aca="false">IF(AND(F1636="Bilbo",E1636&lt;&gt;"",G1636&lt;&gt;"",H1636&lt;&gt;""),E1636&amp;"|"&amp;G1636&amp;"|"&amp;H1636,"")</f>
        <v/>
      </c>
      <c r="Y1636" s="21" t="str">
        <f aca="false">IF(B1636="","",IF(B1636&lt;&gt;B1635,1,0))</f>
        <v/>
      </c>
    </row>
    <row r="1637" customFormat="false" ht="15" hidden="false" customHeight="true" outlineLevel="0" collapsed="false">
      <c r="A1637" s="21" t="str">
        <f aca="false">IF(B1637="","",ROW()-4)</f>
        <v/>
      </c>
      <c r="B1637" s="22"/>
      <c r="C1637" s="21" t="str">
        <f aca="false">IF(B1637="","",CHOOSE(WEEKDAY(B1637,2),"LUNES","MARTES","MIÉRCOLES","JUEVES","VIERNES","SÁBADO","DOMINGO"))</f>
        <v/>
      </c>
      <c r="M1637" s="23"/>
      <c r="Q1637" s="21" t="str">
        <f aca="false">IF(OR(K1637="",N1637=""),"",K1637-N1637)</f>
        <v/>
      </c>
      <c r="R1637" s="21" t="str">
        <f aca="false">IF(OR(J1637="",K1637=""),"",J1637*K1637)</f>
        <v/>
      </c>
      <c r="S1637" s="21" t="str">
        <f aca="false">IF(AND(ISNUMBER(J1637),ISNUMBER(K1637),F1637&lt;&gt;"Calentamiento",F1637&lt;&gt;"Bilbo"),IF(AND(K1637&gt;0,K1637&lt;=12),ROUND(J1637*(1+(K1637+IF(ISNUMBER(L1637),L1637,0))/30),1),""),"")</f>
        <v/>
      </c>
      <c r="T1637" s="21" t="str">
        <f aca="false">IF(AND(F1637="Bilbo",ISNUMBER(J1637),ISNUMBER(K1637)),ROUND(J1637*(1+K1637/30),1),"")</f>
        <v/>
      </c>
      <c r="W1637" s="22"/>
      <c r="X1637" s="21" t="str">
        <f aca="false">IF(AND(F1637="Bilbo",E1637&lt;&gt;"",G1637&lt;&gt;"",H1637&lt;&gt;""),E1637&amp;"|"&amp;G1637&amp;"|"&amp;H1637,"")</f>
        <v/>
      </c>
      <c r="Y1637" s="21" t="str">
        <f aca="false">IF(B1637="","",IF(B1637&lt;&gt;B1636,1,0))</f>
        <v/>
      </c>
    </row>
    <row r="1638" customFormat="false" ht="15" hidden="false" customHeight="true" outlineLevel="0" collapsed="false">
      <c r="A1638" s="21" t="str">
        <f aca="false">IF(B1638="","",ROW()-4)</f>
        <v/>
      </c>
      <c r="B1638" s="22"/>
      <c r="C1638" s="21" t="str">
        <f aca="false">IF(B1638="","",CHOOSE(WEEKDAY(B1638,2),"LUNES","MARTES","MIÉRCOLES","JUEVES","VIERNES","SÁBADO","DOMINGO"))</f>
        <v/>
      </c>
      <c r="M1638" s="23"/>
      <c r="Q1638" s="21" t="str">
        <f aca="false">IF(OR(K1638="",N1638=""),"",K1638-N1638)</f>
        <v/>
      </c>
      <c r="R1638" s="21" t="str">
        <f aca="false">IF(OR(J1638="",K1638=""),"",J1638*K1638)</f>
        <v/>
      </c>
      <c r="S1638" s="21" t="str">
        <f aca="false">IF(AND(ISNUMBER(J1638),ISNUMBER(K1638),F1638&lt;&gt;"Calentamiento",F1638&lt;&gt;"Bilbo"),IF(AND(K1638&gt;0,K1638&lt;=12),ROUND(J1638*(1+(K1638+IF(ISNUMBER(L1638),L1638,0))/30),1),""),"")</f>
        <v/>
      </c>
      <c r="T1638" s="21" t="str">
        <f aca="false">IF(AND(F1638="Bilbo",ISNUMBER(J1638),ISNUMBER(K1638)),ROUND(J1638*(1+K1638/30),1),"")</f>
        <v/>
      </c>
      <c r="W1638" s="22"/>
      <c r="X1638" s="21" t="str">
        <f aca="false">IF(AND(F1638="Bilbo",E1638&lt;&gt;"",G1638&lt;&gt;"",H1638&lt;&gt;""),E1638&amp;"|"&amp;G1638&amp;"|"&amp;H1638,"")</f>
        <v/>
      </c>
      <c r="Y1638" s="21" t="str">
        <f aca="false">IF(B1638="","",IF(B1638&lt;&gt;B1637,1,0))</f>
        <v/>
      </c>
    </row>
    <row r="1639" customFormat="false" ht="15" hidden="false" customHeight="true" outlineLevel="0" collapsed="false">
      <c r="A1639" s="21" t="str">
        <f aca="false">IF(B1639="","",ROW()-4)</f>
        <v/>
      </c>
      <c r="B1639" s="22"/>
      <c r="C1639" s="21" t="str">
        <f aca="false">IF(B1639="","",CHOOSE(WEEKDAY(B1639,2),"LUNES","MARTES","MIÉRCOLES","JUEVES","VIERNES","SÁBADO","DOMINGO"))</f>
        <v/>
      </c>
      <c r="M1639" s="23"/>
      <c r="Q1639" s="21" t="str">
        <f aca="false">IF(OR(K1639="",N1639=""),"",K1639-N1639)</f>
        <v/>
      </c>
      <c r="R1639" s="21" t="str">
        <f aca="false">IF(OR(J1639="",K1639=""),"",J1639*K1639)</f>
        <v/>
      </c>
      <c r="S1639" s="21" t="str">
        <f aca="false">IF(AND(ISNUMBER(J1639),ISNUMBER(K1639),F1639&lt;&gt;"Calentamiento",F1639&lt;&gt;"Bilbo"),IF(AND(K1639&gt;0,K1639&lt;=12),ROUND(J1639*(1+(K1639+IF(ISNUMBER(L1639),L1639,0))/30),1),""),"")</f>
        <v/>
      </c>
      <c r="T1639" s="21" t="str">
        <f aca="false">IF(AND(F1639="Bilbo",ISNUMBER(J1639),ISNUMBER(K1639)),ROUND(J1639*(1+K1639/30),1),"")</f>
        <v/>
      </c>
      <c r="W1639" s="22"/>
      <c r="X1639" s="21" t="str">
        <f aca="false">IF(AND(F1639="Bilbo",E1639&lt;&gt;"",G1639&lt;&gt;"",H1639&lt;&gt;""),E1639&amp;"|"&amp;G1639&amp;"|"&amp;H1639,"")</f>
        <v/>
      </c>
      <c r="Y1639" s="21" t="str">
        <f aca="false">IF(B1639="","",IF(B1639&lt;&gt;B1638,1,0))</f>
        <v/>
      </c>
    </row>
    <row r="1640" customFormat="false" ht="15" hidden="false" customHeight="true" outlineLevel="0" collapsed="false">
      <c r="A1640" s="21" t="str">
        <f aca="false">IF(B1640="","",ROW()-4)</f>
        <v/>
      </c>
      <c r="B1640" s="22"/>
      <c r="C1640" s="21" t="str">
        <f aca="false">IF(B1640="","",CHOOSE(WEEKDAY(B1640,2),"LUNES","MARTES","MIÉRCOLES","JUEVES","VIERNES","SÁBADO","DOMINGO"))</f>
        <v/>
      </c>
      <c r="M1640" s="23"/>
      <c r="Q1640" s="21" t="str">
        <f aca="false">IF(OR(K1640="",N1640=""),"",K1640-N1640)</f>
        <v/>
      </c>
      <c r="R1640" s="21" t="str">
        <f aca="false">IF(OR(J1640="",K1640=""),"",J1640*K1640)</f>
        <v/>
      </c>
      <c r="S1640" s="21" t="str">
        <f aca="false">IF(AND(ISNUMBER(J1640),ISNUMBER(K1640),F1640&lt;&gt;"Calentamiento",F1640&lt;&gt;"Bilbo"),IF(AND(K1640&gt;0,K1640&lt;=12),ROUND(J1640*(1+(K1640+IF(ISNUMBER(L1640),L1640,0))/30),1),""),"")</f>
        <v/>
      </c>
      <c r="T1640" s="21" t="str">
        <f aca="false">IF(AND(F1640="Bilbo",ISNUMBER(J1640),ISNUMBER(K1640)),ROUND(J1640*(1+K1640/30),1),"")</f>
        <v/>
      </c>
      <c r="W1640" s="22"/>
      <c r="X1640" s="21" t="str">
        <f aca="false">IF(AND(F1640="Bilbo",E1640&lt;&gt;"",G1640&lt;&gt;"",H1640&lt;&gt;""),E1640&amp;"|"&amp;G1640&amp;"|"&amp;H1640,"")</f>
        <v/>
      </c>
      <c r="Y1640" s="21" t="str">
        <f aca="false">IF(B1640="","",IF(B1640&lt;&gt;B1639,1,0))</f>
        <v/>
      </c>
    </row>
    <row r="1641" customFormat="false" ht="15" hidden="false" customHeight="true" outlineLevel="0" collapsed="false">
      <c r="A1641" s="21" t="str">
        <f aca="false">IF(B1641="","",ROW()-4)</f>
        <v/>
      </c>
      <c r="B1641" s="22"/>
      <c r="C1641" s="21" t="str">
        <f aca="false">IF(B1641="","",CHOOSE(WEEKDAY(B1641,2),"LUNES","MARTES","MIÉRCOLES","JUEVES","VIERNES","SÁBADO","DOMINGO"))</f>
        <v/>
      </c>
      <c r="M1641" s="23"/>
      <c r="Q1641" s="21" t="str">
        <f aca="false">IF(OR(K1641="",N1641=""),"",K1641-N1641)</f>
        <v/>
      </c>
      <c r="R1641" s="21" t="str">
        <f aca="false">IF(OR(J1641="",K1641=""),"",J1641*K1641)</f>
        <v/>
      </c>
      <c r="S1641" s="21" t="str">
        <f aca="false">IF(AND(ISNUMBER(J1641),ISNUMBER(K1641),F1641&lt;&gt;"Calentamiento",F1641&lt;&gt;"Bilbo"),IF(AND(K1641&gt;0,K1641&lt;=12),ROUND(J1641*(1+(K1641+IF(ISNUMBER(L1641),L1641,0))/30),1),""),"")</f>
        <v/>
      </c>
      <c r="T1641" s="21" t="str">
        <f aca="false">IF(AND(F1641="Bilbo",ISNUMBER(J1641),ISNUMBER(K1641)),ROUND(J1641*(1+K1641/30),1),"")</f>
        <v/>
      </c>
      <c r="W1641" s="22"/>
      <c r="X1641" s="21" t="str">
        <f aca="false">IF(AND(F1641="Bilbo",E1641&lt;&gt;"",G1641&lt;&gt;"",H1641&lt;&gt;""),E1641&amp;"|"&amp;G1641&amp;"|"&amp;H1641,"")</f>
        <v/>
      </c>
      <c r="Y1641" s="21" t="str">
        <f aca="false">IF(B1641="","",IF(B1641&lt;&gt;B1640,1,0))</f>
        <v/>
      </c>
    </row>
    <row r="1642" customFormat="false" ht="15" hidden="false" customHeight="true" outlineLevel="0" collapsed="false">
      <c r="A1642" s="21" t="str">
        <f aca="false">IF(B1642="","",ROW()-4)</f>
        <v/>
      </c>
      <c r="B1642" s="22"/>
      <c r="C1642" s="21" t="str">
        <f aca="false">IF(B1642="","",CHOOSE(WEEKDAY(B1642,2),"LUNES","MARTES","MIÉRCOLES","JUEVES","VIERNES","SÁBADO","DOMINGO"))</f>
        <v/>
      </c>
      <c r="M1642" s="23"/>
      <c r="Q1642" s="21" t="str">
        <f aca="false">IF(OR(K1642="",N1642=""),"",K1642-N1642)</f>
        <v/>
      </c>
      <c r="R1642" s="21" t="str">
        <f aca="false">IF(OR(J1642="",K1642=""),"",J1642*K1642)</f>
        <v/>
      </c>
      <c r="S1642" s="21" t="str">
        <f aca="false">IF(AND(ISNUMBER(J1642),ISNUMBER(K1642),F1642&lt;&gt;"Calentamiento",F1642&lt;&gt;"Bilbo"),IF(AND(K1642&gt;0,K1642&lt;=12),ROUND(J1642*(1+(K1642+IF(ISNUMBER(L1642),L1642,0))/30),1),""),"")</f>
        <v/>
      </c>
      <c r="T1642" s="21" t="str">
        <f aca="false">IF(AND(F1642="Bilbo",ISNUMBER(J1642),ISNUMBER(K1642)),ROUND(J1642*(1+K1642/30),1),"")</f>
        <v/>
      </c>
      <c r="W1642" s="22"/>
      <c r="X1642" s="21" t="str">
        <f aca="false">IF(AND(F1642="Bilbo",E1642&lt;&gt;"",G1642&lt;&gt;"",H1642&lt;&gt;""),E1642&amp;"|"&amp;G1642&amp;"|"&amp;H1642,"")</f>
        <v/>
      </c>
      <c r="Y1642" s="21" t="str">
        <f aca="false">IF(B1642="","",IF(B1642&lt;&gt;B1641,1,0))</f>
        <v/>
      </c>
    </row>
    <row r="1643" customFormat="false" ht="15" hidden="false" customHeight="true" outlineLevel="0" collapsed="false">
      <c r="A1643" s="21" t="str">
        <f aca="false">IF(B1643="","",ROW()-4)</f>
        <v/>
      </c>
      <c r="B1643" s="22"/>
      <c r="C1643" s="21" t="str">
        <f aca="false">IF(B1643="","",CHOOSE(WEEKDAY(B1643,2),"LUNES","MARTES","MIÉRCOLES","JUEVES","VIERNES","SÁBADO","DOMINGO"))</f>
        <v/>
      </c>
      <c r="M1643" s="23"/>
      <c r="Q1643" s="21" t="str">
        <f aca="false">IF(OR(K1643="",N1643=""),"",K1643-N1643)</f>
        <v/>
      </c>
      <c r="R1643" s="21" t="str">
        <f aca="false">IF(OR(J1643="",K1643=""),"",J1643*K1643)</f>
        <v/>
      </c>
      <c r="S1643" s="21" t="str">
        <f aca="false">IF(AND(ISNUMBER(J1643),ISNUMBER(K1643),F1643&lt;&gt;"Calentamiento",F1643&lt;&gt;"Bilbo"),IF(AND(K1643&gt;0,K1643&lt;=12),ROUND(J1643*(1+(K1643+IF(ISNUMBER(L1643),L1643,0))/30),1),""),"")</f>
        <v/>
      </c>
      <c r="T1643" s="21" t="str">
        <f aca="false">IF(AND(F1643="Bilbo",ISNUMBER(J1643),ISNUMBER(K1643)),ROUND(J1643*(1+K1643/30),1),"")</f>
        <v/>
      </c>
      <c r="W1643" s="22"/>
      <c r="X1643" s="21" t="str">
        <f aca="false">IF(AND(F1643="Bilbo",E1643&lt;&gt;"",G1643&lt;&gt;"",H1643&lt;&gt;""),E1643&amp;"|"&amp;G1643&amp;"|"&amp;H1643,"")</f>
        <v/>
      </c>
      <c r="Y1643" s="21" t="str">
        <f aca="false">IF(B1643="","",IF(B1643&lt;&gt;B1642,1,0))</f>
        <v/>
      </c>
    </row>
    <row r="1644" customFormat="false" ht="15" hidden="false" customHeight="true" outlineLevel="0" collapsed="false">
      <c r="A1644" s="21" t="str">
        <f aca="false">IF(B1644="","",ROW()-4)</f>
        <v/>
      </c>
      <c r="B1644" s="22"/>
      <c r="C1644" s="21" t="str">
        <f aca="false">IF(B1644="","",CHOOSE(WEEKDAY(B1644,2),"LUNES","MARTES","MIÉRCOLES","JUEVES","VIERNES","SÁBADO","DOMINGO"))</f>
        <v/>
      </c>
      <c r="M1644" s="23"/>
      <c r="Q1644" s="21" t="str">
        <f aca="false">IF(OR(K1644="",N1644=""),"",K1644-N1644)</f>
        <v/>
      </c>
      <c r="R1644" s="21" t="str">
        <f aca="false">IF(OR(J1644="",K1644=""),"",J1644*K1644)</f>
        <v/>
      </c>
      <c r="S1644" s="21" t="str">
        <f aca="false">IF(AND(ISNUMBER(J1644),ISNUMBER(K1644),F1644&lt;&gt;"Calentamiento",F1644&lt;&gt;"Bilbo"),IF(AND(K1644&gt;0,K1644&lt;=12),ROUND(J1644*(1+(K1644+IF(ISNUMBER(L1644),L1644,0))/30),1),""),"")</f>
        <v/>
      </c>
      <c r="T1644" s="21" t="str">
        <f aca="false">IF(AND(F1644="Bilbo",ISNUMBER(J1644),ISNUMBER(K1644)),ROUND(J1644*(1+K1644/30),1),"")</f>
        <v/>
      </c>
      <c r="W1644" s="22"/>
      <c r="X1644" s="21" t="str">
        <f aca="false">IF(AND(F1644="Bilbo",E1644&lt;&gt;"",G1644&lt;&gt;"",H1644&lt;&gt;""),E1644&amp;"|"&amp;G1644&amp;"|"&amp;H1644,"")</f>
        <v/>
      </c>
      <c r="Y1644" s="21" t="str">
        <f aca="false">IF(B1644="","",IF(B1644&lt;&gt;B1643,1,0))</f>
        <v/>
      </c>
    </row>
    <row r="1645" customFormat="false" ht="15" hidden="false" customHeight="true" outlineLevel="0" collapsed="false">
      <c r="A1645" s="21" t="str">
        <f aca="false">IF(B1645="","",ROW()-4)</f>
        <v/>
      </c>
      <c r="B1645" s="22"/>
      <c r="C1645" s="21" t="str">
        <f aca="false">IF(B1645="","",CHOOSE(WEEKDAY(B1645,2),"LUNES","MARTES","MIÉRCOLES","JUEVES","VIERNES","SÁBADO","DOMINGO"))</f>
        <v/>
      </c>
      <c r="M1645" s="23"/>
      <c r="Q1645" s="21" t="str">
        <f aca="false">IF(OR(K1645="",N1645=""),"",K1645-N1645)</f>
        <v/>
      </c>
      <c r="R1645" s="21" t="str">
        <f aca="false">IF(OR(J1645="",K1645=""),"",J1645*K1645)</f>
        <v/>
      </c>
      <c r="S1645" s="21" t="str">
        <f aca="false">IF(AND(ISNUMBER(J1645),ISNUMBER(K1645),F1645&lt;&gt;"Calentamiento",F1645&lt;&gt;"Bilbo"),IF(AND(K1645&gt;0,K1645&lt;=12),ROUND(J1645*(1+(K1645+IF(ISNUMBER(L1645),L1645,0))/30),1),""),"")</f>
        <v/>
      </c>
      <c r="T1645" s="21" t="str">
        <f aca="false">IF(AND(F1645="Bilbo",ISNUMBER(J1645),ISNUMBER(K1645)),ROUND(J1645*(1+K1645/30),1),"")</f>
        <v/>
      </c>
      <c r="W1645" s="22"/>
      <c r="X1645" s="21" t="str">
        <f aca="false">IF(AND(F1645="Bilbo",E1645&lt;&gt;"",G1645&lt;&gt;"",H1645&lt;&gt;""),E1645&amp;"|"&amp;G1645&amp;"|"&amp;H1645,"")</f>
        <v/>
      </c>
      <c r="Y1645" s="21" t="str">
        <f aca="false">IF(B1645="","",IF(B1645&lt;&gt;B1644,1,0))</f>
        <v/>
      </c>
    </row>
    <row r="1646" customFormat="false" ht="15" hidden="false" customHeight="true" outlineLevel="0" collapsed="false">
      <c r="A1646" s="21" t="str">
        <f aca="false">IF(B1646="","",ROW()-4)</f>
        <v/>
      </c>
      <c r="B1646" s="22"/>
      <c r="C1646" s="21" t="str">
        <f aca="false">IF(B1646="","",CHOOSE(WEEKDAY(B1646,2),"LUNES","MARTES","MIÉRCOLES","JUEVES","VIERNES","SÁBADO","DOMINGO"))</f>
        <v/>
      </c>
      <c r="M1646" s="23"/>
      <c r="Q1646" s="21" t="str">
        <f aca="false">IF(OR(K1646="",N1646=""),"",K1646-N1646)</f>
        <v/>
      </c>
      <c r="R1646" s="21" t="str">
        <f aca="false">IF(OR(J1646="",K1646=""),"",J1646*K1646)</f>
        <v/>
      </c>
      <c r="S1646" s="21" t="str">
        <f aca="false">IF(AND(ISNUMBER(J1646),ISNUMBER(K1646),F1646&lt;&gt;"Calentamiento",F1646&lt;&gt;"Bilbo"),IF(AND(K1646&gt;0,K1646&lt;=12),ROUND(J1646*(1+(K1646+IF(ISNUMBER(L1646),L1646,0))/30),1),""),"")</f>
        <v/>
      </c>
      <c r="T1646" s="21" t="str">
        <f aca="false">IF(AND(F1646="Bilbo",ISNUMBER(J1646),ISNUMBER(K1646)),ROUND(J1646*(1+K1646/30),1),"")</f>
        <v/>
      </c>
      <c r="W1646" s="22"/>
      <c r="X1646" s="21" t="str">
        <f aca="false">IF(AND(F1646="Bilbo",E1646&lt;&gt;"",G1646&lt;&gt;"",H1646&lt;&gt;""),E1646&amp;"|"&amp;G1646&amp;"|"&amp;H1646,"")</f>
        <v/>
      </c>
      <c r="Y1646" s="21" t="str">
        <f aca="false">IF(B1646="","",IF(B1646&lt;&gt;B1645,1,0))</f>
        <v/>
      </c>
    </row>
    <row r="1647" customFormat="false" ht="15" hidden="false" customHeight="true" outlineLevel="0" collapsed="false">
      <c r="A1647" s="21" t="str">
        <f aca="false">IF(B1647="","",ROW()-4)</f>
        <v/>
      </c>
      <c r="B1647" s="22"/>
      <c r="C1647" s="21" t="str">
        <f aca="false">IF(B1647="","",CHOOSE(WEEKDAY(B1647,2),"LUNES","MARTES","MIÉRCOLES","JUEVES","VIERNES","SÁBADO","DOMINGO"))</f>
        <v/>
      </c>
      <c r="M1647" s="23"/>
      <c r="Q1647" s="21" t="str">
        <f aca="false">IF(OR(K1647="",N1647=""),"",K1647-N1647)</f>
        <v/>
      </c>
      <c r="R1647" s="21" t="str">
        <f aca="false">IF(OR(J1647="",K1647=""),"",J1647*K1647)</f>
        <v/>
      </c>
      <c r="S1647" s="21" t="str">
        <f aca="false">IF(AND(ISNUMBER(J1647),ISNUMBER(K1647),F1647&lt;&gt;"Calentamiento",F1647&lt;&gt;"Bilbo"),IF(AND(K1647&gt;0,K1647&lt;=12),ROUND(J1647*(1+(K1647+IF(ISNUMBER(L1647),L1647,0))/30),1),""),"")</f>
        <v/>
      </c>
      <c r="T1647" s="21" t="str">
        <f aca="false">IF(AND(F1647="Bilbo",ISNUMBER(J1647),ISNUMBER(K1647)),ROUND(J1647*(1+K1647/30),1),"")</f>
        <v/>
      </c>
      <c r="W1647" s="22"/>
      <c r="X1647" s="21" t="str">
        <f aca="false">IF(AND(F1647="Bilbo",E1647&lt;&gt;"",G1647&lt;&gt;"",H1647&lt;&gt;""),E1647&amp;"|"&amp;G1647&amp;"|"&amp;H1647,"")</f>
        <v/>
      </c>
      <c r="Y1647" s="21" t="str">
        <f aca="false">IF(B1647="","",IF(B1647&lt;&gt;B1646,1,0))</f>
        <v/>
      </c>
    </row>
    <row r="1648" customFormat="false" ht="15" hidden="false" customHeight="true" outlineLevel="0" collapsed="false">
      <c r="A1648" s="21" t="str">
        <f aca="false">IF(B1648="","",ROW()-4)</f>
        <v/>
      </c>
      <c r="B1648" s="22"/>
      <c r="C1648" s="21" t="str">
        <f aca="false">IF(B1648="","",CHOOSE(WEEKDAY(B1648,2),"LUNES","MARTES","MIÉRCOLES","JUEVES","VIERNES","SÁBADO","DOMINGO"))</f>
        <v/>
      </c>
      <c r="M1648" s="23"/>
      <c r="Q1648" s="21" t="str">
        <f aca="false">IF(OR(K1648="",N1648=""),"",K1648-N1648)</f>
        <v/>
      </c>
      <c r="R1648" s="21" t="str">
        <f aca="false">IF(OR(J1648="",K1648=""),"",J1648*K1648)</f>
        <v/>
      </c>
      <c r="S1648" s="21" t="str">
        <f aca="false">IF(AND(ISNUMBER(J1648),ISNUMBER(K1648),F1648&lt;&gt;"Calentamiento",F1648&lt;&gt;"Bilbo"),IF(AND(K1648&gt;0,K1648&lt;=12),ROUND(J1648*(1+(K1648+IF(ISNUMBER(L1648),L1648,0))/30),1),""),"")</f>
        <v/>
      </c>
      <c r="T1648" s="21" t="str">
        <f aca="false">IF(AND(F1648="Bilbo",ISNUMBER(J1648),ISNUMBER(K1648)),ROUND(J1648*(1+K1648/30),1),"")</f>
        <v/>
      </c>
      <c r="W1648" s="22"/>
      <c r="X1648" s="21" t="str">
        <f aca="false">IF(AND(F1648="Bilbo",E1648&lt;&gt;"",G1648&lt;&gt;"",H1648&lt;&gt;""),E1648&amp;"|"&amp;G1648&amp;"|"&amp;H1648,"")</f>
        <v/>
      </c>
      <c r="Y1648" s="21" t="str">
        <f aca="false">IF(B1648="","",IF(B1648&lt;&gt;B1647,1,0))</f>
        <v/>
      </c>
    </row>
    <row r="1649" customFormat="false" ht="15" hidden="false" customHeight="true" outlineLevel="0" collapsed="false">
      <c r="A1649" s="21" t="str">
        <f aca="false">IF(B1649="","",ROW()-4)</f>
        <v/>
      </c>
      <c r="B1649" s="22"/>
      <c r="C1649" s="21" t="str">
        <f aca="false">IF(B1649="","",CHOOSE(WEEKDAY(B1649,2),"LUNES","MARTES","MIÉRCOLES","JUEVES","VIERNES","SÁBADO","DOMINGO"))</f>
        <v/>
      </c>
      <c r="M1649" s="23"/>
      <c r="Q1649" s="21" t="str">
        <f aca="false">IF(OR(K1649="",N1649=""),"",K1649-N1649)</f>
        <v/>
      </c>
      <c r="R1649" s="21" t="str">
        <f aca="false">IF(OR(J1649="",K1649=""),"",J1649*K1649)</f>
        <v/>
      </c>
      <c r="S1649" s="21" t="str">
        <f aca="false">IF(AND(ISNUMBER(J1649),ISNUMBER(K1649),F1649&lt;&gt;"Calentamiento",F1649&lt;&gt;"Bilbo"),IF(AND(K1649&gt;0,K1649&lt;=12),ROUND(J1649*(1+(K1649+IF(ISNUMBER(L1649),L1649,0))/30),1),""),"")</f>
        <v/>
      </c>
      <c r="T1649" s="21" t="str">
        <f aca="false">IF(AND(F1649="Bilbo",ISNUMBER(J1649),ISNUMBER(K1649)),ROUND(J1649*(1+K1649/30),1),"")</f>
        <v/>
      </c>
      <c r="W1649" s="22"/>
      <c r="X1649" s="21" t="str">
        <f aca="false">IF(AND(F1649="Bilbo",E1649&lt;&gt;"",G1649&lt;&gt;"",H1649&lt;&gt;""),E1649&amp;"|"&amp;G1649&amp;"|"&amp;H1649,"")</f>
        <v/>
      </c>
      <c r="Y1649" s="21" t="str">
        <f aca="false">IF(B1649="","",IF(B1649&lt;&gt;B1648,1,0))</f>
        <v/>
      </c>
    </row>
    <row r="1650" customFormat="false" ht="15" hidden="false" customHeight="true" outlineLevel="0" collapsed="false">
      <c r="A1650" s="21" t="str">
        <f aca="false">IF(B1650="","",ROW()-4)</f>
        <v/>
      </c>
      <c r="B1650" s="22"/>
      <c r="C1650" s="21" t="str">
        <f aca="false">IF(B1650="","",CHOOSE(WEEKDAY(B1650,2),"LUNES","MARTES","MIÉRCOLES","JUEVES","VIERNES","SÁBADO","DOMINGO"))</f>
        <v/>
      </c>
      <c r="M1650" s="23"/>
      <c r="Q1650" s="21" t="str">
        <f aca="false">IF(OR(K1650="",N1650=""),"",K1650-N1650)</f>
        <v/>
      </c>
      <c r="R1650" s="21" t="str">
        <f aca="false">IF(OR(J1650="",K1650=""),"",J1650*K1650)</f>
        <v/>
      </c>
      <c r="S1650" s="21" t="str">
        <f aca="false">IF(AND(ISNUMBER(J1650),ISNUMBER(K1650),F1650&lt;&gt;"Calentamiento",F1650&lt;&gt;"Bilbo"),IF(AND(K1650&gt;0,K1650&lt;=12),ROUND(J1650*(1+(K1650+IF(ISNUMBER(L1650),L1650,0))/30),1),""),"")</f>
        <v/>
      </c>
      <c r="T1650" s="21" t="str">
        <f aca="false">IF(AND(F1650="Bilbo",ISNUMBER(J1650),ISNUMBER(K1650)),ROUND(J1650*(1+K1650/30),1),"")</f>
        <v/>
      </c>
      <c r="W1650" s="22"/>
      <c r="X1650" s="21" t="str">
        <f aca="false">IF(AND(F1650="Bilbo",E1650&lt;&gt;"",G1650&lt;&gt;"",H1650&lt;&gt;""),E1650&amp;"|"&amp;G1650&amp;"|"&amp;H1650,"")</f>
        <v/>
      </c>
      <c r="Y1650" s="21" t="str">
        <f aca="false">IF(B1650="","",IF(B1650&lt;&gt;B1649,1,0))</f>
        <v/>
      </c>
    </row>
    <row r="1651" customFormat="false" ht="15" hidden="false" customHeight="true" outlineLevel="0" collapsed="false">
      <c r="A1651" s="21" t="str">
        <f aca="false">IF(B1651="","",ROW()-4)</f>
        <v/>
      </c>
      <c r="B1651" s="22"/>
      <c r="C1651" s="21" t="str">
        <f aca="false">IF(B1651="","",CHOOSE(WEEKDAY(B1651,2),"LUNES","MARTES","MIÉRCOLES","JUEVES","VIERNES","SÁBADO","DOMINGO"))</f>
        <v/>
      </c>
      <c r="M1651" s="23"/>
      <c r="Q1651" s="21" t="str">
        <f aca="false">IF(OR(K1651="",N1651=""),"",K1651-N1651)</f>
        <v/>
      </c>
      <c r="R1651" s="21" t="str">
        <f aca="false">IF(OR(J1651="",K1651=""),"",J1651*K1651)</f>
        <v/>
      </c>
      <c r="S1651" s="21" t="str">
        <f aca="false">IF(AND(ISNUMBER(J1651),ISNUMBER(K1651),F1651&lt;&gt;"Calentamiento",F1651&lt;&gt;"Bilbo"),IF(AND(K1651&gt;0,K1651&lt;=12),ROUND(J1651*(1+(K1651+IF(ISNUMBER(L1651),L1651,0))/30),1),""),"")</f>
        <v/>
      </c>
      <c r="T1651" s="21" t="str">
        <f aca="false">IF(AND(F1651="Bilbo",ISNUMBER(J1651),ISNUMBER(K1651)),ROUND(J1651*(1+K1651/30),1),"")</f>
        <v/>
      </c>
      <c r="W1651" s="22"/>
      <c r="X1651" s="21" t="str">
        <f aca="false">IF(AND(F1651="Bilbo",E1651&lt;&gt;"",G1651&lt;&gt;"",H1651&lt;&gt;""),E1651&amp;"|"&amp;G1651&amp;"|"&amp;H1651,"")</f>
        <v/>
      </c>
      <c r="Y1651" s="21" t="str">
        <f aca="false">IF(B1651="","",IF(B1651&lt;&gt;B1650,1,0))</f>
        <v/>
      </c>
    </row>
    <row r="1652" customFormat="false" ht="15" hidden="false" customHeight="true" outlineLevel="0" collapsed="false">
      <c r="A1652" s="21" t="str">
        <f aca="false">IF(B1652="","",ROW()-4)</f>
        <v/>
      </c>
      <c r="B1652" s="22"/>
      <c r="C1652" s="21" t="str">
        <f aca="false">IF(B1652="","",CHOOSE(WEEKDAY(B1652,2),"LUNES","MARTES","MIÉRCOLES","JUEVES","VIERNES","SÁBADO","DOMINGO"))</f>
        <v/>
      </c>
      <c r="M1652" s="23"/>
      <c r="Q1652" s="21" t="str">
        <f aca="false">IF(OR(K1652="",N1652=""),"",K1652-N1652)</f>
        <v/>
      </c>
      <c r="R1652" s="21" t="str">
        <f aca="false">IF(OR(J1652="",K1652=""),"",J1652*K1652)</f>
        <v/>
      </c>
      <c r="S1652" s="21" t="str">
        <f aca="false">IF(AND(ISNUMBER(J1652),ISNUMBER(K1652),F1652&lt;&gt;"Calentamiento",F1652&lt;&gt;"Bilbo"),IF(AND(K1652&gt;0,K1652&lt;=12),ROUND(J1652*(1+(K1652+IF(ISNUMBER(L1652),L1652,0))/30),1),""),"")</f>
        <v/>
      </c>
      <c r="T1652" s="21" t="str">
        <f aca="false">IF(AND(F1652="Bilbo",ISNUMBER(J1652),ISNUMBER(K1652)),ROUND(J1652*(1+K1652/30),1),"")</f>
        <v/>
      </c>
      <c r="W1652" s="22"/>
      <c r="X1652" s="21" t="str">
        <f aca="false">IF(AND(F1652="Bilbo",E1652&lt;&gt;"",G1652&lt;&gt;"",H1652&lt;&gt;""),E1652&amp;"|"&amp;G1652&amp;"|"&amp;H1652,"")</f>
        <v/>
      </c>
      <c r="Y1652" s="21" t="str">
        <f aca="false">IF(B1652="","",IF(B1652&lt;&gt;B1651,1,0))</f>
        <v/>
      </c>
    </row>
    <row r="1653" customFormat="false" ht="15" hidden="false" customHeight="true" outlineLevel="0" collapsed="false">
      <c r="A1653" s="21" t="str">
        <f aca="false">IF(B1653="","",ROW()-4)</f>
        <v/>
      </c>
      <c r="B1653" s="22"/>
      <c r="C1653" s="21" t="str">
        <f aca="false">IF(B1653="","",CHOOSE(WEEKDAY(B1653,2),"LUNES","MARTES","MIÉRCOLES","JUEVES","VIERNES","SÁBADO","DOMINGO"))</f>
        <v/>
      </c>
      <c r="M1653" s="23"/>
      <c r="Q1653" s="21" t="str">
        <f aca="false">IF(OR(K1653="",N1653=""),"",K1653-N1653)</f>
        <v/>
      </c>
      <c r="R1653" s="21" t="str">
        <f aca="false">IF(OR(J1653="",K1653=""),"",J1653*K1653)</f>
        <v/>
      </c>
      <c r="S1653" s="21" t="str">
        <f aca="false">IF(AND(ISNUMBER(J1653),ISNUMBER(K1653),F1653&lt;&gt;"Calentamiento",F1653&lt;&gt;"Bilbo"),IF(AND(K1653&gt;0,K1653&lt;=12),ROUND(J1653*(1+(K1653+IF(ISNUMBER(L1653),L1653,0))/30),1),""),"")</f>
        <v/>
      </c>
      <c r="T1653" s="21" t="str">
        <f aca="false">IF(AND(F1653="Bilbo",ISNUMBER(J1653),ISNUMBER(K1653)),ROUND(J1653*(1+K1653/30),1),"")</f>
        <v/>
      </c>
      <c r="W1653" s="22"/>
      <c r="X1653" s="21" t="str">
        <f aca="false">IF(AND(F1653="Bilbo",E1653&lt;&gt;"",G1653&lt;&gt;"",H1653&lt;&gt;""),E1653&amp;"|"&amp;G1653&amp;"|"&amp;H1653,"")</f>
        <v/>
      </c>
      <c r="Y1653" s="21" t="str">
        <f aca="false">IF(B1653="","",IF(B1653&lt;&gt;B1652,1,0))</f>
        <v/>
      </c>
    </row>
    <row r="1654" customFormat="false" ht="15" hidden="false" customHeight="true" outlineLevel="0" collapsed="false">
      <c r="A1654" s="21" t="str">
        <f aca="false">IF(B1654="","",ROW()-4)</f>
        <v/>
      </c>
      <c r="B1654" s="22"/>
      <c r="C1654" s="21" t="str">
        <f aca="false">IF(B1654="","",CHOOSE(WEEKDAY(B1654,2),"LUNES","MARTES","MIÉRCOLES","JUEVES","VIERNES","SÁBADO","DOMINGO"))</f>
        <v/>
      </c>
      <c r="M1654" s="23"/>
      <c r="Q1654" s="21" t="str">
        <f aca="false">IF(OR(K1654="",N1654=""),"",K1654-N1654)</f>
        <v/>
      </c>
      <c r="R1654" s="21" t="str">
        <f aca="false">IF(OR(J1654="",K1654=""),"",J1654*K1654)</f>
        <v/>
      </c>
      <c r="S1654" s="21" t="str">
        <f aca="false">IF(AND(ISNUMBER(J1654),ISNUMBER(K1654),F1654&lt;&gt;"Calentamiento",F1654&lt;&gt;"Bilbo"),IF(AND(K1654&gt;0,K1654&lt;=12),ROUND(J1654*(1+(K1654+IF(ISNUMBER(L1654),L1654,0))/30),1),""),"")</f>
        <v/>
      </c>
      <c r="T1654" s="21" t="str">
        <f aca="false">IF(AND(F1654="Bilbo",ISNUMBER(J1654),ISNUMBER(K1654)),ROUND(J1654*(1+K1654/30),1),"")</f>
        <v/>
      </c>
      <c r="W1654" s="22"/>
      <c r="X1654" s="21" t="str">
        <f aca="false">IF(AND(F1654="Bilbo",E1654&lt;&gt;"",G1654&lt;&gt;"",H1654&lt;&gt;""),E1654&amp;"|"&amp;G1654&amp;"|"&amp;H1654,"")</f>
        <v/>
      </c>
      <c r="Y1654" s="21" t="str">
        <f aca="false">IF(B1654="","",IF(B1654&lt;&gt;B1653,1,0))</f>
        <v/>
      </c>
    </row>
    <row r="1655" customFormat="false" ht="15" hidden="false" customHeight="true" outlineLevel="0" collapsed="false">
      <c r="A1655" s="21" t="str">
        <f aca="false">IF(B1655="","",ROW()-4)</f>
        <v/>
      </c>
      <c r="B1655" s="22"/>
      <c r="C1655" s="21" t="str">
        <f aca="false">IF(B1655="","",CHOOSE(WEEKDAY(B1655,2),"LUNES","MARTES","MIÉRCOLES","JUEVES","VIERNES","SÁBADO","DOMINGO"))</f>
        <v/>
      </c>
      <c r="M1655" s="23"/>
      <c r="Q1655" s="21" t="str">
        <f aca="false">IF(OR(K1655="",N1655=""),"",K1655-N1655)</f>
        <v/>
      </c>
      <c r="R1655" s="21" t="str">
        <f aca="false">IF(OR(J1655="",K1655=""),"",J1655*K1655)</f>
        <v/>
      </c>
      <c r="S1655" s="21" t="str">
        <f aca="false">IF(AND(ISNUMBER(J1655),ISNUMBER(K1655),F1655&lt;&gt;"Calentamiento",F1655&lt;&gt;"Bilbo"),IF(AND(K1655&gt;0,K1655&lt;=12),ROUND(J1655*(1+(K1655+IF(ISNUMBER(L1655),L1655,0))/30),1),""),"")</f>
        <v/>
      </c>
      <c r="T1655" s="21" t="str">
        <f aca="false">IF(AND(F1655="Bilbo",ISNUMBER(J1655),ISNUMBER(K1655)),ROUND(J1655*(1+K1655/30),1),"")</f>
        <v/>
      </c>
      <c r="W1655" s="22"/>
      <c r="X1655" s="21" t="str">
        <f aca="false">IF(AND(F1655="Bilbo",E1655&lt;&gt;"",G1655&lt;&gt;"",H1655&lt;&gt;""),E1655&amp;"|"&amp;G1655&amp;"|"&amp;H1655,"")</f>
        <v/>
      </c>
      <c r="Y1655" s="21" t="str">
        <f aca="false">IF(B1655="","",IF(B1655&lt;&gt;B1654,1,0))</f>
        <v/>
      </c>
    </row>
    <row r="1656" customFormat="false" ht="15" hidden="false" customHeight="true" outlineLevel="0" collapsed="false">
      <c r="A1656" s="21" t="str">
        <f aca="false">IF(B1656="","",ROW()-4)</f>
        <v/>
      </c>
      <c r="B1656" s="22"/>
      <c r="C1656" s="21" t="str">
        <f aca="false">IF(B1656="","",CHOOSE(WEEKDAY(B1656,2),"LUNES","MARTES","MIÉRCOLES","JUEVES","VIERNES","SÁBADO","DOMINGO"))</f>
        <v/>
      </c>
      <c r="M1656" s="23"/>
      <c r="Q1656" s="21" t="str">
        <f aca="false">IF(OR(K1656="",N1656=""),"",K1656-N1656)</f>
        <v/>
      </c>
      <c r="R1656" s="21" t="str">
        <f aca="false">IF(OR(J1656="",K1656=""),"",J1656*K1656)</f>
        <v/>
      </c>
      <c r="S1656" s="21" t="str">
        <f aca="false">IF(AND(ISNUMBER(J1656),ISNUMBER(K1656),F1656&lt;&gt;"Calentamiento",F1656&lt;&gt;"Bilbo"),IF(AND(K1656&gt;0,K1656&lt;=12),ROUND(J1656*(1+(K1656+IF(ISNUMBER(L1656),L1656,0))/30),1),""),"")</f>
        <v/>
      </c>
      <c r="T1656" s="21" t="str">
        <f aca="false">IF(AND(F1656="Bilbo",ISNUMBER(J1656),ISNUMBER(K1656)),ROUND(J1656*(1+K1656/30),1),"")</f>
        <v/>
      </c>
      <c r="W1656" s="22"/>
      <c r="X1656" s="21" t="str">
        <f aca="false">IF(AND(F1656="Bilbo",E1656&lt;&gt;"",G1656&lt;&gt;"",H1656&lt;&gt;""),E1656&amp;"|"&amp;G1656&amp;"|"&amp;H1656,"")</f>
        <v/>
      </c>
      <c r="Y1656" s="21" t="str">
        <f aca="false">IF(B1656="","",IF(B1656&lt;&gt;B1655,1,0))</f>
        <v/>
      </c>
    </row>
    <row r="1657" customFormat="false" ht="15" hidden="false" customHeight="true" outlineLevel="0" collapsed="false">
      <c r="A1657" s="21" t="str">
        <f aca="false">IF(B1657="","",ROW()-4)</f>
        <v/>
      </c>
      <c r="B1657" s="22"/>
      <c r="C1657" s="21" t="str">
        <f aca="false">IF(B1657="","",CHOOSE(WEEKDAY(B1657,2),"LUNES","MARTES","MIÉRCOLES","JUEVES","VIERNES","SÁBADO","DOMINGO"))</f>
        <v/>
      </c>
      <c r="M1657" s="23"/>
      <c r="Q1657" s="21" t="str">
        <f aca="false">IF(OR(K1657="",N1657=""),"",K1657-N1657)</f>
        <v/>
      </c>
      <c r="R1657" s="21" t="str">
        <f aca="false">IF(OR(J1657="",K1657=""),"",J1657*K1657)</f>
        <v/>
      </c>
      <c r="S1657" s="21" t="str">
        <f aca="false">IF(AND(ISNUMBER(J1657),ISNUMBER(K1657),F1657&lt;&gt;"Calentamiento",F1657&lt;&gt;"Bilbo"),IF(AND(K1657&gt;0,K1657&lt;=12),ROUND(J1657*(1+(K1657+IF(ISNUMBER(L1657),L1657,0))/30),1),""),"")</f>
        <v/>
      </c>
      <c r="T1657" s="21" t="str">
        <f aca="false">IF(AND(F1657="Bilbo",ISNUMBER(J1657),ISNUMBER(K1657)),ROUND(J1657*(1+K1657/30),1),"")</f>
        <v/>
      </c>
      <c r="W1657" s="22"/>
      <c r="X1657" s="21" t="str">
        <f aca="false">IF(AND(F1657="Bilbo",E1657&lt;&gt;"",G1657&lt;&gt;"",H1657&lt;&gt;""),E1657&amp;"|"&amp;G1657&amp;"|"&amp;H1657,"")</f>
        <v/>
      </c>
      <c r="Y1657" s="21" t="str">
        <f aca="false">IF(B1657="","",IF(B1657&lt;&gt;B1656,1,0))</f>
        <v/>
      </c>
    </row>
    <row r="1658" customFormat="false" ht="15" hidden="false" customHeight="true" outlineLevel="0" collapsed="false">
      <c r="A1658" s="21" t="str">
        <f aca="false">IF(B1658="","",ROW()-4)</f>
        <v/>
      </c>
      <c r="B1658" s="22"/>
      <c r="C1658" s="21" t="str">
        <f aca="false">IF(B1658="","",CHOOSE(WEEKDAY(B1658,2),"LUNES","MARTES","MIÉRCOLES","JUEVES","VIERNES","SÁBADO","DOMINGO"))</f>
        <v/>
      </c>
      <c r="M1658" s="23"/>
      <c r="Q1658" s="21" t="str">
        <f aca="false">IF(OR(K1658="",N1658=""),"",K1658-N1658)</f>
        <v/>
      </c>
      <c r="R1658" s="21" t="str">
        <f aca="false">IF(OR(J1658="",K1658=""),"",J1658*K1658)</f>
        <v/>
      </c>
      <c r="S1658" s="21" t="str">
        <f aca="false">IF(AND(ISNUMBER(J1658),ISNUMBER(K1658),F1658&lt;&gt;"Calentamiento",F1658&lt;&gt;"Bilbo"),IF(AND(K1658&gt;0,K1658&lt;=12),ROUND(J1658*(1+(K1658+IF(ISNUMBER(L1658),L1658,0))/30),1),""),"")</f>
        <v/>
      </c>
      <c r="T1658" s="21" t="str">
        <f aca="false">IF(AND(F1658="Bilbo",ISNUMBER(J1658),ISNUMBER(K1658)),ROUND(J1658*(1+K1658/30),1),"")</f>
        <v/>
      </c>
      <c r="W1658" s="22"/>
      <c r="X1658" s="21" t="str">
        <f aca="false">IF(AND(F1658="Bilbo",E1658&lt;&gt;"",G1658&lt;&gt;"",H1658&lt;&gt;""),E1658&amp;"|"&amp;G1658&amp;"|"&amp;H1658,"")</f>
        <v/>
      </c>
      <c r="Y1658" s="21" t="str">
        <f aca="false">IF(B1658="","",IF(B1658&lt;&gt;B1657,1,0))</f>
        <v/>
      </c>
    </row>
    <row r="1659" customFormat="false" ht="15" hidden="false" customHeight="true" outlineLevel="0" collapsed="false">
      <c r="A1659" s="21" t="str">
        <f aca="false">IF(B1659="","",ROW()-4)</f>
        <v/>
      </c>
      <c r="B1659" s="22"/>
      <c r="C1659" s="21" t="str">
        <f aca="false">IF(B1659="","",CHOOSE(WEEKDAY(B1659,2),"LUNES","MARTES","MIÉRCOLES","JUEVES","VIERNES","SÁBADO","DOMINGO"))</f>
        <v/>
      </c>
      <c r="M1659" s="23"/>
      <c r="Q1659" s="21" t="str">
        <f aca="false">IF(OR(K1659="",N1659=""),"",K1659-N1659)</f>
        <v/>
      </c>
      <c r="R1659" s="21" t="str">
        <f aca="false">IF(OR(J1659="",K1659=""),"",J1659*K1659)</f>
        <v/>
      </c>
      <c r="S1659" s="21" t="str">
        <f aca="false">IF(AND(ISNUMBER(J1659),ISNUMBER(K1659),F1659&lt;&gt;"Calentamiento",F1659&lt;&gt;"Bilbo"),IF(AND(K1659&gt;0,K1659&lt;=12),ROUND(J1659*(1+(K1659+IF(ISNUMBER(L1659),L1659,0))/30),1),""),"")</f>
        <v/>
      </c>
      <c r="T1659" s="21" t="str">
        <f aca="false">IF(AND(F1659="Bilbo",ISNUMBER(J1659),ISNUMBER(K1659)),ROUND(J1659*(1+K1659/30),1),"")</f>
        <v/>
      </c>
      <c r="W1659" s="22"/>
      <c r="X1659" s="21" t="str">
        <f aca="false">IF(AND(F1659="Bilbo",E1659&lt;&gt;"",G1659&lt;&gt;"",H1659&lt;&gt;""),E1659&amp;"|"&amp;G1659&amp;"|"&amp;H1659,"")</f>
        <v/>
      </c>
      <c r="Y1659" s="21" t="str">
        <f aca="false">IF(B1659="","",IF(B1659&lt;&gt;B1658,1,0))</f>
        <v/>
      </c>
    </row>
    <row r="1660" customFormat="false" ht="15" hidden="false" customHeight="true" outlineLevel="0" collapsed="false">
      <c r="A1660" s="21" t="str">
        <f aca="false">IF(B1660="","",ROW()-4)</f>
        <v/>
      </c>
      <c r="B1660" s="22"/>
      <c r="C1660" s="21" t="str">
        <f aca="false">IF(B1660="","",CHOOSE(WEEKDAY(B1660,2),"LUNES","MARTES","MIÉRCOLES","JUEVES","VIERNES","SÁBADO","DOMINGO"))</f>
        <v/>
      </c>
      <c r="M1660" s="23"/>
      <c r="Q1660" s="21" t="str">
        <f aca="false">IF(OR(K1660="",N1660=""),"",K1660-N1660)</f>
        <v/>
      </c>
      <c r="R1660" s="21" t="str">
        <f aca="false">IF(OR(J1660="",K1660=""),"",J1660*K1660)</f>
        <v/>
      </c>
      <c r="S1660" s="21" t="str">
        <f aca="false">IF(AND(ISNUMBER(J1660),ISNUMBER(K1660),F1660&lt;&gt;"Calentamiento",F1660&lt;&gt;"Bilbo"),IF(AND(K1660&gt;0,K1660&lt;=12),ROUND(J1660*(1+(K1660+IF(ISNUMBER(L1660),L1660,0))/30),1),""),"")</f>
        <v/>
      </c>
      <c r="T1660" s="21" t="str">
        <f aca="false">IF(AND(F1660="Bilbo",ISNUMBER(J1660),ISNUMBER(K1660)),ROUND(J1660*(1+K1660/30),1),"")</f>
        <v/>
      </c>
      <c r="W1660" s="22"/>
      <c r="X1660" s="21" t="str">
        <f aca="false">IF(AND(F1660="Bilbo",E1660&lt;&gt;"",G1660&lt;&gt;"",H1660&lt;&gt;""),E1660&amp;"|"&amp;G1660&amp;"|"&amp;H1660,"")</f>
        <v/>
      </c>
      <c r="Y1660" s="21" t="str">
        <f aca="false">IF(B1660="","",IF(B1660&lt;&gt;B1659,1,0))</f>
        <v/>
      </c>
    </row>
    <row r="1661" customFormat="false" ht="15" hidden="false" customHeight="true" outlineLevel="0" collapsed="false">
      <c r="A1661" s="21" t="str">
        <f aca="false">IF(B1661="","",ROW()-4)</f>
        <v/>
      </c>
      <c r="B1661" s="22"/>
      <c r="C1661" s="21" t="str">
        <f aca="false">IF(B1661="","",CHOOSE(WEEKDAY(B1661,2),"LUNES","MARTES","MIÉRCOLES","JUEVES","VIERNES","SÁBADO","DOMINGO"))</f>
        <v/>
      </c>
      <c r="M1661" s="23"/>
      <c r="Q1661" s="21" t="str">
        <f aca="false">IF(OR(K1661="",N1661=""),"",K1661-N1661)</f>
        <v/>
      </c>
      <c r="R1661" s="21" t="str">
        <f aca="false">IF(OR(J1661="",K1661=""),"",J1661*K1661)</f>
        <v/>
      </c>
      <c r="S1661" s="21" t="str">
        <f aca="false">IF(AND(ISNUMBER(J1661),ISNUMBER(K1661),F1661&lt;&gt;"Calentamiento",F1661&lt;&gt;"Bilbo"),IF(AND(K1661&gt;0,K1661&lt;=12),ROUND(J1661*(1+(K1661+IF(ISNUMBER(L1661),L1661,0))/30),1),""),"")</f>
        <v/>
      </c>
      <c r="T1661" s="21" t="str">
        <f aca="false">IF(AND(F1661="Bilbo",ISNUMBER(J1661),ISNUMBER(K1661)),ROUND(J1661*(1+K1661/30),1),"")</f>
        <v/>
      </c>
      <c r="W1661" s="22"/>
      <c r="X1661" s="21" t="str">
        <f aca="false">IF(AND(F1661="Bilbo",E1661&lt;&gt;"",G1661&lt;&gt;"",H1661&lt;&gt;""),E1661&amp;"|"&amp;G1661&amp;"|"&amp;H1661,"")</f>
        <v/>
      </c>
      <c r="Y1661" s="21" t="str">
        <f aca="false">IF(B1661="","",IF(B1661&lt;&gt;B1660,1,0))</f>
        <v/>
      </c>
    </row>
    <row r="1662" customFormat="false" ht="15" hidden="false" customHeight="true" outlineLevel="0" collapsed="false">
      <c r="A1662" s="21" t="str">
        <f aca="false">IF(B1662="","",ROW()-4)</f>
        <v/>
      </c>
      <c r="B1662" s="22"/>
      <c r="C1662" s="21" t="str">
        <f aca="false">IF(B1662="","",CHOOSE(WEEKDAY(B1662,2),"LUNES","MARTES","MIÉRCOLES","JUEVES","VIERNES","SÁBADO","DOMINGO"))</f>
        <v/>
      </c>
      <c r="M1662" s="23"/>
      <c r="Q1662" s="21" t="str">
        <f aca="false">IF(OR(K1662="",N1662=""),"",K1662-N1662)</f>
        <v/>
      </c>
      <c r="R1662" s="21" t="str">
        <f aca="false">IF(OR(J1662="",K1662=""),"",J1662*K1662)</f>
        <v/>
      </c>
      <c r="S1662" s="21" t="str">
        <f aca="false">IF(AND(ISNUMBER(J1662),ISNUMBER(K1662),F1662&lt;&gt;"Calentamiento",F1662&lt;&gt;"Bilbo"),IF(AND(K1662&gt;0,K1662&lt;=12),ROUND(J1662*(1+(K1662+IF(ISNUMBER(L1662),L1662,0))/30),1),""),"")</f>
        <v/>
      </c>
      <c r="T1662" s="21" t="str">
        <f aca="false">IF(AND(F1662="Bilbo",ISNUMBER(J1662),ISNUMBER(K1662)),ROUND(J1662*(1+K1662/30),1),"")</f>
        <v/>
      </c>
      <c r="W1662" s="22"/>
      <c r="X1662" s="21" t="str">
        <f aca="false">IF(AND(F1662="Bilbo",E1662&lt;&gt;"",G1662&lt;&gt;"",H1662&lt;&gt;""),E1662&amp;"|"&amp;G1662&amp;"|"&amp;H1662,"")</f>
        <v/>
      </c>
      <c r="Y1662" s="21" t="str">
        <f aca="false">IF(B1662="","",IF(B1662&lt;&gt;B1661,1,0))</f>
        <v/>
      </c>
    </row>
    <row r="1663" customFormat="false" ht="15" hidden="false" customHeight="true" outlineLevel="0" collapsed="false">
      <c r="A1663" s="21" t="str">
        <f aca="false">IF(B1663="","",ROW()-4)</f>
        <v/>
      </c>
      <c r="B1663" s="22"/>
      <c r="C1663" s="21" t="str">
        <f aca="false">IF(B1663="","",CHOOSE(WEEKDAY(B1663,2),"LUNES","MARTES","MIÉRCOLES","JUEVES","VIERNES","SÁBADO","DOMINGO"))</f>
        <v/>
      </c>
      <c r="M1663" s="23"/>
      <c r="Q1663" s="21" t="str">
        <f aca="false">IF(OR(K1663="",N1663=""),"",K1663-N1663)</f>
        <v/>
      </c>
      <c r="R1663" s="21" t="str">
        <f aca="false">IF(OR(J1663="",K1663=""),"",J1663*K1663)</f>
        <v/>
      </c>
      <c r="S1663" s="21" t="str">
        <f aca="false">IF(AND(ISNUMBER(J1663),ISNUMBER(K1663),F1663&lt;&gt;"Calentamiento",F1663&lt;&gt;"Bilbo"),IF(AND(K1663&gt;0,K1663&lt;=12),ROUND(J1663*(1+(K1663+IF(ISNUMBER(L1663),L1663,0))/30),1),""),"")</f>
        <v/>
      </c>
      <c r="T1663" s="21" t="str">
        <f aca="false">IF(AND(F1663="Bilbo",ISNUMBER(J1663),ISNUMBER(K1663)),ROUND(J1663*(1+K1663/30),1),"")</f>
        <v/>
      </c>
      <c r="W1663" s="22"/>
      <c r="X1663" s="21" t="str">
        <f aca="false">IF(AND(F1663="Bilbo",E1663&lt;&gt;"",G1663&lt;&gt;"",H1663&lt;&gt;""),E1663&amp;"|"&amp;G1663&amp;"|"&amp;H1663,"")</f>
        <v/>
      </c>
      <c r="Y1663" s="21" t="str">
        <f aca="false">IF(B1663="","",IF(B1663&lt;&gt;B1662,1,0))</f>
        <v/>
      </c>
    </row>
    <row r="1664" customFormat="false" ht="15" hidden="false" customHeight="true" outlineLevel="0" collapsed="false">
      <c r="A1664" s="21" t="str">
        <f aca="false">IF(B1664="","",ROW()-4)</f>
        <v/>
      </c>
      <c r="B1664" s="22"/>
      <c r="C1664" s="21" t="str">
        <f aca="false">IF(B1664="","",CHOOSE(WEEKDAY(B1664,2),"LUNES","MARTES","MIÉRCOLES","JUEVES","VIERNES","SÁBADO","DOMINGO"))</f>
        <v/>
      </c>
      <c r="M1664" s="23"/>
      <c r="Q1664" s="21" t="str">
        <f aca="false">IF(OR(K1664="",N1664=""),"",K1664-N1664)</f>
        <v/>
      </c>
      <c r="R1664" s="21" t="str">
        <f aca="false">IF(OR(J1664="",K1664=""),"",J1664*K1664)</f>
        <v/>
      </c>
      <c r="S1664" s="21" t="str">
        <f aca="false">IF(AND(ISNUMBER(J1664),ISNUMBER(K1664),F1664&lt;&gt;"Calentamiento",F1664&lt;&gt;"Bilbo"),IF(AND(K1664&gt;0,K1664&lt;=12),ROUND(J1664*(1+(K1664+IF(ISNUMBER(L1664),L1664,0))/30),1),""),"")</f>
        <v/>
      </c>
      <c r="T1664" s="21" t="str">
        <f aca="false">IF(AND(F1664="Bilbo",ISNUMBER(J1664),ISNUMBER(K1664)),ROUND(J1664*(1+K1664/30),1),"")</f>
        <v/>
      </c>
      <c r="W1664" s="22"/>
      <c r="X1664" s="21" t="str">
        <f aca="false">IF(AND(F1664="Bilbo",E1664&lt;&gt;"",G1664&lt;&gt;"",H1664&lt;&gt;""),E1664&amp;"|"&amp;G1664&amp;"|"&amp;H1664,"")</f>
        <v/>
      </c>
      <c r="Y1664" s="21" t="str">
        <f aca="false">IF(B1664="","",IF(B1664&lt;&gt;B1663,1,0))</f>
        <v/>
      </c>
    </row>
    <row r="1665" customFormat="false" ht="15" hidden="false" customHeight="true" outlineLevel="0" collapsed="false">
      <c r="A1665" s="21" t="str">
        <f aca="false">IF(B1665="","",ROW()-4)</f>
        <v/>
      </c>
      <c r="B1665" s="22"/>
      <c r="C1665" s="21" t="str">
        <f aca="false">IF(B1665="","",CHOOSE(WEEKDAY(B1665,2),"LUNES","MARTES","MIÉRCOLES","JUEVES","VIERNES","SÁBADO","DOMINGO"))</f>
        <v/>
      </c>
      <c r="M1665" s="23"/>
      <c r="Q1665" s="21" t="str">
        <f aca="false">IF(OR(K1665="",N1665=""),"",K1665-N1665)</f>
        <v/>
      </c>
      <c r="R1665" s="21" t="str">
        <f aca="false">IF(OR(J1665="",K1665=""),"",J1665*K1665)</f>
        <v/>
      </c>
      <c r="S1665" s="21" t="str">
        <f aca="false">IF(AND(ISNUMBER(J1665),ISNUMBER(K1665),F1665&lt;&gt;"Calentamiento",F1665&lt;&gt;"Bilbo"),IF(AND(K1665&gt;0,K1665&lt;=12),ROUND(J1665*(1+(K1665+IF(ISNUMBER(L1665),L1665,0))/30),1),""),"")</f>
        <v/>
      </c>
      <c r="T1665" s="21" t="str">
        <f aca="false">IF(AND(F1665="Bilbo",ISNUMBER(J1665),ISNUMBER(K1665)),ROUND(J1665*(1+K1665/30),1),"")</f>
        <v/>
      </c>
      <c r="W1665" s="22"/>
      <c r="X1665" s="21" t="str">
        <f aca="false">IF(AND(F1665="Bilbo",E1665&lt;&gt;"",G1665&lt;&gt;"",H1665&lt;&gt;""),E1665&amp;"|"&amp;G1665&amp;"|"&amp;H1665,"")</f>
        <v/>
      </c>
      <c r="Y1665" s="21" t="str">
        <f aca="false">IF(B1665="","",IF(B1665&lt;&gt;B1664,1,0))</f>
        <v/>
      </c>
    </row>
    <row r="1666" customFormat="false" ht="15" hidden="false" customHeight="true" outlineLevel="0" collapsed="false">
      <c r="A1666" s="21" t="str">
        <f aca="false">IF(B1666="","",ROW()-4)</f>
        <v/>
      </c>
      <c r="B1666" s="22"/>
      <c r="C1666" s="21" t="str">
        <f aca="false">IF(B1666="","",CHOOSE(WEEKDAY(B1666,2),"LUNES","MARTES","MIÉRCOLES","JUEVES","VIERNES","SÁBADO","DOMINGO"))</f>
        <v/>
      </c>
      <c r="M1666" s="23"/>
      <c r="Q1666" s="21" t="str">
        <f aca="false">IF(OR(K1666="",N1666=""),"",K1666-N1666)</f>
        <v/>
      </c>
      <c r="R1666" s="21" t="str">
        <f aca="false">IF(OR(J1666="",K1666=""),"",J1666*K1666)</f>
        <v/>
      </c>
      <c r="S1666" s="21" t="str">
        <f aca="false">IF(AND(ISNUMBER(J1666),ISNUMBER(K1666),F1666&lt;&gt;"Calentamiento",F1666&lt;&gt;"Bilbo"),IF(AND(K1666&gt;0,K1666&lt;=12),ROUND(J1666*(1+(K1666+IF(ISNUMBER(L1666),L1666,0))/30),1),""),"")</f>
        <v/>
      </c>
      <c r="T1666" s="21" t="str">
        <f aca="false">IF(AND(F1666="Bilbo",ISNUMBER(J1666),ISNUMBER(K1666)),ROUND(J1666*(1+K1666/30),1),"")</f>
        <v/>
      </c>
      <c r="W1666" s="22"/>
      <c r="X1666" s="21" t="str">
        <f aca="false">IF(AND(F1666="Bilbo",E1666&lt;&gt;"",G1666&lt;&gt;"",H1666&lt;&gt;""),E1666&amp;"|"&amp;G1666&amp;"|"&amp;H1666,"")</f>
        <v/>
      </c>
      <c r="Y1666" s="21" t="str">
        <f aca="false">IF(B1666="","",IF(B1666&lt;&gt;B1665,1,0))</f>
        <v/>
      </c>
    </row>
    <row r="1667" customFormat="false" ht="15" hidden="false" customHeight="true" outlineLevel="0" collapsed="false">
      <c r="A1667" s="21" t="str">
        <f aca="false">IF(B1667="","",ROW()-4)</f>
        <v/>
      </c>
      <c r="B1667" s="22"/>
      <c r="C1667" s="21" t="str">
        <f aca="false">IF(B1667="","",CHOOSE(WEEKDAY(B1667,2),"LUNES","MARTES","MIÉRCOLES","JUEVES","VIERNES","SÁBADO","DOMINGO"))</f>
        <v/>
      </c>
      <c r="M1667" s="23"/>
      <c r="Q1667" s="21" t="str">
        <f aca="false">IF(OR(K1667="",N1667=""),"",K1667-N1667)</f>
        <v/>
      </c>
      <c r="R1667" s="21" t="str">
        <f aca="false">IF(OR(J1667="",K1667=""),"",J1667*K1667)</f>
        <v/>
      </c>
      <c r="S1667" s="21" t="str">
        <f aca="false">IF(AND(ISNUMBER(J1667),ISNUMBER(K1667),F1667&lt;&gt;"Calentamiento",F1667&lt;&gt;"Bilbo"),IF(AND(K1667&gt;0,K1667&lt;=12),ROUND(J1667*(1+(K1667+IF(ISNUMBER(L1667),L1667,0))/30),1),""),"")</f>
        <v/>
      </c>
      <c r="T1667" s="21" t="str">
        <f aca="false">IF(AND(F1667="Bilbo",ISNUMBER(J1667),ISNUMBER(K1667)),ROUND(J1667*(1+K1667/30),1),"")</f>
        <v/>
      </c>
      <c r="W1667" s="22"/>
      <c r="X1667" s="21" t="str">
        <f aca="false">IF(AND(F1667="Bilbo",E1667&lt;&gt;"",G1667&lt;&gt;"",H1667&lt;&gt;""),E1667&amp;"|"&amp;G1667&amp;"|"&amp;H1667,"")</f>
        <v/>
      </c>
      <c r="Y1667" s="21" t="str">
        <f aca="false">IF(B1667="","",IF(B1667&lt;&gt;B1666,1,0))</f>
        <v/>
      </c>
    </row>
    <row r="1668" customFormat="false" ht="15" hidden="false" customHeight="true" outlineLevel="0" collapsed="false">
      <c r="A1668" s="21" t="str">
        <f aca="false">IF(B1668="","",ROW()-4)</f>
        <v/>
      </c>
      <c r="B1668" s="22"/>
      <c r="C1668" s="21" t="str">
        <f aca="false">IF(B1668="","",CHOOSE(WEEKDAY(B1668,2),"LUNES","MARTES","MIÉRCOLES","JUEVES","VIERNES","SÁBADO","DOMINGO"))</f>
        <v/>
      </c>
      <c r="M1668" s="23"/>
      <c r="Q1668" s="21" t="str">
        <f aca="false">IF(OR(K1668="",N1668=""),"",K1668-N1668)</f>
        <v/>
      </c>
      <c r="R1668" s="21" t="str">
        <f aca="false">IF(OR(J1668="",K1668=""),"",J1668*K1668)</f>
        <v/>
      </c>
      <c r="S1668" s="21" t="str">
        <f aca="false">IF(AND(ISNUMBER(J1668),ISNUMBER(K1668),F1668&lt;&gt;"Calentamiento",F1668&lt;&gt;"Bilbo"),IF(AND(K1668&gt;0,K1668&lt;=12),ROUND(J1668*(1+(K1668+IF(ISNUMBER(L1668),L1668,0))/30),1),""),"")</f>
        <v/>
      </c>
      <c r="T1668" s="21" t="str">
        <f aca="false">IF(AND(F1668="Bilbo",ISNUMBER(J1668),ISNUMBER(K1668)),ROUND(J1668*(1+K1668/30),1),"")</f>
        <v/>
      </c>
      <c r="W1668" s="22"/>
      <c r="X1668" s="21" t="str">
        <f aca="false">IF(AND(F1668="Bilbo",E1668&lt;&gt;"",G1668&lt;&gt;"",H1668&lt;&gt;""),E1668&amp;"|"&amp;G1668&amp;"|"&amp;H1668,"")</f>
        <v/>
      </c>
      <c r="Y1668" s="21" t="str">
        <f aca="false">IF(B1668="","",IF(B1668&lt;&gt;B1667,1,0))</f>
        <v/>
      </c>
    </row>
    <row r="1669" customFormat="false" ht="15" hidden="false" customHeight="true" outlineLevel="0" collapsed="false">
      <c r="A1669" s="21" t="str">
        <f aca="false">IF(B1669="","",ROW()-4)</f>
        <v/>
      </c>
      <c r="B1669" s="22"/>
      <c r="C1669" s="21" t="str">
        <f aca="false">IF(B1669="","",CHOOSE(WEEKDAY(B1669,2),"LUNES","MARTES","MIÉRCOLES","JUEVES","VIERNES","SÁBADO","DOMINGO"))</f>
        <v/>
      </c>
      <c r="M1669" s="23"/>
      <c r="Q1669" s="21" t="str">
        <f aca="false">IF(OR(K1669="",N1669=""),"",K1669-N1669)</f>
        <v/>
      </c>
      <c r="R1669" s="21" t="str">
        <f aca="false">IF(OR(J1669="",K1669=""),"",J1669*K1669)</f>
        <v/>
      </c>
      <c r="S1669" s="21" t="str">
        <f aca="false">IF(AND(ISNUMBER(J1669),ISNUMBER(K1669),F1669&lt;&gt;"Calentamiento",F1669&lt;&gt;"Bilbo"),IF(AND(K1669&gt;0,K1669&lt;=12),ROUND(J1669*(1+(K1669+IF(ISNUMBER(L1669),L1669,0))/30),1),""),"")</f>
        <v/>
      </c>
      <c r="T1669" s="21" t="str">
        <f aca="false">IF(AND(F1669="Bilbo",ISNUMBER(J1669),ISNUMBER(K1669)),ROUND(J1669*(1+K1669/30),1),"")</f>
        <v/>
      </c>
      <c r="W1669" s="22"/>
      <c r="X1669" s="21" t="str">
        <f aca="false">IF(AND(F1669="Bilbo",E1669&lt;&gt;"",G1669&lt;&gt;"",H1669&lt;&gt;""),E1669&amp;"|"&amp;G1669&amp;"|"&amp;H1669,"")</f>
        <v/>
      </c>
      <c r="Y1669" s="21" t="str">
        <f aca="false">IF(B1669="","",IF(B1669&lt;&gt;B1668,1,0))</f>
        <v/>
      </c>
    </row>
    <row r="1670" customFormat="false" ht="15" hidden="false" customHeight="true" outlineLevel="0" collapsed="false">
      <c r="A1670" s="21" t="str">
        <f aca="false">IF(B1670="","",ROW()-4)</f>
        <v/>
      </c>
      <c r="B1670" s="22"/>
      <c r="C1670" s="21" t="str">
        <f aca="false">IF(B1670="","",CHOOSE(WEEKDAY(B1670,2),"LUNES","MARTES","MIÉRCOLES","JUEVES","VIERNES","SÁBADO","DOMINGO"))</f>
        <v/>
      </c>
      <c r="M1670" s="23"/>
      <c r="Q1670" s="21" t="str">
        <f aca="false">IF(OR(K1670="",N1670=""),"",K1670-N1670)</f>
        <v/>
      </c>
      <c r="R1670" s="21" t="str">
        <f aca="false">IF(OR(J1670="",K1670=""),"",J1670*K1670)</f>
        <v/>
      </c>
      <c r="S1670" s="21" t="str">
        <f aca="false">IF(AND(ISNUMBER(J1670),ISNUMBER(K1670),F1670&lt;&gt;"Calentamiento",F1670&lt;&gt;"Bilbo"),IF(AND(K1670&gt;0,K1670&lt;=12),ROUND(J1670*(1+(K1670+IF(ISNUMBER(L1670),L1670,0))/30),1),""),"")</f>
        <v/>
      </c>
      <c r="T1670" s="21" t="str">
        <f aca="false">IF(AND(F1670="Bilbo",ISNUMBER(J1670),ISNUMBER(K1670)),ROUND(J1670*(1+K1670/30),1),"")</f>
        <v/>
      </c>
      <c r="W1670" s="22"/>
      <c r="X1670" s="21" t="str">
        <f aca="false">IF(AND(F1670="Bilbo",E1670&lt;&gt;"",G1670&lt;&gt;"",H1670&lt;&gt;""),E1670&amp;"|"&amp;G1670&amp;"|"&amp;H1670,"")</f>
        <v/>
      </c>
      <c r="Y1670" s="21" t="str">
        <f aca="false">IF(B1670="","",IF(B1670&lt;&gt;B1669,1,0))</f>
        <v/>
      </c>
    </row>
    <row r="1671" customFormat="false" ht="15" hidden="false" customHeight="true" outlineLevel="0" collapsed="false">
      <c r="A1671" s="21" t="str">
        <f aca="false">IF(B1671="","",ROW()-4)</f>
        <v/>
      </c>
      <c r="B1671" s="22"/>
      <c r="C1671" s="21" t="str">
        <f aca="false">IF(B1671="","",CHOOSE(WEEKDAY(B1671,2),"LUNES","MARTES","MIÉRCOLES","JUEVES","VIERNES","SÁBADO","DOMINGO"))</f>
        <v/>
      </c>
      <c r="M1671" s="23"/>
      <c r="Q1671" s="21" t="str">
        <f aca="false">IF(OR(K1671="",N1671=""),"",K1671-N1671)</f>
        <v/>
      </c>
      <c r="R1671" s="21" t="str">
        <f aca="false">IF(OR(J1671="",K1671=""),"",J1671*K1671)</f>
        <v/>
      </c>
      <c r="S1671" s="21" t="str">
        <f aca="false">IF(AND(ISNUMBER(J1671),ISNUMBER(K1671),F1671&lt;&gt;"Calentamiento",F1671&lt;&gt;"Bilbo"),IF(AND(K1671&gt;0,K1671&lt;=12),ROUND(J1671*(1+(K1671+IF(ISNUMBER(L1671),L1671,0))/30),1),""),"")</f>
        <v/>
      </c>
      <c r="T1671" s="21" t="str">
        <f aca="false">IF(AND(F1671="Bilbo",ISNUMBER(J1671),ISNUMBER(K1671)),ROUND(J1671*(1+K1671/30),1),"")</f>
        <v/>
      </c>
      <c r="W1671" s="22"/>
      <c r="X1671" s="21" t="str">
        <f aca="false">IF(AND(F1671="Bilbo",E1671&lt;&gt;"",G1671&lt;&gt;"",H1671&lt;&gt;""),E1671&amp;"|"&amp;G1671&amp;"|"&amp;H1671,"")</f>
        <v/>
      </c>
      <c r="Y1671" s="21" t="str">
        <f aca="false">IF(B1671="","",IF(B1671&lt;&gt;B1670,1,0))</f>
        <v/>
      </c>
    </row>
    <row r="1672" customFormat="false" ht="15" hidden="false" customHeight="true" outlineLevel="0" collapsed="false">
      <c r="A1672" s="21" t="str">
        <f aca="false">IF(B1672="","",ROW()-4)</f>
        <v/>
      </c>
      <c r="B1672" s="22"/>
      <c r="C1672" s="21" t="str">
        <f aca="false">IF(B1672="","",CHOOSE(WEEKDAY(B1672,2),"LUNES","MARTES","MIÉRCOLES","JUEVES","VIERNES","SÁBADO","DOMINGO"))</f>
        <v/>
      </c>
      <c r="M1672" s="23"/>
      <c r="Q1672" s="21" t="str">
        <f aca="false">IF(OR(K1672="",N1672=""),"",K1672-N1672)</f>
        <v/>
      </c>
      <c r="R1672" s="21" t="str">
        <f aca="false">IF(OR(J1672="",K1672=""),"",J1672*K1672)</f>
        <v/>
      </c>
      <c r="S1672" s="21" t="str">
        <f aca="false">IF(AND(ISNUMBER(J1672),ISNUMBER(K1672),F1672&lt;&gt;"Calentamiento",F1672&lt;&gt;"Bilbo"),IF(AND(K1672&gt;0,K1672&lt;=12),ROUND(J1672*(1+(K1672+IF(ISNUMBER(L1672),L1672,0))/30),1),""),"")</f>
        <v/>
      </c>
      <c r="T1672" s="21" t="str">
        <f aca="false">IF(AND(F1672="Bilbo",ISNUMBER(J1672),ISNUMBER(K1672)),ROUND(J1672*(1+K1672/30),1),"")</f>
        <v/>
      </c>
      <c r="W1672" s="22"/>
      <c r="X1672" s="21" t="str">
        <f aca="false">IF(AND(F1672="Bilbo",E1672&lt;&gt;"",G1672&lt;&gt;"",H1672&lt;&gt;""),E1672&amp;"|"&amp;G1672&amp;"|"&amp;H1672,"")</f>
        <v/>
      </c>
      <c r="Y1672" s="21" t="str">
        <f aca="false">IF(B1672="","",IF(B1672&lt;&gt;B1671,1,0))</f>
        <v/>
      </c>
    </row>
    <row r="1673" customFormat="false" ht="15" hidden="false" customHeight="true" outlineLevel="0" collapsed="false">
      <c r="A1673" s="21" t="str">
        <f aca="false">IF(B1673="","",ROW()-4)</f>
        <v/>
      </c>
      <c r="B1673" s="22"/>
      <c r="C1673" s="21" t="str">
        <f aca="false">IF(B1673="","",CHOOSE(WEEKDAY(B1673,2),"LUNES","MARTES","MIÉRCOLES","JUEVES","VIERNES","SÁBADO","DOMINGO"))</f>
        <v/>
      </c>
      <c r="M1673" s="23"/>
      <c r="Q1673" s="21" t="str">
        <f aca="false">IF(OR(K1673="",N1673=""),"",K1673-N1673)</f>
        <v/>
      </c>
      <c r="R1673" s="21" t="str">
        <f aca="false">IF(OR(J1673="",K1673=""),"",J1673*K1673)</f>
        <v/>
      </c>
      <c r="S1673" s="21" t="str">
        <f aca="false">IF(AND(ISNUMBER(J1673),ISNUMBER(K1673),F1673&lt;&gt;"Calentamiento",F1673&lt;&gt;"Bilbo"),IF(AND(K1673&gt;0,K1673&lt;=12),ROUND(J1673*(1+(K1673+IF(ISNUMBER(L1673),L1673,0))/30),1),""),"")</f>
        <v/>
      </c>
      <c r="T1673" s="21" t="str">
        <f aca="false">IF(AND(F1673="Bilbo",ISNUMBER(J1673),ISNUMBER(K1673)),ROUND(J1673*(1+K1673/30),1),"")</f>
        <v/>
      </c>
      <c r="W1673" s="22"/>
      <c r="X1673" s="21" t="str">
        <f aca="false">IF(AND(F1673="Bilbo",E1673&lt;&gt;"",G1673&lt;&gt;"",H1673&lt;&gt;""),E1673&amp;"|"&amp;G1673&amp;"|"&amp;H1673,"")</f>
        <v/>
      </c>
      <c r="Y1673" s="21" t="str">
        <f aca="false">IF(B1673="","",IF(B1673&lt;&gt;B1672,1,0))</f>
        <v/>
      </c>
    </row>
    <row r="1674" customFormat="false" ht="15" hidden="false" customHeight="true" outlineLevel="0" collapsed="false">
      <c r="A1674" s="21" t="str">
        <f aca="false">IF(B1674="","",ROW()-4)</f>
        <v/>
      </c>
      <c r="B1674" s="22"/>
      <c r="C1674" s="21" t="str">
        <f aca="false">IF(B1674="","",CHOOSE(WEEKDAY(B1674,2),"LUNES","MARTES","MIÉRCOLES","JUEVES","VIERNES","SÁBADO","DOMINGO"))</f>
        <v/>
      </c>
      <c r="M1674" s="23"/>
      <c r="Q1674" s="21" t="str">
        <f aca="false">IF(OR(K1674="",N1674=""),"",K1674-N1674)</f>
        <v/>
      </c>
      <c r="R1674" s="21" t="str">
        <f aca="false">IF(OR(J1674="",K1674=""),"",J1674*K1674)</f>
        <v/>
      </c>
      <c r="S1674" s="21" t="str">
        <f aca="false">IF(AND(ISNUMBER(J1674),ISNUMBER(K1674),F1674&lt;&gt;"Calentamiento",F1674&lt;&gt;"Bilbo"),IF(AND(K1674&gt;0,K1674&lt;=12),ROUND(J1674*(1+(K1674+IF(ISNUMBER(L1674),L1674,0))/30),1),""),"")</f>
        <v/>
      </c>
      <c r="T1674" s="21" t="str">
        <f aca="false">IF(AND(F1674="Bilbo",ISNUMBER(J1674),ISNUMBER(K1674)),ROUND(J1674*(1+K1674/30),1),"")</f>
        <v/>
      </c>
      <c r="W1674" s="22"/>
      <c r="X1674" s="21" t="str">
        <f aca="false">IF(AND(F1674="Bilbo",E1674&lt;&gt;"",G1674&lt;&gt;"",H1674&lt;&gt;""),E1674&amp;"|"&amp;G1674&amp;"|"&amp;H1674,"")</f>
        <v/>
      </c>
      <c r="Y1674" s="21" t="str">
        <f aca="false">IF(B1674="","",IF(B1674&lt;&gt;B1673,1,0))</f>
        <v/>
      </c>
    </row>
    <row r="1675" customFormat="false" ht="15" hidden="false" customHeight="true" outlineLevel="0" collapsed="false">
      <c r="A1675" s="21" t="str">
        <f aca="false">IF(B1675="","",ROW()-4)</f>
        <v/>
      </c>
      <c r="B1675" s="22"/>
      <c r="C1675" s="21" t="str">
        <f aca="false">IF(B1675="","",CHOOSE(WEEKDAY(B1675,2),"LUNES","MARTES","MIÉRCOLES","JUEVES","VIERNES","SÁBADO","DOMINGO"))</f>
        <v/>
      </c>
      <c r="M1675" s="23"/>
      <c r="Q1675" s="21" t="str">
        <f aca="false">IF(OR(K1675="",N1675=""),"",K1675-N1675)</f>
        <v/>
      </c>
      <c r="R1675" s="21" t="str">
        <f aca="false">IF(OR(J1675="",K1675=""),"",J1675*K1675)</f>
        <v/>
      </c>
      <c r="S1675" s="21" t="str">
        <f aca="false">IF(AND(ISNUMBER(J1675),ISNUMBER(K1675),F1675&lt;&gt;"Calentamiento",F1675&lt;&gt;"Bilbo"),IF(AND(K1675&gt;0,K1675&lt;=12),ROUND(J1675*(1+(K1675+IF(ISNUMBER(L1675),L1675,0))/30),1),""),"")</f>
        <v/>
      </c>
      <c r="T1675" s="21" t="str">
        <f aca="false">IF(AND(F1675="Bilbo",ISNUMBER(J1675),ISNUMBER(K1675)),ROUND(J1675*(1+K1675/30),1),"")</f>
        <v/>
      </c>
      <c r="W1675" s="22"/>
      <c r="X1675" s="21" t="str">
        <f aca="false">IF(AND(F1675="Bilbo",E1675&lt;&gt;"",G1675&lt;&gt;"",H1675&lt;&gt;""),E1675&amp;"|"&amp;G1675&amp;"|"&amp;H1675,"")</f>
        <v/>
      </c>
      <c r="Y1675" s="21" t="str">
        <f aca="false">IF(B1675="","",IF(B1675&lt;&gt;B1674,1,0))</f>
        <v/>
      </c>
    </row>
    <row r="1676" customFormat="false" ht="15" hidden="false" customHeight="true" outlineLevel="0" collapsed="false">
      <c r="A1676" s="21" t="str">
        <f aca="false">IF(B1676="","",ROW()-4)</f>
        <v/>
      </c>
      <c r="B1676" s="22"/>
      <c r="C1676" s="21" t="str">
        <f aca="false">IF(B1676="","",CHOOSE(WEEKDAY(B1676,2),"LUNES","MARTES","MIÉRCOLES","JUEVES","VIERNES","SÁBADO","DOMINGO"))</f>
        <v/>
      </c>
      <c r="M1676" s="23"/>
      <c r="Q1676" s="21" t="str">
        <f aca="false">IF(OR(K1676="",N1676=""),"",K1676-N1676)</f>
        <v/>
      </c>
      <c r="R1676" s="21" t="str">
        <f aca="false">IF(OR(J1676="",K1676=""),"",J1676*K1676)</f>
        <v/>
      </c>
      <c r="S1676" s="21" t="str">
        <f aca="false">IF(AND(ISNUMBER(J1676),ISNUMBER(K1676),F1676&lt;&gt;"Calentamiento",F1676&lt;&gt;"Bilbo"),IF(AND(K1676&gt;0,K1676&lt;=12),ROUND(J1676*(1+(K1676+IF(ISNUMBER(L1676),L1676,0))/30),1),""),"")</f>
        <v/>
      </c>
      <c r="T1676" s="21" t="str">
        <f aca="false">IF(AND(F1676="Bilbo",ISNUMBER(J1676),ISNUMBER(K1676)),ROUND(J1676*(1+K1676/30),1),"")</f>
        <v/>
      </c>
      <c r="W1676" s="22"/>
      <c r="X1676" s="21" t="str">
        <f aca="false">IF(AND(F1676="Bilbo",E1676&lt;&gt;"",G1676&lt;&gt;"",H1676&lt;&gt;""),E1676&amp;"|"&amp;G1676&amp;"|"&amp;H1676,"")</f>
        <v/>
      </c>
      <c r="Y1676" s="21" t="str">
        <f aca="false">IF(B1676="","",IF(B1676&lt;&gt;B1675,1,0))</f>
        <v/>
      </c>
    </row>
    <row r="1677" customFormat="false" ht="15" hidden="false" customHeight="true" outlineLevel="0" collapsed="false">
      <c r="A1677" s="21" t="str">
        <f aca="false">IF(B1677="","",ROW()-4)</f>
        <v/>
      </c>
      <c r="B1677" s="22"/>
      <c r="C1677" s="21" t="str">
        <f aca="false">IF(B1677="","",CHOOSE(WEEKDAY(B1677,2),"LUNES","MARTES","MIÉRCOLES","JUEVES","VIERNES","SÁBADO","DOMINGO"))</f>
        <v/>
      </c>
      <c r="M1677" s="23"/>
      <c r="Q1677" s="21" t="str">
        <f aca="false">IF(OR(K1677="",N1677=""),"",K1677-N1677)</f>
        <v/>
      </c>
      <c r="R1677" s="21" t="str">
        <f aca="false">IF(OR(J1677="",K1677=""),"",J1677*K1677)</f>
        <v/>
      </c>
      <c r="S1677" s="21" t="str">
        <f aca="false">IF(AND(ISNUMBER(J1677),ISNUMBER(K1677),F1677&lt;&gt;"Calentamiento",F1677&lt;&gt;"Bilbo"),IF(AND(K1677&gt;0,K1677&lt;=12),ROUND(J1677*(1+(K1677+IF(ISNUMBER(L1677),L1677,0))/30),1),""),"")</f>
        <v/>
      </c>
      <c r="T1677" s="21" t="str">
        <f aca="false">IF(AND(F1677="Bilbo",ISNUMBER(J1677),ISNUMBER(K1677)),ROUND(J1677*(1+K1677/30),1),"")</f>
        <v/>
      </c>
      <c r="W1677" s="22"/>
      <c r="X1677" s="21" t="str">
        <f aca="false">IF(AND(F1677="Bilbo",E1677&lt;&gt;"",G1677&lt;&gt;"",H1677&lt;&gt;""),E1677&amp;"|"&amp;G1677&amp;"|"&amp;H1677,"")</f>
        <v/>
      </c>
      <c r="Y1677" s="21" t="str">
        <f aca="false">IF(B1677="","",IF(B1677&lt;&gt;B1676,1,0))</f>
        <v/>
      </c>
    </row>
    <row r="1678" customFormat="false" ht="15" hidden="false" customHeight="true" outlineLevel="0" collapsed="false">
      <c r="A1678" s="21" t="str">
        <f aca="false">IF(B1678="","",ROW()-4)</f>
        <v/>
      </c>
      <c r="B1678" s="22"/>
      <c r="C1678" s="21" t="str">
        <f aca="false">IF(B1678="","",CHOOSE(WEEKDAY(B1678,2),"LUNES","MARTES","MIÉRCOLES","JUEVES","VIERNES","SÁBADO","DOMINGO"))</f>
        <v/>
      </c>
      <c r="M1678" s="23"/>
      <c r="Q1678" s="21" t="str">
        <f aca="false">IF(OR(K1678="",N1678=""),"",K1678-N1678)</f>
        <v/>
      </c>
      <c r="R1678" s="21" t="str">
        <f aca="false">IF(OR(J1678="",K1678=""),"",J1678*K1678)</f>
        <v/>
      </c>
      <c r="S1678" s="21" t="str">
        <f aca="false">IF(AND(ISNUMBER(J1678),ISNUMBER(K1678),F1678&lt;&gt;"Calentamiento",F1678&lt;&gt;"Bilbo"),IF(AND(K1678&gt;0,K1678&lt;=12),ROUND(J1678*(1+(K1678+IF(ISNUMBER(L1678),L1678,0))/30),1),""),"")</f>
        <v/>
      </c>
      <c r="T1678" s="21" t="str">
        <f aca="false">IF(AND(F1678="Bilbo",ISNUMBER(J1678),ISNUMBER(K1678)),ROUND(J1678*(1+K1678/30),1),"")</f>
        <v/>
      </c>
      <c r="W1678" s="22"/>
      <c r="X1678" s="21" t="str">
        <f aca="false">IF(AND(F1678="Bilbo",E1678&lt;&gt;"",G1678&lt;&gt;"",H1678&lt;&gt;""),E1678&amp;"|"&amp;G1678&amp;"|"&amp;H1678,"")</f>
        <v/>
      </c>
      <c r="Y1678" s="21" t="str">
        <f aca="false">IF(B1678="","",IF(B1678&lt;&gt;B1677,1,0))</f>
        <v/>
      </c>
    </row>
    <row r="1679" customFormat="false" ht="15" hidden="false" customHeight="true" outlineLevel="0" collapsed="false">
      <c r="A1679" s="21" t="str">
        <f aca="false">IF(B1679="","",ROW()-4)</f>
        <v/>
      </c>
      <c r="B1679" s="22"/>
      <c r="C1679" s="21" t="str">
        <f aca="false">IF(B1679="","",CHOOSE(WEEKDAY(B1679,2),"LUNES","MARTES","MIÉRCOLES","JUEVES","VIERNES","SÁBADO","DOMINGO"))</f>
        <v/>
      </c>
      <c r="M1679" s="23"/>
      <c r="Q1679" s="21" t="str">
        <f aca="false">IF(OR(K1679="",N1679=""),"",K1679-N1679)</f>
        <v/>
      </c>
      <c r="R1679" s="21" t="str">
        <f aca="false">IF(OR(J1679="",K1679=""),"",J1679*K1679)</f>
        <v/>
      </c>
      <c r="S1679" s="21" t="str">
        <f aca="false">IF(AND(ISNUMBER(J1679),ISNUMBER(K1679),F1679&lt;&gt;"Calentamiento",F1679&lt;&gt;"Bilbo"),IF(AND(K1679&gt;0,K1679&lt;=12),ROUND(J1679*(1+(K1679+IF(ISNUMBER(L1679),L1679,0))/30),1),""),"")</f>
        <v/>
      </c>
      <c r="T1679" s="21" t="str">
        <f aca="false">IF(AND(F1679="Bilbo",ISNUMBER(J1679),ISNUMBER(K1679)),ROUND(J1679*(1+K1679/30),1),"")</f>
        <v/>
      </c>
      <c r="W1679" s="22"/>
      <c r="X1679" s="21" t="str">
        <f aca="false">IF(AND(F1679="Bilbo",E1679&lt;&gt;"",G1679&lt;&gt;"",H1679&lt;&gt;""),E1679&amp;"|"&amp;G1679&amp;"|"&amp;H1679,"")</f>
        <v/>
      </c>
      <c r="Y1679" s="21" t="str">
        <f aca="false">IF(B1679="","",IF(B1679&lt;&gt;B1678,1,0))</f>
        <v/>
      </c>
    </row>
    <row r="1680" customFormat="false" ht="15" hidden="false" customHeight="true" outlineLevel="0" collapsed="false">
      <c r="A1680" s="21" t="str">
        <f aca="false">IF(B1680="","",ROW()-4)</f>
        <v/>
      </c>
      <c r="B1680" s="22"/>
      <c r="C1680" s="21" t="str">
        <f aca="false">IF(B1680="","",CHOOSE(WEEKDAY(B1680,2),"LUNES","MARTES","MIÉRCOLES","JUEVES","VIERNES","SÁBADO","DOMINGO"))</f>
        <v/>
      </c>
      <c r="M1680" s="23"/>
      <c r="Q1680" s="21" t="str">
        <f aca="false">IF(OR(K1680="",N1680=""),"",K1680-N1680)</f>
        <v/>
      </c>
      <c r="R1680" s="21" t="str">
        <f aca="false">IF(OR(J1680="",K1680=""),"",J1680*K1680)</f>
        <v/>
      </c>
      <c r="S1680" s="21" t="str">
        <f aca="false">IF(AND(ISNUMBER(J1680),ISNUMBER(K1680),F1680&lt;&gt;"Calentamiento",F1680&lt;&gt;"Bilbo"),IF(AND(K1680&gt;0,K1680&lt;=12),ROUND(J1680*(1+(K1680+IF(ISNUMBER(L1680),L1680,0))/30),1),""),"")</f>
        <v/>
      </c>
      <c r="T1680" s="21" t="str">
        <f aca="false">IF(AND(F1680="Bilbo",ISNUMBER(J1680),ISNUMBER(K1680)),ROUND(J1680*(1+K1680/30),1),"")</f>
        <v/>
      </c>
      <c r="W1680" s="22"/>
      <c r="X1680" s="21" t="str">
        <f aca="false">IF(AND(F1680="Bilbo",E1680&lt;&gt;"",G1680&lt;&gt;"",H1680&lt;&gt;""),E1680&amp;"|"&amp;G1680&amp;"|"&amp;H1680,"")</f>
        <v/>
      </c>
      <c r="Y1680" s="21" t="str">
        <f aca="false">IF(B1680="","",IF(B1680&lt;&gt;B1679,1,0))</f>
        <v/>
      </c>
    </row>
    <row r="1681" customFormat="false" ht="15" hidden="false" customHeight="true" outlineLevel="0" collapsed="false">
      <c r="A1681" s="21" t="str">
        <f aca="false">IF(B1681="","",ROW()-4)</f>
        <v/>
      </c>
      <c r="B1681" s="22"/>
      <c r="C1681" s="21" t="str">
        <f aca="false">IF(B1681="","",CHOOSE(WEEKDAY(B1681,2),"LUNES","MARTES","MIÉRCOLES","JUEVES","VIERNES","SÁBADO","DOMINGO"))</f>
        <v/>
      </c>
      <c r="M1681" s="23"/>
      <c r="Q1681" s="21" t="str">
        <f aca="false">IF(OR(K1681="",N1681=""),"",K1681-N1681)</f>
        <v/>
      </c>
      <c r="R1681" s="21" t="str">
        <f aca="false">IF(OR(J1681="",K1681=""),"",J1681*K1681)</f>
        <v/>
      </c>
      <c r="S1681" s="21" t="str">
        <f aca="false">IF(AND(ISNUMBER(J1681),ISNUMBER(K1681),F1681&lt;&gt;"Calentamiento",F1681&lt;&gt;"Bilbo"),IF(AND(K1681&gt;0,K1681&lt;=12),ROUND(J1681*(1+(K1681+IF(ISNUMBER(L1681),L1681,0))/30),1),""),"")</f>
        <v/>
      </c>
      <c r="T1681" s="21" t="str">
        <f aca="false">IF(AND(F1681="Bilbo",ISNUMBER(J1681),ISNUMBER(K1681)),ROUND(J1681*(1+K1681/30),1),"")</f>
        <v/>
      </c>
      <c r="W1681" s="22"/>
      <c r="X1681" s="21" t="str">
        <f aca="false">IF(AND(F1681="Bilbo",E1681&lt;&gt;"",G1681&lt;&gt;"",H1681&lt;&gt;""),E1681&amp;"|"&amp;G1681&amp;"|"&amp;H1681,"")</f>
        <v/>
      </c>
      <c r="Y1681" s="21" t="str">
        <f aca="false">IF(B1681="","",IF(B1681&lt;&gt;B1680,1,0))</f>
        <v/>
      </c>
    </row>
    <row r="1682" customFormat="false" ht="15" hidden="false" customHeight="true" outlineLevel="0" collapsed="false">
      <c r="A1682" s="21" t="str">
        <f aca="false">IF(B1682="","",ROW()-4)</f>
        <v/>
      </c>
      <c r="B1682" s="22"/>
      <c r="C1682" s="21" t="str">
        <f aca="false">IF(B1682="","",CHOOSE(WEEKDAY(B1682,2),"LUNES","MARTES","MIÉRCOLES","JUEVES","VIERNES","SÁBADO","DOMINGO"))</f>
        <v/>
      </c>
      <c r="M1682" s="23"/>
      <c r="Q1682" s="21" t="str">
        <f aca="false">IF(OR(K1682="",N1682=""),"",K1682-N1682)</f>
        <v/>
      </c>
      <c r="R1682" s="21" t="str">
        <f aca="false">IF(OR(J1682="",K1682=""),"",J1682*K1682)</f>
        <v/>
      </c>
      <c r="S1682" s="21" t="str">
        <f aca="false">IF(AND(ISNUMBER(J1682),ISNUMBER(K1682),F1682&lt;&gt;"Calentamiento",F1682&lt;&gt;"Bilbo"),IF(AND(K1682&gt;0,K1682&lt;=12),ROUND(J1682*(1+(K1682+IF(ISNUMBER(L1682),L1682,0))/30),1),""),"")</f>
        <v/>
      </c>
      <c r="T1682" s="21" t="str">
        <f aca="false">IF(AND(F1682="Bilbo",ISNUMBER(J1682),ISNUMBER(K1682)),ROUND(J1682*(1+K1682/30),1),"")</f>
        <v/>
      </c>
      <c r="W1682" s="22"/>
      <c r="X1682" s="21" t="str">
        <f aca="false">IF(AND(F1682="Bilbo",E1682&lt;&gt;"",G1682&lt;&gt;"",H1682&lt;&gt;""),E1682&amp;"|"&amp;G1682&amp;"|"&amp;H1682,"")</f>
        <v/>
      </c>
      <c r="Y1682" s="21" t="str">
        <f aca="false">IF(B1682="","",IF(B1682&lt;&gt;B1681,1,0))</f>
        <v/>
      </c>
    </row>
    <row r="1683" customFormat="false" ht="15" hidden="false" customHeight="true" outlineLevel="0" collapsed="false">
      <c r="A1683" s="21" t="str">
        <f aca="false">IF(B1683="","",ROW()-4)</f>
        <v/>
      </c>
      <c r="B1683" s="22"/>
      <c r="C1683" s="21" t="str">
        <f aca="false">IF(B1683="","",CHOOSE(WEEKDAY(B1683,2),"LUNES","MARTES","MIÉRCOLES","JUEVES","VIERNES","SÁBADO","DOMINGO"))</f>
        <v/>
      </c>
      <c r="M1683" s="23"/>
      <c r="Q1683" s="21" t="str">
        <f aca="false">IF(OR(K1683="",N1683=""),"",K1683-N1683)</f>
        <v/>
      </c>
      <c r="R1683" s="21" t="str">
        <f aca="false">IF(OR(J1683="",K1683=""),"",J1683*K1683)</f>
        <v/>
      </c>
      <c r="S1683" s="21" t="str">
        <f aca="false">IF(AND(ISNUMBER(J1683),ISNUMBER(K1683),F1683&lt;&gt;"Calentamiento",F1683&lt;&gt;"Bilbo"),IF(AND(K1683&gt;0,K1683&lt;=12),ROUND(J1683*(1+(K1683+IF(ISNUMBER(L1683),L1683,0))/30),1),""),"")</f>
        <v/>
      </c>
      <c r="T1683" s="21" t="str">
        <f aca="false">IF(AND(F1683="Bilbo",ISNUMBER(J1683),ISNUMBER(K1683)),ROUND(J1683*(1+K1683/30),1),"")</f>
        <v/>
      </c>
      <c r="W1683" s="22"/>
      <c r="X1683" s="21" t="str">
        <f aca="false">IF(AND(F1683="Bilbo",E1683&lt;&gt;"",G1683&lt;&gt;"",H1683&lt;&gt;""),E1683&amp;"|"&amp;G1683&amp;"|"&amp;H1683,"")</f>
        <v/>
      </c>
      <c r="Y1683" s="21" t="str">
        <f aca="false">IF(B1683="","",IF(B1683&lt;&gt;B1682,1,0))</f>
        <v/>
      </c>
    </row>
    <row r="1684" customFormat="false" ht="15" hidden="false" customHeight="true" outlineLevel="0" collapsed="false">
      <c r="A1684" s="21" t="str">
        <f aca="false">IF(B1684="","",ROW()-4)</f>
        <v/>
      </c>
      <c r="B1684" s="22"/>
      <c r="C1684" s="21" t="str">
        <f aca="false">IF(B1684="","",CHOOSE(WEEKDAY(B1684,2),"LUNES","MARTES","MIÉRCOLES","JUEVES","VIERNES","SÁBADO","DOMINGO"))</f>
        <v/>
      </c>
      <c r="M1684" s="23"/>
      <c r="Q1684" s="21" t="str">
        <f aca="false">IF(OR(K1684="",N1684=""),"",K1684-N1684)</f>
        <v/>
      </c>
      <c r="R1684" s="21" t="str">
        <f aca="false">IF(OR(J1684="",K1684=""),"",J1684*K1684)</f>
        <v/>
      </c>
      <c r="S1684" s="21" t="str">
        <f aca="false">IF(AND(ISNUMBER(J1684),ISNUMBER(K1684),F1684&lt;&gt;"Calentamiento",F1684&lt;&gt;"Bilbo"),IF(AND(K1684&gt;0,K1684&lt;=12),ROUND(J1684*(1+(K1684+IF(ISNUMBER(L1684),L1684,0))/30),1),""),"")</f>
        <v/>
      </c>
      <c r="T1684" s="21" t="str">
        <f aca="false">IF(AND(F1684="Bilbo",ISNUMBER(J1684),ISNUMBER(K1684)),ROUND(J1684*(1+K1684/30),1),"")</f>
        <v/>
      </c>
      <c r="W1684" s="22"/>
      <c r="X1684" s="21" t="str">
        <f aca="false">IF(AND(F1684="Bilbo",E1684&lt;&gt;"",G1684&lt;&gt;"",H1684&lt;&gt;""),E1684&amp;"|"&amp;G1684&amp;"|"&amp;H1684,"")</f>
        <v/>
      </c>
      <c r="Y1684" s="21" t="str">
        <f aca="false">IF(B1684="","",IF(B1684&lt;&gt;B1683,1,0))</f>
        <v/>
      </c>
    </row>
    <row r="1685" customFormat="false" ht="15" hidden="false" customHeight="true" outlineLevel="0" collapsed="false">
      <c r="A1685" s="21" t="str">
        <f aca="false">IF(B1685="","",ROW()-4)</f>
        <v/>
      </c>
      <c r="B1685" s="22"/>
      <c r="C1685" s="21" t="str">
        <f aca="false">IF(B1685="","",CHOOSE(WEEKDAY(B1685,2),"LUNES","MARTES","MIÉRCOLES","JUEVES","VIERNES","SÁBADO","DOMINGO"))</f>
        <v/>
      </c>
      <c r="M1685" s="23"/>
      <c r="Q1685" s="21" t="str">
        <f aca="false">IF(OR(K1685="",N1685=""),"",K1685-N1685)</f>
        <v/>
      </c>
      <c r="R1685" s="21" t="str">
        <f aca="false">IF(OR(J1685="",K1685=""),"",J1685*K1685)</f>
        <v/>
      </c>
      <c r="S1685" s="21" t="str">
        <f aca="false">IF(AND(ISNUMBER(J1685),ISNUMBER(K1685),F1685&lt;&gt;"Calentamiento",F1685&lt;&gt;"Bilbo"),IF(AND(K1685&gt;0,K1685&lt;=12),ROUND(J1685*(1+(K1685+IF(ISNUMBER(L1685),L1685,0))/30),1),""),"")</f>
        <v/>
      </c>
      <c r="T1685" s="21" t="str">
        <f aca="false">IF(AND(F1685="Bilbo",ISNUMBER(J1685),ISNUMBER(K1685)),ROUND(J1685*(1+K1685/30),1),"")</f>
        <v/>
      </c>
      <c r="W1685" s="22"/>
      <c r="X1685" s="21" t="str">
        <f aca="false">IF(AND(F1685="Bilbo",E1685&lt;&gt;"",G1685&lt;&gt;"",H1685&lt;&gt;""),E1685&amp;"|"&amp;G1685&amp;"|"&amp;H1685,"")</f>
        <v/>
      </c>
      <c r="Y1685" s="21" t="str">
        <f aca="false">IF(B1685="","",IF(B1685&lt;&gt;B1684,1,0))</f>
        <v/>
      </c>
    </row>
    <row r="1686" customFormat="false" ht="15" hidden="false" customHeight="true" outlineLevel="0" collapsed="false">
      <c r="A1686" s="21" t="str">
        <f aca="false">IF(B1686="","",ROW()-4)</f>
        <v/>
      </c>
      <c r="B1686" s="22"/>
      <c r="C1686" s="21" t="str">
        <f aca="false">IF(B1686="","",CHOOSE(WEEKDAY(B1686,2),"LUNES","MARTES","MIÉRCOLES","JUEVES","VIERNES","SÁBADO","DOMINGO"))</f>
        <v/>
      </c>
      <c r="M1686" s="23"/>
      <c r="Q1686" s="21" t="str">
        <f aca="false">IF(OR(K1686="",N1686=""),"",K1686-N1686)</f>
        <v/>
      </c>
      <c r="R1686" s="21" t="str">
        <f aca="false">IF(OR(J1686="",K1686=""),"",J1686*K1686)</f>
        <v/>
      </c>
      <c r="S1686" s="21" t="str">
        <f aca="false">IF(AND(ISNUMBER(J1686),ISNUMBER(K1686),F1686&lt;&gt;"Calentamiento",F1686&lt;&gt;"Bilbo"),IF(AND(K1686&gt;0,K1686&lt;=12),ROUND(J1686*(1+(K1686+IF(ISNUMBER(L1686),L1686,0))/30),1),""),"")</f>
        <v/>
      </c>
      <c r="T1686" s="21" t="str">
        <f aca="false">IF(AND(F1686="Bilbo",ISNUMBER(J1686),ISNUMBER(K1686)),ROUND(J1686*(1+K1686/30),1),"")</f>
        <v/>
      </c>
      <c r="W1686" s="22"/>
      <c r="X1686" s="21" t="str">
        <f aca="false">IF(AND(F1686="Bilbo",E1686&lt;&gt;"",G1686&lt;&gt;"",H1686&lt;&gt;""),E1686&amp;"|"&amp;G1686&amp;"|"&amp;H1686,"")</f>
        <v/>
      </c>
      <c r="Y1686" s="21" t="str">
        <f aca="false">IF(B1686="","",IF(B1686&lt;&gt;B1685,1,0))</f>
        <v/>
      </c>
    </row>
    <row r="1687" customFormat="false" ht="15" hidden="false" customHeight="true" outlineLevel="0" collapsed="false">
      <c r="A1687" s="21" t="str">
        <f aca="false">IF(B1687="","",ROW()-4)</f>
        <v/>
      </c>
      <c r="B1687" s="22"/>
      <c r="C1687" s="21" t="str">
        <f aca="false">IF(B1687="","",CHOOSE(WEEKDAY(B1687,2),"LUNES","MARTES","MIÉRCOLES","JUEVES","VIERNES","SÁBADO","DOMINGO"))</f>
        <v/>
      </c>
      <c r="M1687" s="23"/>
      <c r="Q1687" s="21" t="str">
        <f aca="false">IF(OR(K1687="",N1687=""),"",K1687-N1687)</f>
        <v/>
      </c>
      <c r="R1687" s="21" t="str">
        <f aca="false">IF(OR(J1687="",K1687=""),"",J1687*K1687)</f>
        <v/>
      </c>
      <c r="S1687" s="21" t="str">
        <f aca="false">IF(AND(ISNUMBER(J1687),ISNUMBER(K1687),F1687&lt;&gt;"Calentamiento",F1687&lt;&gt;"Bilbo"),IF(AND(K1687&gt;0,K1687&lt;=12),ROUND(J1687*(1+(K1687+IF(ISNUMBER(L1687),L1687,0))/30),1),""),"")</f>
        <v/>
      </c>
      <c r="T1687" s="21" t="str">
        <f aca="false">IF(AND(F1687="Bilbo",ISNUMBER(J1687),ISNUMBER(K1687)),ROUND(J1687*(1+K1687/30),1),"")</f>
        <v/>
      </c>
      <c r="W1687" s="22"/>
      <c r="X1687" s="21" t="str">
        <f aca="false">IF(AND(F1687="Bilbo",E1687&lt;&gt;"",G1687&lt;&gt;"",H1687&lt;&gt;""),E1687&amp;"|"&amp;G1687&amp;"|"&amp;H1687,"")</f>
        <v/>
      </c>
      <c r="Y1687" s="21" t="str">
        <f aca="false">IF(B1687="","",IF(B1687&lt;&gt;B1686,1,0))</f>
        <v/>
      </c>
    </row>
    <row r="1688" customFormat="false" ht="15" hidden="false" customHeight="true" outlineLevel="0" collapsed="false">
      <c r="A1688" s="21" t="str">
        <f aca="false">IF(B1688="","",ROW()-4)</f>
        <v/>
      </c>
      <c r="B1688" s="22"/>
      <c r="C1688" s="21" t="str">
        <f aca="false">IF(B1688="","",CHOOSE(WEEKDAY(B1688,2),"LUNES","MARTES","MIÉRCOLES","JUEVES","VIERNES","SÁBADO","DOMINGO"))</f>
        <v/>
      </c>
      <c r="M1688" s="23"/>
      <c r="Q1688" s="21" t="str">
        <f aca="false">IF(OR(K1688="",N1688=""),"",K1688-N1688)</f>
        <v/>
      </c>
      <c r="R1688" s="21" t="str">
        <f aca="false">IF(OR(J1688="",K1688=""),"",J1688*K1688)</f>
        <v/>
      </c>
      <c r="S1688" s="21" t="str">
        <f aca="false">IF(AND(ISNUMBER(J1688),ISNUMBER(K1688),F1688&lt;&gt;"Calentamiento",F1688&lt;&gt;"Bilbo"),IF(AND(K1688&gt;0,K1688&lt;=12),ROUND(J1688*(1+(K1688+IF(ISNUMBER(L1688),L1688,0))/30),1),""),"")</f>
        <v/>
      </c>
      <c r="T1688" s="21" t="str">
        <f aca="false">IF(AND(F1688="Bilbo",ISNUMBER(J1688),ISNUMBER(K1688)),ROUND(J1688*(1+K1688/30),1),"")</f>
        <v/>
      </c>
      <c r="W1688" s="22"/>
      <c r="X1688" s="21" t="str">
        <f aca="false">IF(AND(F1688="Bilbo",E1688&lt;&gt;"",G1688&lt;&gt;"",H1688&lt;&gt;""),E1688&amp;"|"&amp;G1688&amp;"|"&amp;H1688,"")</f>
        <v/>
      </c>
      <c r="Y1688" s="21" t="str">
        <f aca="false">IF(B1688="","",IF(B1688&lt;&gt;B1687,1,0))</f>
        <v/>
      </c>
    </row>
    <row r="1689" customFormat="false" ht="15" hidden="false" customHeight="true" outlineLevel="0" collapsed="false">
      <c r="A1689" s="21" t="str">
        <f aca="false">IF(B1689="","",ROW()-4)</f>
        <v/>
      </c>
      <c r="B1689" s="22"/>
      <c r="C1689" s="21" t="str">
        <f aca="false">IF(B1689="","",CHOOSE(WEEKDAY(B1689,2),"LUNES","MARTES","MIÉRCOLES","JUEVES","VIERNES","SÁBADO","DOMINGO"))</f>
        <v/>
      </c>
      <c r="M1689" s="23"/>
      <c r="Q1689" s="21" t="str">
        <f aca="false">IF(OR(K1689="",N1689=""),"",K1689-N1689)</f>
        <v/>
      </c>
      <c r="R1689" s="21" t="str">
        <f aca="false">IF(OR(J1689="",K1689=""),"",J1689*K1689)</f>
        <v/>
      </c>
      <c r="S1689" s="21" t="str">
        <f aca="false">IF(AND(ISNUMBER(J1689),ISNUMBER(K1689),F1689&lt;&gt;"Calentamiento",F1689&lt;&gt;"Bilbo"),IF(AND(K1689&gt;0,K1689&lt;=12),ROUND(J1689*(1+(K1689+IF(ISNUMBER(L1689),L1689,0))/30),1),""),"")</f>
        <v/>
      </c>
      <c r="T1689" s="21" t="str">
        <f aca="false">IF(AND(F1689="Bilbo",ISNUMBER(J1689),ISNUMBER(K1689)),ROUND(J1689*(1+K1689/30),1),"")</f>
        <v/>
      </c>
      <c r="W1689" s="22"/>
      <c r="X1689" s="21" t="str">
        <f aca="false">IF(AND(F1689="Bilbo",E1689&lt;&gt;"",G1689&lt;&gt;"",H1689&lt;&gt;""),E1689&amp;"|"&amp;G1689&amp;"|"&amp;H1689,"")</f>
        <v/>
      </c>
      <c r="Y1689" s="21" t="str">
        <f aca="false">IF(B1689="","",IF(B1689&lt;&gt;B1688,1,0))</f>
        <v/>
      </c>
    </row>
    <row r="1690" customFormat="false" ht="15" hidden="false" customHeight="true" outlineLevel="0" collapsed="false">
      <c r="A1690" s="21" t="str">
        <f aca="false">IF(B1690="","",ROW()-4)</f>
        <v/>
      </c>
      <c r="B1690" s="22"/>
      <c r="C1690" s="21" t="str">
        <f aca="false">IF(B1690="","",CHOOSE(WEEKDAY(B1690,2),"LUNES","MARTES","MIÉRCOLES","JUEVES","VIERNES","SÁBADO","DOMINGO"))</f>
        <v/>
      </c>
      <c r="M1690" s="23"/>
      <c r="Q1690" s="21" t="str">
        <f aca="false">IF(OR(K1690="",N1690=""),"",K1690-N1690)</f>
        <v/>
      </c>
      <c r="R1690" s="21" t="str">
        <f aca="false">IF(OR(J1690="",K1690=""),"",J1690*K1690)</f>
        <v/>
      </c>
      <c r="S1690" s="21" t="str">
        <f aca="false">IF(AND(ISNUMBER(J1690),ISNUMBER(K1690),F1690&lt;&gt;"Calentamiento",F1690&lt;&gt;"Bilbo"),IF(AND(K1690&gt;0,K1690&lt;=12),ROUND(J1690*(1+(K1690+IF(ISNUMBER(L1690),L1690,0))/30),1),""),"")</f>
        <v/>
      </c>
      <c r="T1690" s="21" t="str">
        <f aca="false">IF(AND(F1690="Bilbo",ISNUMBER(J1690),ISNUMBER(K1690)),ROUND(J1690*(1+K1690/30),1),"")</f>
        <v/>
      </c>
      <c r="W1690" s="22"/>
      <c r="X1690" s="21" t="str">
        <f aca="false">IF(AND(F1690="Bilbo",E1690&lt;&gt;"",G1690&lt;&gt;"",H1690&lt;&gt;""),E1690&amp;"|"&amp;G1690&amp;"|"&amp;H1690,"")</f>
        <v/>
      </c>
      <c r="Y1690" s="21" t="str">
        <f aca="false">IF(B1690="","",IF(B1690&lt;&gt;B1689,1,0))</f>
        <v/>
      </c>
    </row>
    <row r="1691" customFormat="false" ht="15" hidden="false" customHeight="true" outlineLevel="0" collapsed="false">
      <c r="A1691" s="21" t="str">
        <f aca="false">IF(B1691="","",ROW()-4)</f>
        <v/>
      </c>
      <c r="B1691" s="22"/>
      <c r="C1691" s="21" t="str">
        <f aca="false">IF(B1691="","",CHOOSE(WEEKDAY(B1691,2),"LUNES","MARTES","MIÉRCOLES","JUEVES","VIERNES","SÁBADO","DOMINGO"))</f>
        <v/>
      </c>
      <c r="M1691" s="23"/>
      <c r="Q1691" s="21" t="str">
        <f aca="false">IF(OR(K1691="",N1691=""),"",K1691-N1691)</f>
        <v/>
      </c>
      <c r="R1691" s="21" t="str">
        <f aca="false">IF(OR(J1691="",K1691=""),"",J1691*K1691)</f>
        <v/>
      </c>
      <c r="S1691" s="21" t="str">
        <f aca="false">IF(AND(ISNUMBER(J1691),ISNUMBER(K1691),F1691&lt;&gt;"Calentamiento",F1691&lt;&gt;"Bilbo"),IF(AND(K1691&gt;0,K1691&lt;=12),ROUND(J1691*(1+(K1691+IF(ISNUMBER(L1691),L1691,0))/30),1),""),"")</f>
        <v/>
      </c>
      <c r="T1691" s="21" t="str">
        <f aca="false">IF(AND(F1691="Bilbo",ISNUMBER(J1691),ISNUMBER(K1691)),ROUND(J1691*(1+K1691/30),1),"")</f>
        <v/>
      </c>
      <c r="W1691" s="22"/>
      <c r="X1691" s="21" t="str">
        <f aca="false">IF(AND(F1691="Bilbo",E1691&lt;&gt;"",G1691&lt;&gt;"",H1691&lt;&gt;""),E1691&amp;"|"&amp;G1691&amp;"|"&amp;H1691,"")</f>
        <v/>
      </c>
      <c r="Y1691" s="21" t="str">
        <f aca="false">IF(B1691="","",IF(B1691&lt;&gt;B1690,1,0))</f>
        <v/>
      </c>
    </row>
    <row r="1692" customFormat="false" ht="15" hidden="false" customHeight="true" outlineLevel="0" collapsed="false">
      <c r="A1692" s="21" t="str">
        <f aca="false">IF(B1692="","",ROW()-4)</f>
        <v/>
      </c>
      <c r="B1692" s="22"/>
      <c r="C1692" s="21" t="str">
        <f aca="false">IF(B1692="","",CHOOSE(WEEKDAY(B1692,2),"LUNES","MARTES","MIÉRCOLES","JUEVES","VIERNES","SÁBADO","DOMINGO"))</f>
        <v/>
      </c>
      <c r="M1692" s="23"/>
      <c r="Q1692" s="21" t="str">
        <f aca="false">IF(OR(K1692="",N1692=""),"",K1692-N1692)</f>
        <v/>
      </c>
      <c r="R1692" s="21" t="str">
        <f aca="false">IF(OR(J1692="",K1692=""),"",J1692*K1692)</f>
        <v/>
      </c>
      <c r="S1692" s="21" t="str">
        <f aca="false">IF(AND(ISNUMBER(J1692),ISNUMBER(K1692),F1692&lt;&gt;"Calentamiento",F1692&lt;&gt;"Bilbo"),IF(AND(K1692&gt;0,K1692&lt;=12),ROUND(J1692*(1+(K1692+IF(ISNUMBER(L1692),L1692,0))/30),1),""),"")</f>
        <v/>
      </c>
      <c r="T1692" s="21" t="str">
        <f aca="false">IF(AND(F1692="Bilbo",ISNUMBER(J1692),ISNUMBER(K1692)),ROUND(J1692*(1+K1692/30),1),"")</f>
        <v/>
      </c>
      <c r="W1692" s="22"/>
      <c r="X1692" s="21" t="str">
        <f aca="false">IF(AND(F1692="Bilbo",E1692&lt;&gt;"",G1692&lt;&gt;"",H1692&lt;&gt;""),E1692&amp;"|"&amp;G1692&amp;"|"&amp;H1692,"")</f>
        <v/>
      </c>
      <c r="Y1692" s="21" t="str">
        <f aca="false">IF(B1692="","",IF(B1692&lt;&gt;B1691,1,0))</f>
        <v/>
      </c>
    </row>
    <row r="1693" customFormat="false" ht="15" hidden="false" customHeight="true" outlineLevel="0" collapsed="false">
      <c r="A1693" s="21" t="str">
        <f aca="false">IF(B1693="","",ROW()-4)</f>
        <v/>
      </c>
      <c r="B1693" s="22"/>
      <c r="C1693" s="21" t="str">
        <f aca="false">IF(B1693="","",CHOOSE(WEEKDAY(B1693,2),"LUNES","MARTES","MIÉRCOLES","JUEVES","VIERNES","SÁBADO","DOMINGO"))</f>
        <v/>
      </c>
      <c r="M1693" s="23"/>
      <c r="Q1693" s="21" t="str">
        <f aca="false">IF(OR(K1693="",N1693=""),"",K1693-N1693)</f>
        <v/>
      </c>
      <c r="R1693" s="21" t="str">
        <f aca="false">IF(OR(J1693="",K1693=""),"",J1693*K1693)</f>
        <v/>
      </c>
      <c r="S1693" s="21" t="str">
        <f aca="false">IF(AND(ISNUMBER(J1693),ISNUMBER(K1693),F1693&lt;&gt;"Calentamiento",F1693&lt;&gt;"Bilbo"),IF(AND(K1693&gt;0,K1693&lt;=12),ROUND(J1693*(1+(K1693+IF(ISNUMBER(L1693),L1693,0))/30),1),""),"")</f>
        <v/>
      </c>
      <c r="T1693" s="21" t="str">
        <f aca="false">IF(AND(F1693="Bilbo",ISNUMBER(J1693),ISNUMBER(K1693)),ROUND(J1693*(1+K1693/30),1),"")</f>
        <v/>
      </c>
      <c r="W1693" s="22"/>
      <c r="X1693" s="21" t="str">
        <f aca="false">IF(AND(F1693="Bilbo",E1693&lt;&gt;"",G1693&lt;&gt;"",H1693&lt;&gt;""),E1693&amp;"|"&amp;G1693&amp;"|"&amp;H1693,"")</f>
        <v/>
      </c>
      <c r="Y1693" s="21" t="str">
        <f aca="false">IF(B1693="","",IF(B1693&lt;&gt;B1692,1,0))</f>
        <v/>
      </c>
    </row>
    <row r="1694" customFormat="false" ht="15" hidden="false" customHeight="true" outlineLevel="0" collapsed="false">
      <c r="A1694" s="21" t="str">
        <f aca="false">IF(B1694="","",ROW()-4)</f>
        <v/>
      </c>
      <c r="B1694" s="22"/>
      <c r="C1694" s="21" t="str">
        <f aca="false">IF(B1694="","",CHOOSE(WEEKDAY(B1694,2),"LUNES","MARTES","MIÉRCOLES","JUEVES","VIERNES","SÁBADO","DOMINGO"))</f>
        <v/>
      </c>
      <c r="M1694" s="23"/>
      <c r="Q1694" s="21" t="str">
        <f aca="false">IF(OR(K1694="",N1694=""),"",K1694-N1694)</f>
        <v/>
      </c>
      <c r="R1694" s="21" t="str">
        <f aca="false">IF(OR(J1694="",K1694=""),"",J1694*K1694)</f>
        <v/>
      </c>
      <c r="S1694" s="21" t="str">
        <f aca="false">IF(AND(ISNUMBER(J1694),ISNUMBER(K1694),F1694&lt;&gt;"Calentamiento",F1694&lt;&gt;"Bilbo"),IF(AND(K1694&gt;0,K1694&lt;=12),ROUND(J1694*(1+(K1694+IF(ISNUMBER(L1694),L1694,0))/30),1),""),"")</f>
        <v/>
      </c>
      <c r="T1694" s="21" t="str">
        <f aca="false">IF(AND(F1694="Bilbo",ISNUMBER(J1694),ISNUMBER(K1694)),ROUND(J1694*(1+K1694/30),1),"")</f>
        <v/>
      </c>
      <c r="W1694" s="22"/>
      <c r="X1694" s="21" t="str">
        <f aca="false">IF(AND(F1694="Bilbo",E1694&lt;&gt;"",G1694&lt;&gt;"",H1694&lt;&gt;""),E1694&amp;"|"&amp;G1694&amp;"|"&amp;H1694,"")</f>
        <v/>
      </c>
      <c r="Y1694" s="21" t="str">
        <f aca="false">IF(B1694="","",IF(B1694&lt;&gt;B1693,1,0))</f>
        <v/>
      </c>
    </row>
    <row r="1695" customFormat="false" ht="15" hidden="false" customHeight="true" outlineLevel="0" collapsed="false">
      <c r="A1695" s="21" t="str">
        <f aca="false">IF(B1695="","",ROW()-4)</f>
        <v/>
      </c>
      <c r="B1695" s="22"/>
      <c r="C1695" s="21" t="str">
        <f aca="false">IF(B1695="","",CHOOSE(WEEKDAY(B1695,2),"LUNES","MARTES","MIÉRCOLES","JUEVES","VIERNES","SÁBADO","DOMINGO"))</f>
        <v/>
      </c>
      <c r="M1695" s="23"/>
      <c r="Q1695" s="21" t="str">
        <f aca="false">IF(OR(K1695="",N1695=""),"",K1695-N1695)</f>
        <v/>
      </c>
      <c r="R1695" s="21" t="str">
        <f aca="false">IF(OR(J1695="",K1695=""),"",J1695*K1695)</f>
        <v/>
      </c>
      <c r="S1695" s="21" t="str">
        <f aca="false">IF(AND(ISNUMBER(J1695),ISNUMBER(K1695),F1695&lt;&gt;"Calentamiento",F1695&lt;&gt;"Bilbo"),IF(AND(K1695&gt;0,K1695&lt;=12),ROUND(J1695*(1+(K1695+IF(ISNUMBER(L1695),L1695,0))/30),1),""),"")</f>
        <v/>
      </c>
      <c r="T1695" s="21" t="str">
        <f aca="false">IF(AND(F1695="Bilbo",ISNUMBER(J1695),ISNUMBER(K1695)),ROUND(J1695*(1+K1695/30),1),"")</f>
        <v/>
      </c>
      <c r="W1695" s="22"/>
      <c r="X1695" s="21" t="str">
        <f aca="false">IF(AND(F1695="Bilbo",E1695&lt;&gt;"",G1695&lt;&gt;"",H1695&lt;&gt;""),E1695&amp;"|"&amp;G1695&amp;"|"&amp;H1695,"")</f>
        <v/>
      </c>
      <c r="Y1695" s="21" t="str">
        <f aca="false">IF(B1695="","",IF(B1695&lt;&gt;B1694,1,0))</f>
        <v/>
      </c>
    </row>
    <row r="1696" customFormat="false" ht="15" hidden="false" customHeight="true" outlineLevel="0" collapsed="false">
      <c r="A1696" s="21" t="str">
        <f aca="false">IF(B1696="","",ROW()-4)</f>
        <v/>
      </c>
      <c r="B1696" s="22"/>
      <c r="C1696" s="21" t="str">
        <f aca="false">IF(B1696="","",CHOOSE(WEEKDAY(B1696,2),"LUNES","MARTES","MIÉRCOLES","JUEVES","VIERNES","SÁBADO","DOMINGO"))</f>
        <v/>
      </c>
      <c r="M1696" s="23"/>
      <c r="Q1696" s="21" t="str">
        <f aca="false">IF(OR(K1696="",N1696=""),"",K1696-N1696)</f>
        <v/>
      </c>
      <c r="R1696" s="21" t="str">
        <f aca="false">IF(OR(J1696="",K1696=""),"",J1696*K1696)</f>
        <v/>
      </c>
      <c r="S1696" s="21" t="str">
        <f aca="false">IF(AND(ISNUMBER(J1696),ISNUMBER(K1696),F1696&lt;&gt;"Calentamiento",F1696&lt;&gt;"Bilbo"),IF(AND(K1696&gt;0,K1696&lt;=12),ROUND(J1696*(1+(K1696+IF(ISNUMBER(L1696),L1696,0))/30),1),""),"")</f>
        <v/>
      </c>
      <c r="T1696" s="21" t="str">
        <f aca="false">IF(AND(F1696="Bilbo",ISNUMBER(J1696),ISNUMBER(K1696)),ROUND(J1696*(1+K1696/30),1),"")</f>
        <v/>
      </c>
      <c r="W1696" s="22"/>
      <c r="X1696" s="21" t="str">
        <f aca="false">IF(AND(F1696="Bilbo",E1696&lt;&gt;"",G1696&lt;&gt;"",H1696&lt;&gt;""),E1696&amp;"|"&amp;G1696&amp;"|"&amp;H1696,"")</f>
        <v/>
      </c>
      <c r="Y1696" s="21" t="str">
        <f aca="false">IF(B1696="","",IF(B1696&lt;&gt;B1695,1,0))</f>
        <v/>
      </c>
    </row>
    <row r="1697" customFormat="false" ht="15" hidden="false" customHeight="true" outlineLevel="0" collapsed="false">
      <c r="A1697" s="21" t="str">
        <f aca="false">IF(B1697="","",ROW()-4)</f>
        <v/>
      </c>
      <c r="B1697" s="22"/>
      <c r="C1697" s="21" t="str">
        <f aca="false">IF(B1697="","",CHOOSE(WEEKDAY(B1697,2),"LUNES","MARTES","MIÉRCOLES","JUEVES","VIERNES","SÁBADO","DOMINGO"))</f>
        <v/>
      </c>
      <c r="M1697" s="23"/>
      <c r="Q1697" s="21" t="str">
        <f aca="false">IF(OR(K1697="",N1697=""),"",K1697-N1697)</f>
        <v/>
      </c>
      <c r="R1697" s="21" t="str">
        <f aca="false">IF(OR(J1697="",K1697=""),"",J1697*K1697)</f>
        <v/>
      </c>
      <c r="S1697" s="21" t="str">
        <f aca="false">IF(AND(ISNUMBER(J1697),ISNUMBER(K1697),F1697&lt;&gt;"Calentamiento",F1697&lt;&gt;"Bilbo"),IF(AND(K1697&gt;0,K1697&lt;=12),ROUND(J1697*(1+(K1697+IF(ISNUMBER(L1697),L1697,0))/30),1),""),"")</f>
        <v/>
      </c>
      <c r="T1697" s="21" t="str">
        <f aca="false">IF(AND(F1697="Bilbo",ISNUMBER(J1697),ISNUMBER(K1697)),ROUND(J1697*(1+K1697/30),1),"")</f>
        <v/>
      </c>
      <c r="W1697" s="22"/>
      <c r="X1697" s="21" t="str">
        <f aca="false">IF(AND(F1697="Bilbo",E1697&lt;&gt;"",G1697&lt;&gt;"",H1697&lt;&gt;""),E1697&amp;"|"&amp;G1697&amp;"|"&amp;H1697,"")</f>
        <v/>
      </c>
      <c r="Y1697" s="21" t="str">
        <f aca="false">IF(B1697="","",IF(B1697&lt;&gt;B1696,1,0))</f>
        <v/>
      </c>
    </row>
    <row r="1698" customFormat="false" ht="15" hidden="false" customHeight="true" outlineLevel="0" collapsed="false">
      <c r="A1698" s="21" t="str">
        <f aca="false">IF(B1698="","",ROW()-4)</f>
        <v/>
      </c>
      <c r="B1698" s="22"/>
      <c r="C1698" s="21" t="str">
        <f aca="false">IF(B1698="","",CHOOSE(WEEKDAY(B1698,2),"LUNES","MARTES","MIÉRCOLES","JUEVES","VIERNES","SÁBADO","DOMINGO"))</f>
        <v/>
      </c>
      <c r="M1698" s="23"/>
      <c r="Q1698" s="21" t="str">
        <f aca="false">IF(OR(K1698="",N1698=""),"",K1698-N1698)</f>
        <v/>
      </c>
      <c r="R1698" s="21" t="str">
        <f aca="false">IF(OR(J1698="",K1698=""),"",J1698*K1698)</f>
        <v/>
      </c>
      <c r="S1698" s="21" t="str">
        <f aca="false">IF(AND(ISNUMBER(J1698),ISNUMBER(K1698),F1698&lt;&gt;"Calentamiento",F1698&lt;&gt;"Bilbo"),IF(AND(K1698&gt;0,K1698&lt;=12),ROUND(J1698*(1+(K1698+IF(ISNUMBER(L1698),L1698,0))/30),1),""),"")</f>
        <v/>
      </c>
      <c r="T1698" s="21" t="str">
        <f aca="false">IF(AND(F1698="Bilbo",ISNUMBER(J1698),ISNUMBER(K1698)),ROUND(J1698*(1+K1698/30),1),"")</f>
        <v/>
      </c>
      <c r="W1698" s="22"/>
      <c r="X1698" s="21" t="str">
        <f aca="false">IF(AND(F1698="Bilbo",E1698&lt;&gt;"",G1698&lt;&gt;"",H1698&lt;&gt;""),E1698&amp;"|"&amp;G1698&amp;"|"&amp;H1698,"")</f>
        <v/>
      </c>
      <c r="Y1698" s="21" t="str">
        <f aca="false">IF(B1698="","",IF(B1698&lt;&gt;B1697,1,0))</f>
        <v/>
      </c>
    </row>
    <row r="1699" customFormat="false" ht="15" hidden="false" customHeight="true" outlineLevel="0" collapsed="false">
      <c r="A1699" s="21" t="str">
        <f aca="false">IF(B1699="","",ROW()-4)</f>
        <v/>
      </c>
      <c r="B1699" s="22"/>
      <c r="C1699" s="21" t="str">
        <f aca="false">IF(B1699="","",CHOOSE(WEEKDAY(B1699,2),"LUNES","MARTES","MIÉRCOLES","JUEVES","VIERNES","SÁBADO","DOMINGO"))</f>
        <v/>
      </c>
      <c r="M1699" s="23"/>
      <c r="Q1699" s="21" t="str">
        <f aca="false">IF(OR(K1699="",N1699=""),"",K1699-N1699)</f>
        <v/>
      </c>
      <c r="R1699" s="21" t="str">
        <f aca="false">IF(OR(J1699="",K1699=""),"",J1699*K1699)</f>
        <v/>
      </c>
      <c r="S1699" s="21" t="str">
        <f aca="false">IF(AND(ISNUMBER(J1699),ISNUMBER(K1699),F1699&lt;&gt;"Calentamiento",F1699&lt;&gt;"Bilbo"),IF(AND(K1699&gt;0,K1699&lt;=12),ROUND(J1699*(1+(K1699+IF(ISNUMBER(L1699),L1699,0))/30),1),""),"")</f>
        <v/>
      </c>
      <c r="T1699" s="21" t="str">
        <f aca="false">IF(AND(F1699="Bilbo",ISNUMBER(J1699),ISNUMBER(K1699)),ROUND(J1699*(1+K1699/30),1),"")</f>
        <v/>
      </c>
      <c r="W1699" s="22"/>
      <c r="X1699" s="21" t="str">
        <f aca="false">IF(AND(F1699="Bilbo",E1699&lt;&gt;"",G1699&lt;&gt;"",H1699&lt;&gt;""),E1699&amp;"|"&amp;G1699&amp;"|"&amp;H1699,"")</f>
        <v/>
      </c>
      <c r="Y1699" s="21" t="str">
        <f aca="false">IF(B1699="","",IF(B1699&lt;&gt;B1698,1,0))</f>
        <v/>
      </c>
    </row>
    <row r="1700" customFormat="false" ht="15" hidden="false" customHeight="true" outlineLevel="0" collapsed="false">
      <c r="A1700" s="21" t="str">
        <f aca="false">IF(B1700="","",ROW()-4)</f>
        <v/>
      </c>
      <c r="B1700" s="22"/>
      <c r="C1700" s="21" t="str">
        <f aca="false">IF(B1700="","",CHOOSE(WEEKDAY(B1700,2),"LUNES","MARTES","MIÉRCOLES","JUEVES","VIERNES","SÁBADO","DOMINGO"))</f>
        <v/>
      </c>
      <c r="M1700" s="23"/>
      <c r="Q1700" s="21" t="str">
        <f aca="false">IF(OR(K1700="",N1700=""),"",K1700-N1700)</f>
        <v/>
      </c>
      <c r="R1700" s="21" t="str">
        <f aca="false">IF(OR(J1700="",K1700=""),"",J1700*K1700)</f>
        <v/>
      </c>
      <c r="S1700" s="21" t="str">
        <f aca="false">IF(AND(ISNUMBER(J1700),ISNUMBER(K1700),F1700&lt;&gt;"Calentamiento",F1700&lt;&gt;"Bilbo"),IF(AND(K1700&gt;0,K1700&lt;=12),ROUND(J1700*(1+(K1700+IF(ISNUMBER(L1700),L1700,0))/30),1),""),"")</f>
        <v/>
      </c>
      <c r="T1700" s="21" t="str">
        <f aca="false">IF(AND(F1700="Bilbo",ISNUMBER(J1700),ISNUMBER(K1700)),ROUND(J1700*(1+K1700/30),1),"")</f>
        <v/>
      </c>
      <c r="W1700" s="22"/>
      <c r="X1700" s="21" t="str">
        <f aca="false">IF(AND(F1700="Bilbo",E1700&lt;&gt;"",G1700&lt;&gt;"",H1700&lt;&gt;""),E1700&amp;"|"&amp;G1700&amp;"|"&amp;H1700,"")</f>
        <v/>
      </c>
      <c r="Y1700" s="21" t="str">
        <f aca="false">IF(B1700="","",IF(B1700&lt;&gt;B1699,1,0))</f>
        <v/>
      </c>
    </row>
    <row r="1701" customFormat="false" ht="15" hidden="false" customHeight="true" outlineLevel="0" collapsed="false">
      <c r="A1701" s="21" t="str">
        <f aca="false">IF(B1701="","",ROW()-4)</f>
        <v/>
      </c>
      <c r="B1701" s="22"/>
      <c r="C1701" s="21" t="str">
        <f aca="false">IF(B1701="","",CHOOSE(WEEKDAY(B1701,2),"LUNES","MARTES","MIÉRCOLES","JUEVES","VIERNES","SÁBADO","DOMINGO"))</f>
        <v/>
      </c>
      <c r="M1701" s="23"/>
      <c r="Q1701" s="21" t="str">
        <f aca="false">IF(OR(K1701="",N1701=""),"",K1701-N1701)</f>
        <v/>
      </c>
      <c r="R1701" s="21" t="str">
        <f aca="false">IF(OR(J1701="",K1701=""),"",J1701*K1701)</f>
        <v/>
      </c>
      <c r="S1701" s="21" t="str">
        <f aca="false">IF(AND(ISNUMBER(J1701),ISNUMBER(K1701),F1701&lt;&gt;"Calentamiento",F1701&lt;&gt;"Bilbo"),IF(AND(K1701&gt;0,K1701&lt;=12),ROUND(J1701*(1+(K1701+IF(ISNUMBER(L1701),L1701,0))/30),1),""),"")</f>
        <v/>
      </c>
      <c r="T1701" s="21" t="str">
        <f aca="false">IF(AND(F1701="Bilbo",ISNUMBER(J1701),ISNUMBER(K1701)),ROUND(J1701*(1+K1701/30),1),"")</f>
        <v/>
      </c>
      <c r="W1701" s="22"/>
      <c r="X1701" s="21" t="str">
        <f aca="false">IF(AND(F1701="Bilbo",E1701&lt;&gt;"",G1701&lt;&gt;"",H1701&lt;&gt;""),E1701&amp;"|"&amp;G1701&amp;"|"&amp;H1701,"")</f>
        <v/>
      </c>
      <c r="Y1701" s="21" t="str">
        <f aca="false">IF(B1701="","",IF(B1701&lt;&gt;B1700,1,0))</f>
        <v/>
      </c>
    </row>
    <row r="1702" customFormat="false" ht="15" hidden="false" customHeight="true" outlineLevel="0" collapsed="false">
      <c r="A1702" s="21" t="str">
        <f aca="false">IF(B1702="","",ROW()-4)</f>
        <v/>
      </c>
      <c r="B1702" s="22"/>
      <c r="C1702" s="21" t="str">
        <f aca="false">IF(B1702="","",CHOOSE(WEEKDAY(B1702,2),"LUNES","MARTES","MIÉRCOLES","JUEVES","VIERNES","SÁBADO","DOMINGO"))</f>
        <v/>
      </c>
      <c r="M1702" s="23"/>
      <c r="Q1702" s="21" t="str">
        <f aca="false">IF(OR(K1702="",N1702=""),"",K1702-N1702)</f>
        <v/>
      </c>
      <c r="R1702" s="21" t="str">
        <f aca="false">IF(OR(J1702="",K1702=""),"",J1702*K1702)</f>
        <v/>
      </c>
      <c r="S1702" s="21" t="str">
        <f aca="false">IF(AND(ISNUMBER(J1702),ISNUMBER(K1702),F1702&lt;&gt;"Calentamiento",F1702&lt;&gt;"Bilbo"),IF(AND(K1702&gt;0,K1702&lt;=12),ROUND(J1702*(1+(K1702+IF(ISNUMBER(L1702),L1702,0))/30),1),""),"")</f>
        <v/>
      </c>
      <c r="T1702" s="21" t="str">
        <f aca="false">IF(AND(F1702="Bilbo",ISNUMBER(J1702),ISNUMBER(K1702)),ROUND(J1702*(1+K1702/30),1),"")</f>
        <v/>
      </c>
      <c r="W1702" s="22"/>
      <c r="X1702" s="21" t="str">
        <f aca="false">IF(AND(F1702="Bilbo",E1702&lt;&gt;"",G1702&lt;&gt;"",H1702&lt;&gt;""),E1702&amp;"|"&amp;G1702&amp;"|"&amp;H1702,"")</f>
        <v/>
      </c>
      <c r="Y1702" s="21" t="str">
        <f aca="false">IF(B1702="","",IF(B1702&lt;&gt;B1701,1,0))</f>
        <v/>
      </c>
    </row>
    <row r="1703" customFormat="false" ht="15" hidden="false" customHeight="true" outlineLevel="0" collapsed="false">
      <c r="A1703" s="21" t="str">
        <f aca="false">IF(B1703="","",ROW()-4)</f>
        <v/>
      </c>
      <c r="B1703" s="22"/>
      <c r="C1703" s="21" t="str">
        <f aca="false">IF(B1703="","",CHOOSE(WEEKDAY(B1703,2),"LUNES","MARTES","MIÉRCOLES","JUEVES","VIERNES","SÁBADO","DOMINGO"))</f>
        <v/>
      </c>
      <c r="M1703" s="23"/>
      <c r="Q1703" s="21" t="str">
        <f aca="false">IF(OR(K1703="",N1703=""),"",K1703-N1703)</f>
        <v/>
      </c>
      <c r="R1703" s="21" t="str">
        <f aca="false">IF(OR(J1703="",K1703=""),"",J1703*K1703)</f>
        <v/>
      </c>
      <c r="S1703" s="21" t="str">
        <f aca="false">IF(AND(ISNUMBER(J1703),ISNUMBER(K1703),F1703&lt;&gt;"Calentamiento",F1703&lt;&gt;"Bilbo"),IF(AND(K1703&gt;0,K1703&lt;=12),ROUND(J1703*(1+(K1703+IF(ISNUMBER(L1703),L1703,0))/30),1),""),"")</f>
        <v/>
      </c>
      <c r="T1703" s="21" t="str">
        <f aca="false">IF(AND(F1703="Bilbo",ISNUMBER(J1703),ISNUMBER(K1703)),ROUND(J1703*(1+K1703/30),1),"")</f>
        <v/>
      </c>
      <c r="W1703" s="22"/>
      <c r="X1703" s="21" t="str">
        <f aca="false">IF(AND(F1703="Bilbo",E1703&lt;&gt;"",G1703&lt;&gt;"",H1703&lt;&gt;""),E1703&amp;"|"&amp;G1703&amp;"|"&amp;H1703,"")</f>
        <v/>
      </c>
      <c r="Y1703" s="21" t="str">
        <f aca="false">IF(B1703="","",IF(B1703&lt;&gt;B1702,1,0))</f>
        <v/>
      </c>
    </row>
    <row r="1704" customFormat="false" ht="15" hidden="false" customHeight="true" outlineLevel="0" collapsed="false">
      <c r="A1704" s="21" t="str">
        <f aca="false">IF(B1704="","",ROW()-4)</f>
        <v/>
      </c>
      <c r="B1704" s="22"/>
      <c r="C1704" s="21" t="str">
        <f aca="false">IF(B1704="","",CHOOSE(WEEKDAY(B1704,2),"LUNES","MARTES","MIÉRCOLES","JUEVES","VIERNES","SÁBADO","DOMINGO"))</f>
        <v/>
      </c>
      <c r="M1704" s="23"/>
      <c r="Q1704" s="21" t="str">
        <f aca="false">IF(OR(K1704="",N1704=""),"",K1704-N1704)</f>
        <v/>
      </c>
      <c r="R1704" s="21" t="str">
        <f aca="false">IF(OR(J1704="",K1704=""),"",J1704*K1704)</f>
        <v/>
      </c>
      <c r="S1704" s="21" t="str">
        <f aca="false">IF(AND(ISNUMBER(J1704),ISNUMBER(K1704),F1704&lt;&gt;"Calentamiento",F1704&lt;&gt;"Bilbo"),IF(AND(K1704&gt;0,K1704&lt;=12),ROUND(J1704*(1+(K1704+IF(ISNUMBER(L1704),L1704,0))/30),1),""),"")</f>
        <v/>
      </c>
      <c r="T1704" s="21" t="str">
        <f aca="false">IF(AND(F1704="Bilbo",ISNUMBER(J1704),ISNUMBER(K1704)),ROUND(J1704*(1+K1704/30),1),"")</f>
        <v/>
      </c>
      <c r="W1704" s="22"/>
      <c r="X1704" s="21" t="str">
        <f aca="false">IF(AND(F1704="Bilbo",E1704&lt;&gt;"",G1704&lt;&gt;"",H1704&lt;&gt;""),E1704&amp;"|"&amp;G1704&amp;"|"&amp;H1704,"")</f>
        <v/>
      </c>
      <c r="Y1704" s="21" t="str">
        <f aca="false">IF(B1704="","",IF(B1704&lt;&gt;B1703,1,0))</f>
        <v/>
      </c>
    </row>
    <row r="1705" customFormat="false" ht="15" hidden="false" customHeight="true" outlineLevel="0" collapsed="false">
      <c r="A1705" s="21" t="str">
        <f aca="false">IF(B1705="","",ROW()-4)</f>
        <v/>
      </c>
      <c r="B1705" s="22"/>
      <c r="C1705" s="21" t="str">
        <f aca="false">IF(B1705="","",CHOOSE(WEEKDAY(B1705,2),"LUNES","MARTES","MIÉRCOLES","JUEVES","VIERNES","SÁBADO","DOMINGO"))</f>
        <v/>
      </c>
      <c r="M1705" s="23"/>
      <c r="Q1705" s="21" t="str">
        <f aca="false">IF(OR(K1705="",N1705=""),"",K1705-N1705)</f>
        <v/>
      </c>
      <c r="R1705" s="21" t="str">
        <f aca="false">IF(OR(J1705="",K1705=""),"",J1705*K1705)</f>
        <v/>
      </c>
      <c r="S1705" s="21" t="str">
        <f aca="false">IF(AND(ISNUMBER(J1705),ISNUMBER(K1705),F1705&lt;&gt;"Calentamiento",F1705&lt;&gt;"Bilbo"),IF(AND(K1705&gt;0,K1705&lt;=12),ROUND(J1705*(1+(K1705+IF(ISNUMBER(L1705),L1705,0))/30),1),""),"")</f>
        <v/>
      </c>
      <c r="T1705" s="21" t="str">
        <f aca="false">IF(AND(F1705="Bilbo",ISNUMBER(J1705),ISNUMBER(K1705)),ROUND(J1705*(1+K1705/30),1),"")</f>
        <v/>
      </c>
      <c r="W1705" s="22"/>
      <c r="X1705" s="21" t="str">
        <f aca="false">IF(AND(F1705="Bilbo",E1705&lt;&gt;"",G1705&lt;&gt;"",H1705&lt;&gt;""),E1705&amp;"|"&amp;G1705&amp;"|"&amp;H1705,"")</f>
        <v/>
      </c>
      <c r="Y1705" s="21" t="str">
        <f aca="false">IF(B1705="","",IF(B1705&lt;&gt;B1704,1,0))</f>
        <v/>
      </c>
    </row>
    <row r="1706" customFormat="false" ht="15" hidden="false" customHeight="true" outlineLevel="0" collapsed="false">
      <c r="A1706" s="21" t="str">
        <f aca="false">IF(B1706="","",ROW()-4)</f>
        <v/>
      </c>
      <c r="B1706" s="22"/>
      <c r="C1706" s="21" t="str">
        <f aca="false">IF(B1706="","",CHOOSE(WEEKDAY(B1706,2),"LUNES","MARTES","MIÉRCOLES","JUEVES","VIERNES","SÁBADO","DOMINGO"))</f>
        <v/>
      </c>
      <c r="M1706" s="23"/>
      <c r="Q1706" s="21" t="str">
        <f aca="false">IF(OR(K1706="",N1706=""),"",K1706-N1706)</f>
        <v/>
      </c>
      <c r="R1706" s="21" t="str">
        <f aca="false">IF(OR(J1706="",K1706=""),"",J1706*K1706)</f>
        <v/>
      </c>
      <c r="S1706" s="21" t="str">
        <f aca="false">IF(AND(ISNUMBER(J1706),ISNUMBER(K1706),F1706&lt;&gt;"Calentamiento",F1706&lt;&gt;"Bilbo"),IF(AND(K1706&gt;0,K1706&lt;=12),ROUND(J1706*(1+(K1706+IF(ISNUMBER(L1706),L1706,0))/30),1),""),"")</f>
        <v/>
      </c>
      <c r="T1706" s="21" t="str">
        <f aca="false">IF(AND(F1706="Bilbo",ISNUMBER(J1706),ISNUMBER(K1706)),ROUND(J1706*(1+K1706/30),1),"")</f>
        <v/>
      </c>
      <c r="W1706" s="22"/>
      <c r="X1706" s="21" t="str">
        <f aca="false">IF(AND(F1706="Bilbo",E1706&lt;&gt;"",G1706&lt;&gt;"",H1706&lt;&gt;""),E1706&amp;"|"&amp;G1706&amp;"|"&amp;H1706,"")</f>
        <v/>
      </c>
      <c r="Y1706" s="21" t="str">
        <f aca="false">IF(B1706="","",IF(B1706&lt;&gt;B1705,1,0))</f>
        <v/>
      </c>
    </row>
    <row r="1707" customFormat="false" ht="15" hidden="false" customHeight="true" outlineLevel="0" collapsed="false">
      <c r="A1707" s="21" t="str">
        <f aca="false">IF(B1707="","",ROW()-4)</f>
        <v/>
      </c>
      <c r="B1707" s="22"/>
      <c r="C1707" s="21" t="str">
        <f aca="false">IF(B1707="","",CHOOSE(WEEKDAY(B1707,2),"LUNES","MARTES","MIÉRCOLES","JUEVES","VIERNES","SÁBADO","DOMINGO"))</f>
        <v/>
      </c>
      <c r="M1707" s="23"/>
      <c r="Q1707" s="21" t="str">
        <f aca="false">IF(OR(K1707="",N1707=""),"",K1707-N1707)</f>
        <v/>
      </c>
      <c r="R1707" s="21" t="str">
        <f aca="false">IF(OR(J1707="",K1707=""),"",J1707*K1707)</f>
        <v/>
      </c>
      <c r="S1707" s="21" t="str">
        <f aca="false">IF(AND(ISNUMBER(J1707),ISNUMBER(K1707),F1707&lt;&gt;"Calentamiento",F1707&lt;&gt;"Bilbo"),IF(AND(K1707&gt;0,K1707&lt;=12),ROUND(J1707*(1+(K1707+IF(ISNUMBER(L1707),L1707,0))/30),1),""),"")</f>
        <v/>
      </c>
      <c r="T1707" s="21" t="str">
        <f aca="false">IF(AND(F1707="Bilbo",ISNUMBER(J1707),ISNUMBER(K1707)),ROUND(J1707*(1+K1707/30),1),"")</f>
        <v/>
      </c>
      <c r="W1707" s="22"/>
      <c r="X1707" s="21" t="str">
        <f aca="false">IF(AND(F1707="Bilbo",E1707&lt;&gt;"",G1707&lt;&gt;"",H1707&lt;&gt;""),E1707&amp;"|"&amp;G1707&amp;"|"&amp;H1707,"")</f>
        <v/>
      </c>
      <c r="Y1707" s="21" t="str">
        <f aca="false">IF(B1707="","",IF(B1707&lt;&gt;B1706,1,0))</f>
        <v/>
      </c>
    </row>
    <row r="1708" customFormat="false" ht="15" hidden="false" customHeight="true" outlineLevel="0" collapsed="false">
      <c r="A1708" s="21" t="str">
        <f aca="false">IF(B1708="","",ROW()-4)</f>
        <v/>
      </c>
      <c r="B1708" s="22"/>
      <c r="C1708" s="21" t="str">
        <f aca="false">IF(B1708="","",CHOOSE(WEEKDAY(B1708,2),"LUNES","MARTES","MIÉRCOLES","JUEVES","VIERNES","SÁBADO","DOMINGO"))</f>
        <v/>
      </c>
      <c r="M1708" s="23"/>
      <c r="Q1708" s="21" t="str">
        <f aca="false">IF(OR(K1708="",N1708=""),"",K1708-N1708)</f>
        <v/>
      </c>
      <c r="R1708" s="21" t="str">
        <f aca="false">IF(OR(J1708="",K1708=""),"",J1708*K1708)</f>
        <v/>
      </c>
      <c r="S1708" s="21" t="str">
        <f aca="false">IF(AND(ISNUMBER(J1708),ISNUMBER(K1708),F1708&lt;&gt;"Calentamiento",F1708&lt;&gt;"Bilbo"),IF(AND(K1708&gt;0,K1708&lt;=12),ROUND(J1708*(1+(K1708+IF(ISNUMBER(L1708),L1708,0))/30),1),""),"")</f>
        <v/>
      </c>
      <c r="T1708" s="21" t="str">
        <f aca="false">IF(AND(F1708="Bilbo",ISNUMBER(J1708),ISNUMBER(K1708)),ROUND(J1708*(1+K1708/30),1),"")</f>
        <v/>
      </c>
      <c r="W1708" s="22"/>
      <c r="X1708" s="21" t="str">
        <f aca="false">IF(AND(F1708="Bilbo",E1708&lt;&gt;"",G1708&lt;&gt;"",H1708&lt;&gt;""),E1708&amp;"|"&amp;G1708&amp;"|"&amp;H1708,"")</f>
        <v/>
      </c>
      <c r="Y1708" s="21" t="str">
        <f aca="false">IF(B1708="","",IF(B1708&lt;&gt;B1707,1,0))</f>
        <v/>
      </c>
    </row>
    <row r="1709" customFormat="false" ht="15" hidden="false" customHeight="true" outlineLevel="0" collapsed="false">
      <c r="A1709" s="21" t="str">
        <f aca="false">IF(B1709="","",ROW()-4)</f>
        <v/>
      </c>
      <c r="B1709" s="22"/>
      <c r="C1709" s="21" t="str">
        <f aca="false">IF(B1709="","",CHOOSE(WEEKDAY(B1709,2),"LUNES","MARTES","MIÉRCOLES","JUEVES","VIERNES","SÁBADO","DOMINGO"))</f>
        <v/>
      </c>
      <c r="M1709" s="23"/>
      <c r="Q1709" s="21" t="str">
        <f aca="false">IF(OR(K1709="",N1709=""),"",K1709-N1709)</f>
        <v/>
      </c>
      <c r="R1709" s="21" t="str">
        <f aca="false">IF(OR(J1709="",K1709=""),"",J1709*K1709)</f>
        <v/>
      </c>
      <c r="S1709" s="21" t="str">
        <f aca="false">IF(AND(ISNUMBER(J1709),ISNUMBER(K1709),F1709&lt;&gt;"Calentamiento",F1709&lt;&gt;"Bilbo"),IF(AND(K1709&gt;0,K1709&lt;=12),ROUND(J1709*(1+(K1709+IF(ISNUMBER(L1709),L1709,0))/30),1),""),"")</f>
        <v/>
      </c>
      <c r="T1709" s="21" t="str">
        <f aca="false">IF(AND(F1709="Bilbo",ISNUMBER(J1709),ISNUMBER(K1709)),ROUND(J1709*(1+K1709/30),1),"")</f>
        <v/>
      </c>
      <c r="W1709" s="22"/>
      <c r="X1709" s="21" t="str">
        <f aca="false">IF(AND(F1709="Bilbo",E1709&lt;&gt;"",G1709&lt;&gt;"",H1709&lt;&gt;""),E1709&amp;"|"&amp;G1709&amp;"|"&amp;H1709,"")</f>
        <v/>
      </c>
      <c r="Y1709" s="21" t="str">
        <f aca="false">IF(B1709="","",IF(B1709&lt;&gt;B1708,1,0))</f>
        <v/>
      </c>
    </row>
    <row r="1710" customFormat="false" ht="15" hidden="false" customHeight="true" outlineLevel="0" collapsed="false">
      <c r="A1710" s="21" t="str">
        <f aca="false">IF(B1710="","",ROW()-4)</f>
        <v/>
      </c>
      <c r="B1710" s="22"/>
      <c r="C1710" s="21" t="str">
        <f aca="false">IF(B1710="","",CHOOSE(WEEKDAY(B1710,2),"LUNES","MARTES","MIÉRCOLES","JUEVES","VIERNES","SÁBADO","DOMINGO"))</f>
        <v/>
      </c>
      <c r="M1710" s="23"/>
      <c r="Q1710" s="21" t="str">
        <f aca="false">IF(OR(K1710="",N1710=""),"",K1710-N1710)</f>
        <v/>
      </c>
      <c r="R1710" s="21" t="str">
        <f aca="false">IF(OR(J1710="",K1710=""),"",J1710*K1710)</f>
        <v/>
      </c>
      <c r="S1710" s="21" t="str">
        <f aca="false">IF(AND(ISNUMBER(J1710),ISNUMBER(K1710),F1710&lt;&gt;"Calentamiento",F1710&lt;&gt;"Bilbo"),IF(AND(K1710&gt;0,K1710&lt;=12),ROUND(J1710*(1+(K1710+IF(ISNUMBER(L1710),L1710,0))/30),1),""),"")</f>
        <v/>
      </c>
      <c r="T1710" s="21" t="str">
        <f aca="false">IF(AND(F1710="Bilbo",ISNUMBER(J1710),ISNUMBER(K1710)),ROUND(J1710*(1+K1710/30),1),"")</f>
        <v/>
      </c>
      <c r="W1710" s="22"/>
      <c r="X1710" s="21" t="str">
        <f aca="false">IF(AND(F1710="Bilbo",E1710&lt;&gt;"",G1710&lt;&gt;"",H1710&lt;&gt;""),E1710&amp;"|"&amp;G1710&amp;"|"&amp;H1710,"")</f>
        <v/>
      </c>
      <c r="Y1710" s="21" t="str">
        <f aca="false">IF(B1710="","",IF(B1710&lt;&gt;B1709,1,0))</f>
        <v/>
      </c>
    </row>
    <row r="1711" customFormat="false" ht="15" hidden="false" customHeight="true" outlineLevel="0" collapsed="false">
      <c r="A1711" s="21" t="str">
        <f aca="false">IF(B1711="","",ROW()-4)</f>
        <v/>
      </c>
      <c r="B1711" s="22"/>
      <c r="C1711" s="21" t="str">
        <f aca="false">IF(B1711="","",CHOOSE(WEEKDAY(B1711,2),"LUNES","MARTES","MIÉRCOLES","JUEVES","VIERNES","SÁBADO","DOMINGO"))</f>
        <v/>
      </c>
      <c r="M1711" s="23"/>
      <c r="Q1711" s="21" t="str">
        <f aca="false">IF(OR(K1711="",N1711=""),"",K1711-N1711)</f>
        <v/>
      </c>
      <c r="R1711" s="21" t="str">
        <f aca="false">IF(OR(J1711="",K1711=""),"",J1711*K1711)</f>
        <v/>
      </c>
      <c r="S1711" s="21" t="str">
        <f aca="false">IF(AND(ISNUMBER(J1711),ISNUMBER(K1711),F1711&lt;&gt;"Calentamiento",F1711&lt;&gt;"Bilbo"),IF(AND(K1711&gt;0,K1711&lt;=12),ROUND(J1711*(1+(K1711+IF(ISNUMBER(L1711),L1711,0))/30),1),""),"")</f>
        <v/>
      </c>
      <c r="T1711" s="21" t="str">
        <f aca="false">IF(AND(F1711="Bilbo",ISNUMBER(J1711),ISNUMBER(K1711)),ROUND(J1711*(1+K1711/30),1),"")</f>
        <v/>
      </c>
      <c r="W1711" s="22"/>
      <c r="X1711" s="21" t="str">
        <f aca="false">IF(AND(F1711="Bilbo",E1711&lt;&gt;"",G1711&lt;&gt;"",H1711&lt;&gt;""),E1711&amp;"|"&amp;G1711&amp;"|"&amp;H1711,"")</f>
        <v/>
      </c>
      <c r="Y1711" s="21" t="str">
        <f aca="false">IF(B1711="","",IF(B1711&lt;&gt;B1710,1,0))</f>
        <v/>
      </c>
    </row>
    <row r="1712" customFormat="false" ht="15" hidden="false" customHeight="true" outlineLevel="0" collapsed="false">
      <c r="A1712" s="21" t="str">
        <f aca="false">IF(B1712="","",ROW()-4)</f>
        <v/>
      </c>
      <c r="B1712" s="22"/>
      <c r="C1712" s="21" t="str">
        <f aca="false">IF(B1712="","",CHOOSE(WEEKDAY(B1712,2),"LUNES","MARTES","MIÉRCOLES","JUEVES","VIERNES","SÁBADO","DOMINGO"))</f>
        <v/>
      </c>
      <c r="M1712" s="23"/>
      <c r="Q1712" s="21" t="str">
        <f aca="false">IF(OR(K1712="",N1712=""),"",K1712-N1712)</f>
        <v/>
      </c>
      <c r="R1712" s="21" t="str">
        <f aca="false">IF(OR(J1712="",K1712=""),"",J1712*K1712)</f>
        <v/>
      </c>
      <c r="S1712" s="21" t="str">
        <f aca="false">IF(AND(ISNUMBER(J1712),ISNUMBER(K1712),F1712&lt;&gt;"Calentamiento",F1712&lt;&gt;"Bilbo"),IF(AND(K1712&gt;0,K1712&lt;=12),ROUND(J1712*(1+(K1712+IF(ISNUMBER(L1712),L1712,0))/30),1),""),"")</f>
        <v/>
      </c>
      <c r="T1712" s="21" t="str">
        <f aca="false">IF(AND(F1712="Bilbo",ISNUMBER(J1712),ISNUMBER(K1712)),ROUND(J1712*(1+K1712/30),1),"")</f>
        <v/>
      </c>
      <c r="W1712" s="22"/>
      <c r="X1712" s="21" t="str">
        <f aca="false">IF(AND(F1712="Bilbo",E1712&lt;&gt;"",G1712&lt;&gt;"",H1712&lt;&gt;""),E1712&amp;"|"&amp;G1712&amp;"|"&amp;H1712,"")</f>
        <v/>
      </c>
      <c r="Y1712" s="21" t="str">
        <f aca="false">IF(B1712="","",IF(B1712&lt;&gt;B1711,1,0))</f>
        <v/>
      </c>
    </row>
    <row r="1713" customFormat="false" ht="15" hidden="false" customHeight="true" outlineLevel="0" collapsed="false">
      <c r="A1713" s="21" t="str">
        <f aca="false">IF(B1713="","",ROW()-4)</f>
        <v/>
      </c>
      <c r="B1713" s="22"/>
      <c r="C1713" s="21" t="str">
        <f aca="false">IF(B1713="","",CHOOSE(WEEKDAY(B1713,2),"LUNES","MARTES","MIÉRCOLES","JUEVES","VIERNES","SÁBADO","DOMINGO"))</f>
        <v/>
      </c>
      <c r="M1713" s="23"/>
      <c r="Q1713" s="21" t="str">
        <f aca="false">IF(OR(K1713="",N1713=""),"",K1713-N1713)</f>
        <v/>
      </c>
      <c r="R1713" s="21" t="str">
        <f aca="false">IF(OR(J1713="",K1713=""),"",J1713*K1713)</f>
        <v/>
      </c>
      <c r="S1713" s="21" t="str">
        <f aca="false">IF(AND(ISNUMBER(J1713),ISNUMBER(K1713),F1713&lt;&gt;"Calentamiento",F1713&lt;&gt;"Bilbo"),IF(AND(K1713&gt;0,K1713&lt;=12),ROUND(J1713*(1+(K1713+IF(ISNUMBER(L1713),L1713,0))/30),1),""),"")</f>
        <v/>
      </c>
      <c r="T1713" s="21" t="str">
        <f aca="false">IF(AND(F1713="Bilbo",ISNUMBER(J1713),ISNUMBER(K1713)),ROUND(J1713*(1+K1713/30),1),"")</f>
        <v/>
      </c>
      <c r="W1713" s="22"/>
      <c r="X1713" s="21" t="str">
        <f aca="false">IF(AND(F1713="Bilbo",E1713&lt;&gt;"",G1713&lt;&gt;"",H1713&lt;&gt;""),E1713&amp;"|"&amp;G1713&amp;"|"&amp;H1713,"")</f>
        <v/>
      </c>
      <c r="Y1713" s="21" t="str">
        <f aca="false">IF(B1713="","",IF(B1713&lt;&gt;B1712,1,0))</f>
        <v/>
      </c>
    </row>
    <row r="1714" customFormat="false" ht="15" hidden="false" customHeight="true" outlineLevel="0" collapsed="false">
      <c r="A1714" s="21" t="str">
        <f aca="false">IF(B1714="","",ROW()-4)</f>
        <v/>
      </c>
      <c r="B1714" s="22"/>
      <c r="C1714" s="21" t="str">
        <f aca="false">IF(B1714="","",CHOOSE(WEEKDAY(B1714,2),"LUNES","MARTES","MIÉRCOLES","JUEVES","VIERNES","SÁBADO","DOMINGO"))</f>
        <v/>
      </c>
      <c r="M1714" s="23"/>
      <c r="Q1714" s="21" t="str">
        <f aca="false">IF(OR(K1714="",N1714=""),"",K1714-N1714)</f>
        <v/>
      </c>
      <c r="R1714" s="21" t="str">
        <f aca="false">IF(OR(J1714="",K1714=""),"",J1714*K1714)</f>
        <v/>
      </c>
      <c r="S1714" s="21" t="str">
        <f aca="false">IF(AND(ISNUMBER(J1714),ISNUMBER(K1714),F1714&lt;&gt;"Calentamiento",F1714&lt;&gt;"Bilbo"),IF(AND(K1714&gt;0,K1714&lt;=12),ROUND(J1714*(1+(K1714+IF(ISNUMBER(L1714),L1714,0))/30),1),""),"")</f>
        <v/>
      </c>
      <c r="T1714" s="21" t="str">
        <f aca="false">IF(AND(F1714="Bilbo",ISNUMBER(J1714),ISNUMBER(K1714)),ROUND(J1714*(1+K1714/30),1),"")</f>
        <v/>
      </c>
      <c r="W1714" s="22"/>
      <c r="X1714" s="21" t="str">
        <f aca="false">IF(AND(F1714="Bilbo",E1714&lt;&gt;"",G1714&lt;&gt;"",H1714&lt;&gt;""),E1714&amp;"|"&amp;G1714&amp;"|"&amp;H1714,"")</f>
        <v/>
      </c>
      <c r="Y1714" s="21" t="str">
        <f aca="false">IF(B1714="","",IF(B1714&lt;&gt;B1713,1,0))</f>
        <v/>
      </c>
    </row>
    <row r="1715" customFormat="false" ht="15" hidden="false" customHeight="true" outlineLevel="0" collapsed="false">
      <c r="A1715" s="21" t="str">
        <f aca="false">IF(B1715="","",ROW()-4)</f>
        <v/>
      </c>
      <c r="B1715" s="22"/>
      <c r="C1715" s="21" t="str">
        <f aca="false">IF(B1715="","",CHOOSE(WEEKDAY(B1715,2),"LUNES","MARTES","MIÉRCOLES","JUEVES","VIERNES","SÁBADO","DOMINGO"))</f>
        <v/>
      </c>
      <c r="M1715" s="23"/>
      <c r="Q1715" s="21" t="str">
        <f aca="false">IF(OR(K1715="",N1715=""),"",K1715-N1715)</f>
        <v/>
      </c>
      <c r="R1715" s="21" t="str">
        <f aca="false">IF(OR(J1715="",K1715=""),"",J1715*K1715)</f>
        <v/>
      </c>
      <c r="S1715" s="21" t="str">
        <f aca="false">IF(AND(ISNUMBER(J1715),ISNUMBER(K1715),F1715&lt;&gt;"Calentamiento",F1715&lt;&gt;"Bilbo"),IF(AND(K1715&gt;0,K1715&lt;=12),ROUND(J1715*(1+(K1715+IF(ISNUMBER(L1715),L1715,0))/30),1),""),"")</f>
        <v/>
      </c>
      <c r="T1715" s="21" t="str">
        <f aca="false">IF(AND(F1715="Bilbo",ISNUMBER(J1715),ISNUMBER(K1715)),ROUND(J1715*(1+K1715/30),1),"")</f>
        <v/>
      </c>
      <c r="W1715" s="22"/>
      <c r="X1715" s="21" t="str">
        <f aca="false">IF(AND(F1715="Bilbo",E1715&lt;&gt;"",G1715&lt;&gt;"",H1715&lt;&gt;""),E1715&amp;"|"&amp;G1715&amp;"|"&amp;H1715,"")</f>
        <v/>
      </c>
      <c r="Y1715" s="21" t="str">
        <f aca="false">IF(B1715="","",IF(B1715&lt;&gt;B1714,1,0))</f>
        <v/>
      </c>
    </row>
    <row r="1716" customFormat="false" ht="15" hidden="false" customHeight="true" outlineLevel="0" collapsed="false">
      <c r="A1716" s="21" t="str">
        <f aca="false">IF(B1716="","",ROW()-4)</f>
        <v/>
      </c>
      <c r="B1716" s="22"/>
      <c r="C1716" s="21" t="str">
        <f aca="false">IF(B1716="","",CHOOSE(WEEKDAY(B1716,2),"LUNES","MARTES","MIÉRCOLES","JUEVES","VIERNES","SÁBADO","DOMINGO"))</f>
        <v/>
      </c>
      <c r="M1716" s="23"/>
      <c r="Q1716" s="21" t="str">
        <f aca="false">IF(OR(K1716="",N1716=""),"",K1716-N1716)</f>
        <v/>
      </c>
      <c r="R1716" s="21" t="str">
        <f aca="false">IF(OR(J1716="",K1716=""),"",J1716*K1716)</f>
        <v/>
      </c>
      <c r="S1716" s="21" t="str">
        <f aca="false">IF(AND(ISNUMBER(J1716),ISNUMBER(K1716),F1716&lt;&gt;"Calentamiento",F1716&lt;&gt;"Bilbo"),IF(AND(K1716&gt;0,K1716&lt;=12),ROUND(J1716*(1+(K1716+IF(ISNUMBER(L1716),L1716,0))/30),1),""),"")</f>
        <v/>
      </c>
      <c r="T1716" s="21" t="str">
        <f aca="false">IF(AND(F1716="Bilbo",ISNUMBER(J1716),ISNUMBER(K1716)),ROUND(J1716*(1+K1716/30),1),"")</f>
        <v/>
      </c>
      <c r="W1716" s="22"/>
      <c r="X1716" s="21" t="str">
        <f aca="false">IF(AND(F1716="Bilbo",E1716&lt;&gt;"",G1716&lt;&gt;"",H1716&lt;&gt;""),E1716&amp;"|"&amp;G1716&amp;"|"&amp;H1716,"")</f>
        <v/>
      </c>
      <c r="Y1716" s="21" t="str">
        <f aca="false">IF(B1716="","",IF(B1716&lt;&gt;B1715,1,0))</f>
        <v/>
      </c>
    </row>
    <row r="1717" customFormat="false" ht="15" hidden="false" customHeight="true" outlineLevel="0" collapsed="false">
      <c r="A1717" s="21" t="str">
        <f aca="false">IF(B1717="","",ROW()-4)</f>
        <v/>
      </c>
      <c r="B1717" s="22"/>
      <c r="C1717" s="21" t="str">
        <f aca="false">IF(B1717="","",CHOOSE(WEEKDAY(B1717,2),"LUNES","MARTES","MIÉRCOLES","JUEVES","VIERNES","SÁBADO","DOMINGO"))</f>
        <v/>
      </c>
      <c r="M1717" s="23"/>
      <c r="Q1717" s="21" t="str">
        <f aca="false">IF(OR(K1717="",N1717=""),"",K1717-N1717)</f>
        <v/>
      </c>
      <c r="R1717" s="21" t="str">
        <f aca="false">IF(OR(J1717="",K1717=""),"",J1717*K1717)</f>
        <v/>
      </c>
      <c r="S1717" s="21" t="str">
        <f aca="false">IF(AND(ISNUMBER(J1717),ISNUMBER(K1717),F1717&lt;&gt;"Calentamiento",F1717&lt;&gt;"Bilbo"),IF(AND(K1717&gt;0,K1717&lt;=12),ROUND(J1717*(1+(K1717+IF(ISNUMBER(L1717),L1717,0))/30),1),""),"")</f>
        <v/>
      </c>
      <c r="T1717" s="21" t="str">
        <f aca="false">IF(AND(F1717="Bilbo",ISNUMBER(J1717),ISNUMBER(K1717)),ROUND(J1717*(1+K1717/30),1),"")</f>
        <v/>
      </c>
      <c r="W1717" s="22"/>
      <c r="X1717" s="21" t="str">
        <f aca="false">IF(AND(F1717="Bilbo",E1717&lt;&gt;"",G1717&lt;&gt;"",H1717&lt;&gt;""),E1717&amp;"|"&amp;G1717&amp;"|"&amp;H1717,"")</f>
        <v/>
      </c>
      <c r="Y1717" s="21" t="str">
        <f aca="false">IF(B1717="","",IF(B1717&lt;&gt;B1716,1,0))</f>
        <v/>
      </c>
    </row>
    <row r="1718" customFormat="false" ht="15" hidden="false" customHeight="true" outlineLevel="0" collapsed="false">
      <c r="A1718" s="21" t="str">
        <f aca="false">IF(B1718="","",ROW()-4)</f>
        <v/>
      </c>
      <c r="B1718" s="22"/>
      <c r="C1718" s="21" t="str">
        <f aca="false">IF(B1718="","",CHOOSE(WEEKDAY(B1718,2),"LUNES","MARTES","MIÉRCOLES","JUEVES","VIERNES","SÁBADO","DOMINGO"))</f>
        <v/>
      </c>
      <c r="M1718" s="23"/>
      <c r="Q1718" s="21" t="str">
        <f aca="false">IF(OR(K1718="",N1718=""),"",K1718-N1718)</f>
        <v/>
      </c>
      <c r="R1718" s="21" t="str">
        <f aca="false">IF(OR(J1718="",K1718=""),"",J1718*K1718)</f>
        <v/>
      </c>
      <c r="S1718" s="21" t="str">
        <f aca="false">IF(AND(ISNUMBER(J1718),ISNUMBER(K1718),F1718&lt;&gt;"Calentamiento",F1718&lt;&gt;"Bilbo"),IF(AND(K1718&gt;0,K1718&lt;=12),ROUND(J1718*(1+(K1718+IF(ISNUMBER(L1718),L1718,0))/30),1),""),"")</f>
        <v/>
      </c>
      <c r="T1718" s="21" t="str">
        <f aca="false">IF(AND(F1718="Bilbo",ISNUMBER(J1718),ISNUMBER(K1718)),ROUND(J1718*(1+K1718/30),1),"")</f>
        <v/>
      </c>
      <c r="W1718" s="22"/>
      <c r="X1718" s="21" t="str">
        <f aca="false">IF(AND(F1718="Bilbo",E1718&lt;&gt;"",G1718&lt;&gt;"",H1718&lt;&gt;""),E1718&amp;"|"&amp;G1718&amp;"|"&amp;H1718,"")</f>
        <v/>
      </c>
      <c r="Y1718" s="21" t="str">
        <f aca="false">IF(B1718="","",IF(B1718&lt;&gt;B1717,1,0))</f>
        <v/>
      </c>
    </row>
    <row r="1719" customFormat="false" ht="15" hidden="false" customHeight="true" outlineLevel="0" collapsed="false">
      <c r="A1719" s="21" t="str">
        <f aca="false">IF(B1719="","",ROW()-4)</f>
        <v/>
      </c>
      <c r="B1719" s="22"/>
      <c r="C1719" s="21" t="str">
        <f aca="false">IF(B1719="","",CHOOSE(WEEKDAY(B1719,2),"LUNES","MARTES","MIÉRCOLES","JUEVES","VIERNES","SÁBADO","DOMINGO"))</f>
        <v/>
      </c>
      <c r="M1719" s="23"/>
      <c r="Q1719" s="21" t="str">
        <f aca="false">IF(OR(K1719="",N1719=""),"",K1719-N1719)</f>
        <v/>
      </c>
      <c r="R1719" s="21" t="str">
        <f aca="false">IF(OR(J1719="",K1719=""),"",J1719*K1719)</f>
        <v/>
      </c>
      <c r="S1719" s="21" t="str">
        <f aca="false">IF(AND(ISNUMBER(J1719),ISNUMBER(K1719),F1719&lt;&gt;"Calentamiento",F1719&lt;&gt;"Bilbo"),IF(AND(K1719&gt;0,K1719&lt;=12),ROUND(J1719*(1+(K1719+IF(ISNUMBER(L1719),L1719,0))/30),1),""),"")</f>
        <v/>
      </c>
      <c r="T1719" s="21" t="str">
        <f aca="false">IF(AND(F1719="Bilbo",ISNUMBER(J1719),ISNUMBER(K1719)),ROUND(J1719*(1+K1719/30),1),"")</f>
        <v/>
      </c>
      <c r="W1719" s="22"/>
      <c r="X1719" s="21" t="str">
        <f aca="false">IF(AND(F1719="Bilbo",E1719&lt;&gt;"",G1719&lt;&gt;"",H1719&lt;&gt;""),E1719&amp;"|"&amp;G1719&amp;"|"&amp;H1719,"")</f>
        <v/>
      </c>
      <c r="Y1719" s="21" t="str">
        <f aca="false">IF(B1719="","",IF(B1719&lt;&gt;B1718,1,0))</f>
        <v/>
      </c>
    </row>
    <row r="1720" customFormat="false" ht="15" hidden="false" customHeight="true" outlineLevel="0" collapsed="false">
      <c r="A1720" s="21" t="str">
        <f aca="false">IF(B1720="","",ROW()-4)</f>
        <v/>
      </c>
      <c r="B1720" s="22"/>
      <c r="C1720" s="21" t="str">
        <f aca="false">IF(B1720="","",CHOOSE(WEEKDAY(B1720,2),"LUNES","MARTES","MIÉRCOLES","JUEVES","VIERNES","SÁBADO","DOMINGO"))</f>
        <v/>
      </c>
      <c r="M1720" s="23"/>
      <c r="Q1720" s="21" t="str">
        <f aca="false">IF(OR(K1720="",N1720=""),"",K1720-N1720)</f>
        <v/>
      </c>
      <c r="R1720" s="21" t="str">
        <f aca="false">IF(OR(J1720="",K1720=""),"",J1720*K1720)</f>
        <v/>
      </c>
      <c r="S1720" s="21" t="str">
        <f aca="false">IF(AND(ISNUMBER(J1720),ISNUMBER(K1720),F1720&lt;&gt;"Calentamiento",F1720&lt;&gt;"Bilbo"),IF(AND(K1720&gt;0,K1720&lt;=12),ROUND(J1720*(1+(K1720+IF(ISNUMBER(L1720),L1720,0))/30),1),""),"")</f>
        <v/>
      </c>
      <c r="T1720" s="21" t="str">
        <f aca="false">IF(AND(F1720="Bilbo",ISNUMBER(J1720),ISNUMBER(K1720)),ROUND(J1720*(1+K1720/30),1),"")</f>
        <v/>
      </c>
      <c r="W1720" s="22"/>
      <c r="X1720" s="21" t="str">
        <f aca="false">IF(AND(F1720="Bilbo",E1720&lt;&gt;"",G1720&lt;&gt;"",H1720&lt;&gt;""),E1720&amp;"|"&amp;G1720&amp;"|"&amp;H1720,"")</f>
        <v/>
      </c>
      <c r="Y1720" s="21" t="str">
        <f aca="false">IF(B1720="","",IF(B1720&lt;&gt;B1719,1,0))</f>
        <v/>
      </c>
    </row>
    <row r="1721" customFormat="false" ht="15" hidden="false" customHeight="true" outlineLevel="0" collapsed="false">
      <c r="A1721" s="21" t="str">
        <f aca="false">IF(B1721="","",ROW()-4)</f>
        <v/>
      </c>
      <c r="B1721" s="22"/>
      <c r="C1721" s="21" t="str">
        <f aca="false">IF(B1721="","",CHOOSE(WEEKDAY(B1721,2),"LUNES","MARTES","MIÉRCOLES","JUEVES","VIERNES","SÁBADO","DOMINGO"))</f>
        <v/>
      </c>
      <c r="M1721" s="23"/>
      <c r="Q1721" s="21" t="str">
        <f aca="false">IF(OR(K1721="",N1721=""),"",K1721-N1721)</f>
        <v/>
      </c>
      <c r="R1721" s="21" t="str">
        <f aca="false">IF(OR(J1721="",K1721=""),"",J1721*K1721)</f>
        <v/>
      </c>
      <c r="S1721" s="21" t="str">
        <f aca="false">IF(AND(ISNUMBER(J1721),ISNUMBER(K1721),F1721&lt;&gt;"Calentamiento",F1721&lt;&gt;"Bilbo"),IF(AND(K1721&gt;0,K1721&lt;=12),ROUND(J1721*(1+(K1721+IF(ISNUMBER(L1721),L1721,0))/30),1),""),"")</f>
        <v/>
      </c>
      <c r="T1721" s="21" t="str">
        <f aca="false">IF(AND(F1721="Bilbo",ISNUMBER(J1721),ISNUMBER(K1721)),ROUND(J1721*(1+K1721/30),1),"")</f>
        <v/>
      </c>
      <c r="W1721" s="22"/>
      <c r="X1721" s="21" t="str">
        <f aca="false">IF(AND(F1721="Bilbo",E1721&lt;&gt;"",G1721&lt;&gt;"",H1721&lt;&gt;""),E1721&amp;"|"&amp;G1721&amp;"|"&amp;H1721,"")</f>
        <v/>
      </c>
      <c r="Y1721" s="21" t="str">
        <f aca="false">IF(B1721="","",IF(B1721&lt;&gt;B1720,1,0))</f>
        <v/>
      </c>
    </row>
    <row r="1722" customFormat="false" ht="15" hidden="false" customHeight="true" outlineLevel="0" collapsed="false">
      <c r="A1722" s="21" t="str">
        <f aca="false">IF(B1722="","",ROW()-4)</f>
        <v/>
      </c>
      <c r="B1722" s="22"/>
      <c r="C1722" s="21" t="str">
        <f aca="false">IF(B1722="","",CHOOSE(WEEKDAY(B1722,2),"LUNES","MARTES","MIÉRCOLES","JUEVES","VIERNES","SÁBADO","DOMINGO"))</f>
        <v/>
      </c>
      <c r="M1722" s="23"/>
      <c r="Q1722" s="21" t="str">
        <f aca="false">IF(OR(K1722="",N1722=""),"",K1722-N1722)</f>
        <v/>
      </c>
      <c r="R1722" s="21" t="str">
        <f aca="false">IF(OR(J1722="",K1722=""),"",J1722*K1722)</f>
        <v/>
      </c>
      <c r="S1722" s="21" t="str">
        <f aca="false">IF(AND(ISNUMBER(J1722),ISNUMBER(K1722),F1722&lt;&gt;"Calentamiento",F1722&lt;&gt;"Bilbo"),IF(AND(K1722&gt;0,K1722&lt;=12),ROUND(J1722*(1+(K1722+IF(ISNUMBER(L1722),L1722,0))/30),1),""),"")</f>
        <v/>
      </c>
      <c r="T1722" s="21" t="str">
        <f aca="false">IF(AND(F1722="Bilbo",ISNUMBER(J1722),ISNUMBER(K1722)),ROUND(J1722*(1+K1722/30),1),"")</f>
        <v/>
      </c>
      <c r="W1722" s="22"/>
      <c r="X1722" s="21" t="str">
        <f aca="false">IF(AND(F1722="Bilbo",E1722&lt;&gt;"",G1722&lt;&gt;"",H1722&lt;&gt;""),E1722&amp;"|"&amp;G1722&amp;"|"&amp;H1722,"")</f>
        <v/>
      </c>
      <c r="Y1722" s="21" t="str">
        <f aca="false">IF(B1722="","",IF(B1722&lt;&gt;B1721,1,0))</f>
        <v/>
      </c>
    </row>
    <row r="1723" customFormat="false" ht="15" hidden="false" customHeight="true" outlineLevel="0" collapsed="false">
      <c r="A1723" s="21" t="str">
        <f aca="false">IF(B1723="","",ROW()-4)</f>
        <v/>
      </c>
      <c r="B1723" s="22"/>
      <c r="C1723" s="21" t="str">
        <f aca="false">IF(B1723="","",CHOOSE(WEEKDAY(B1723,2),"LUNES","MARTES","MIÉRCOLES","JUEVES","VIERNES","SÁBADO","DOMINGO"))</f>
        <v/>
      </c>
      <c r="M1723" s="23"/>
      <c r="Q1723" s="21" t="str">
        <f aca="false">IF(OR(K1723="",N1723=""),"",K1723-N1723)</f>
        <v/>
      </c>
      <c r="R1723" s="21" t="str">
        <f aca="false">IF(OR(J1723="",K1723=""),"",J1723*K1723)</f>
        <v/>
      </c>
      <c r="S1723" s="21" t="str">
        <f aca="false">IF(AND(ISNUMBER(J1723),ISNUMBER(K1723),F1723&lt;&gt;"Calentamiento",F1723&lt;&gt;"Bilbo"),IF(AND(K1723&gt;0,K1723&lt;=12),ROUND(J1723*(1+(K1723+IF(ISNUMBER(L1723),L1723,0))/30),1),""),"")</f>
        <v/>
      </c>
      <c r="T1723" s="21" t="str">
        <f aca="false">IF(AND(F1723="Bilbo",ISNUMBER(J1723),ISNUMBER(K1723)),ROUND(J1723*(1+K1723/30),1),"")</f>
        <v/>
      </c>
      <c r="W1723" s="22"/>
      <c r="X1723" s="21" t="str">
        <f aca="false">IF(AND(F1723="Bilbo",E1723&lt;&gt;"",G1723&lt;&gt;"",H1723&lt;&gt;""),E1723&amp;"|"&amp;G1723&amp;"|"&amp;H1723,"")</f>
        <v/>
      </c>
      <c r="Y1723" s="21" t="str">
        <f aca="false">IF(B1723="","",IF(B1723&lt;&gt;B1722,1,0))</f>
        <v/>
      </c>
    </row>
    <row r="1724" customFormat="false" ht="15" hidden="false" customHeight="true" outlineLevel="0" collapsed="false">
      <c r="A1724" s="21" t="str">
        <f aca="false">IF(B1724="","",ROW()-4)</f>
        <v/>
      </c>
      <c r="B1724" s="22"/>
      <c r="C1724" s="21" t="str">
        <f aca="false">IF(B1724="","",CHOOSE(WEEKDAY(B1724,2),"LUNES","MARTES","MIÉRCOLES","JUEVES","VIERNES","SÁBADO","DOMINGO"))</f>
        <v/>
      </c>
      <c r="M1724" s="23"/>
      <c r="Q1724" s="21" t="str">
        <f aca="false">IF(OR(K1724="",N1724=""),"",K1724-N1724)</f>
        <v/>
      </c>
      <c r="R1724" s="21" t="str">
        <f aca="false">IF(OR(J1724="",K1724=""),"",J1724*K1724)</f>
        <v/>
      </c>
      <c r="S1724" s="21" t="str">
        <f aca="false">IF(AND(ISNUMBER(J1724),ISNUMBER(K1724),F1724&lt;&gt;"Calentamiento",F1724&lt;&gt;"Bilbo"),IF(AND(K1724&gt;0,K1724&lt;=12),ROUND(J1724*(1+(K1724+IF(ISNUMBER(L1724),L1724,0))/30),1),""),"")</f>
        <v/>
      </c>
      <c r="T1724" s="21" t="str">
        <f aca="false">IF(AND(F1724="Bilbo",ISNUMBER(J1724),ISNUMBER(K1724)),ROUND(J1724*(1+K1724/30),1),"")</f>
        <v/>
      </c>
      <c r="W1724" s="22"/>
      <c r="X1724" s="21" t="str">
        <f aca="false">IF(AND(F1724="Bilbo",E1724&lt;&gt;"",G1724&lt;&gt;"",H1724&lt;&gt;""),E1724&amp;"|"&amp;G1724&amp;"|"&amp;H1724,"")</f>
        <v/>
      </c>
      <c r="Y1724" s="21" t="str">
        <f aca="false">IF(B1724="","",IF(B1724&lt;&gt;B1723,1,0))</f>
        <v/>
      </c>
    </row>
    <row r="1725" customFormat="false" ht="15" hidden="false" customHeight="true" outlineLevel="0" collapsed="false">
      <c r="A1725" s="21" t="str">
        <f aca="false">IF(B1725="","",ROW()-4)</f>
        <v/>
      </c>
      <c r="B1725" s="22"/>
      <c r="C1725" s="21" t="str">
        <f aca="false">IF(B1725="","",CHOOSE(WEEKDAY(B1725,2),"LUNES","MARTES","MIÉRCOLES","JUEVES","VIERNES","SÁBADO","DOMINGO"))</f>
        <v/>
      </c>
      <c r="M1725" s="23"/>
      <c r="Q1725" s="21" t="str">
        <f aca="false">IF(OR(K1725="",N1725=""),"",K1725-N1725)</f>
        <v/>
      </c>
      <c r="R1725" s="21" t="str">
        <f aca="false">IF(OR(J1725="",K1725=""),"",J1725*K1725)</f>
        <v/>
      </c>
      <c r="S1725" s="21" t="str">
        <f aca="false">IF(AND(ISNUMBER(J1725),ISNUMBER(K1725),F1725&lt;&gt;"Calentamiento",F1725&lt;&gt;"Bilbo"),IF(AND(K1725&gt;0,K1725&lt;=12),ROUND(J1725*(1+(K1725+IF(ISNUMBER(L1725),L1725,0))/30),1),""),"")</f>
        <v/>
      </c>
      <c r="T1725" s="21" t="str">
        <f aca="false">IF(AND(F1725="Bilbo",ISNUMBER(J1725),ISNUMBER(K1725)),ROUND(J1725*(1+K1725/30),1),"")</f>
        <v/>
      </c>
      <c r="W1725" s="22"/>
      <c r="X1725" s="21" t="str">
        <f aca="false">IF(AND(F1725="Bilbo",E1725&lt;&gt;"",G1725&lt;&gt;"",H1725&lt;&gt;""),E1725&amp;"|"&amp;G1725&amp;"|"&amp;H1725,"")</f>
        <v/>
      </c>
      <c r="Y1725" s="21" t="str">
        <f aca="false">IF(B1725="","",IF(B1725&lt;&gt;B1724,1,0))</f>
        <v/>
      </c>
    </row>
    <row r="1726" customFormat="false" ht="15" hidden="false" customHeight="true" outlineLevel="0" collapsed="false">
      <c r="A1726" s="21" t="str">
        <f aca="false">IF(B1726="","",ROW()-4)</f>
        <v/>
      </c>
      <c r="B1726" s="22"/>
      <c r="C1726" s="21" t="str">
        <f aca="false">IF(B1726="","",CHOOSE(WEEKDAY(B1726,2),"LUNES","MARTES","MIÉRCOLES","JUEVES","VIERNES","SÁBADO","DOMINGO"))</f>
        <v/>
      </c>
      <c r="M1726" s="23"/>
      <c r="Q1726" s="21" t="str">
        <f aca="false">IF(OR(K1726="",N1726=""),"",K1726-N1726)</f>
        <v/>
      </c>
      <c r="R1726" s="21" t="str">
        <f aca="false">IF(OR(J1726="",K1726=""),"",J1726*K1726)</f>
        <v/>
      </c>
      <c r="S1726" s="21" t="str">
        <f aca="false">IF(AND(ISNUMBER(J1726),ISNUMBER(K1726),F1726&lt;&gt;"Calentamiento",F1726&lt;&gt;"Bilbo"),IF(AND(K1726&gt;0,K1726&lt;=12),ROUND(J1726*(1+(K1726+IF(ISNUMBER(L1726),L1726,0))/30),1),""),"")</f>
        <v/>
      </c>
      <c r="T1726" s="21" t="str">
        <f aca="false">IF(AND(F1726="Bilbo",ISNUMBER(J1726),ISNUMBER(K1726)),ROUND(J1726*(1+K1726/30),1),"")</f>
        <v/>
      </c>
      <c r="W1726" s="22"/>
      <c r="X1726" s="21" t="str">
        <f aca="false">IF(AND(F1726="Bilbo",E1726&lt;&gt;"",G1726&lt;&gt;"",H1726&lt;&gt;""),E1726&amp;"|"&amp;G1726&amp;"|"&amp;H1726,"")</f>
        <v/>
      </c>
      <c r="Y1726" s="21" t="str">
        <f aca="false">IF(B1726="","",IF(B1726&lt;&gt;B1725,1,0))</f>
        <v/>
      </c>
    </row>
    <row r="1727" customFormat="false" ht="15" hidden="false" customHeight="true" outlineLevel="0" collapsed="false">
      <c r="A1727" s="21" t="str">
        <f aca="false">IF(B1727="","",ROW()-4)</f>
        <v/>
      </c>
      <c r="B1727" s="22"/>
      <c r="C1727" s="21" t="str">
        <f aca="false">IF(B1727="","",CHOOSE(WEEKDAY(B1727,2),"LUNES","MARTES","MIÉRCOLES","JUEVES","VIERNES","SÁBADO","DOMINGO"))</f>
        <v/>
      </c>
      <c r="M1727" s="23"/>
      <c r="Q1727" s="21" t="str">
        <f aca="false">IF(OR(K1727="",N1727=""),"",K1727-N1727)</f>
        <v/>
      </c>
      <c r="R1727" s="21" t="str">
        <f aca="false">IF(OR(J1727="",K1727=""),"",J1727*K1727)</f>
        <v/>
      </c>
      <c r="S1727" s="21" t="str">
        <f aca="false">IF(AND(ISNUMBER(J1727),ISNUMBER(K1727),F1727&lt;&gt;"Calentamiento",F1727&lt;&gt;"Bilbo"),IF(AND(K1727&gt;0,K1727&lt;=12),ROUND(J1727*(1+(K1727+IF(ISNUMBER(L1727),L1727,0))/30),1),""),"")</f>
        <v/>
      </c>
      <c r="T1727" s="21" t="str">
        <f aca="false">IF(AND(F1727="Bilbo",ISNUMBER(J1727),ISNUMBER(K1727)),ROUND(J1727*(1+K1727/30),1),"")</f>
        <v/>
      </c>
      <c r="W1727" s="22"/>
      <c r="X1727" s="21" t="str">
        <f aca="false">IF(AND(F1727="Bilbo",E1727&lt;&gt;"",G1727&lt;&gt;"",H1727&lt;&gt;""),E1727&amp;"|"&amp;G1727&amp;"|"&amp;H1727,"")</f>
        <v/>
      </c>
      <c r="Y1727" s="21" t="str">
        <f aca="false">IF(B1727="","",IF(B1727&lt;&gt;B1726,1,0))</f>
        <v/>
      </c>
    </row>
    <row r="1728" customFormat="false" ht="15" hidden="false" customHeight="true" outlineLevel="0" collapsed="false">
      <c r="A1728" s="21" t="str">
        <f aca="false">IF(B1728="","",ROW()-4)</f>
        <v/>
      </c>
      <c r="B1728" s="22"/>
      <c r="C1728" s="21" t="str">
        <f aca="false">IF(B1728="","",CHOOSE(WEEKDAY(B1728,2),"LUNES","MARTES","MIÉRCOLES","JUEVES","VIERNES","SÁBADO","DOMINGO"))</f>
        <v/>
      </c>
      <c r="M1728" s="23"/>
      <c r="Q1728" s="21" t="str">
        <f aca="false">IF(OR(K1728="",N1728=""),"",K1728-N1728)</f>
        <v/>
      </c>
      <c r="R1728" s="21" t="str">
        <f aca="false">IF(OR(J1728="",K1728=""),"",J1728*K1728)</f>
        <v/>
      </c>
      <c r="S1728" s="21" t="str">
        <f aca="false">IF(AND(ISNUMBER(J1728),ISNUMBER(K1728),F1728&lt;&gt;"Calentamiento",F1728&lt;&gt;"Bilbo"),IF(AND(K1728&gt;0,K1728&lt;=12),ROUND(J1728*(1+(K1728+IF(ISNUMBER(L1728),L1728,0))/30),1),""),"")</f>
        <v/>
      </c>
      <c r="T1728" s="21" t="str">
        <f aca="false">IF(AND(F1728="Bilbo",ISNUMBER(J1728),ISNUMBER(K1728)),ROUND(J1728*(1+K1728/30),1),"")</f>
        <v/>
      </c>
      <c r="W1728" s="22"/>
      <c r="X1728" s="21" t="str">
        <f aca="false">IF(AND(F1728="Bilbo",E1728&lt;&gt;"",G1728&lt;&gt;"",H1728&lt;&gt;""),E1728&amp;"|"&amp;G1728&amp;"|"&amp;H1728,"")</f>
        <v/>
      </c>
      <c r="Y1728" s="21" t="str">
        <f aca="false">IF(B1728="","",IF(B1728&lt;&gt;B1727,1,0))</f>
        <v/>
      </c>
    </row>
    <row r="1729" customFormat="false" ht="15" hidden="false" customHeight="true" outlineLevel="0" collapsed="false">
      <c r="A1729" s="21" t="str">
        <f aca="false">IF(B1729="","",ROW()-4)</f>
        <v/>
      </c>
      <c r="B1729" s="22"/>
      <c r="C1729" s="21" t="str">
        <f aca="false">IF(B1729="","",CHOOSE(WEEKDAY(B1729,2),"LUNES","MARTES","MIÉRCOLES","JUEVES","VIERNES","SÁBADO","DOMINGO"))</f>
        <v/>
      </c>
      <c r="M1729" s="23"/>
      <c r="Q1729" s="21" t="str">
        <f aca="false">IF(OR(K1729="",N1729=""),"",K1729-N1729)</f>
        <v/>
      </c>
      <c r="R1729" s="21" t="str">
        <f aca="false">IF(OR(J1729="",K1729=""),"",J1729*K1729)</f>
        <v/>
      </c>
      <c r="S1729" s="21" t="str">
        <f aca="false">IF(AND(ISNUMBER(J1729),ISNUMBER(K1729),F1729&lt;&gt;"Calentamiento",F1729&lt;&gt;"Bilbo"),IF(AND(K1729&gt;0,K1729&lt;=12),ROUND(J1729*(1+(K1729+IF(ISNUMBER(L1729),L1729,0))/30),1),""),"")</f>
        <v/>
      </c>
      <c r="T1729" s="21" t="str">
        <f aca="false">IF(AND(F1729="Bilbo",ISNUMBER(J1729),ISNUMBER(K1729)),ROUND(J1729*(1+K1729/30),1),"")</f>
        <v/>
      </c>
      <c r="W1729" s="22"/>
      <c r="X1729" s="21" t="str">
        <f aca="false">IF(AND(F1729="Bilbo",E1729&lt;&gt;"",G1729&lt;&gt;"",H1729&lt;&gt;""),E1729&amp;"|"&amp;G1729&amp;"|"&amp;H1729,"")</f>
        <v/>
      </c>
      <c r="Y1729" s="21" t="str">
        <f aca="false">IF(B1729="","",IF(B1729&lt;&gt;B1728,1,0))</f>
        <v/>
      </c>
    </row>
    <row r="1730" customFormat="false" ht="15" hidden="false" customHeight="true" outlineLevel="0" collapsed="false">
      <c r="A1730" s="21" t="str">
        <f aca="false">IF(B1730="","",ROW()-4)</f>
        <v/>
      </c>
      <c r="B1730" s="22"/>
      <c r="C1730" s="21" t="str">
        <f aca="false">IF(B1730="","",CHOOSE(WEEKDAY(B1730,2),"LUNES","MARTES","MIÉRCOLES","JUEVES","VIERNES","SÁBADO","DOMINGO"))</f>
        <v/>
      </c>
      <c r="M1730" s="23"/>
      <c r="Q1730" s="21" t="str">
        <f aca="false">IF(OR(K1730="",N1730=""),"",K1730-N1730)</f>
        <v/>
      </c>
      <c r="R1730" s="21" t="str">
        <f aca="false">IF(OR(J1730="",K1730=""),"",J1730*K1730)</f>
        <v/>
      </c>
      <c r="S1730" s="21" t="str">
        <f aca="false">IF(AND(ISNUMBER(J1730),ISNUMBER(K1730),F1730&lt;&gt;"Calentamiento",F1730&lt;&gt;"Bilbo"),IF(AND(K1730&gt;0,K1730&lt;=12),ROUND(J1730*(1+(K1730+IF(ISNUMBER(L1730),L1730,0))/30),1),""),"")</f>
        <v/>
      </c>
      <c r="T1730" s="21" t="str">
        <f aca="false">IF(AND(F1730="Bilbo",ISNUMBER(J1730),ISNUMBER(K1730)),ROUND(J1730*(1+K1730/30),1),"")</f>
        <v/>
      </c>
      <c r="W1730" s="22"/>
      <c r="X1730" s="21" t="str">
        <f aca="false">IF(AND(F1730="Bilbo",E1730&lt;&gt;"",G1730&lt;&gt;"",H1730&lt;&gt;""),E1730&amp;"|"&amp;G1730&amp;"|"&amp;H1730,"")</f>
        <v/>
      </c>
      <c r="Y1730" s="21" t="str">
        <f aca="false">IF(B1730="","",IF(B1730&lt;&gt;B1729,1,0))</f>
        <v/>
      </c>
    </row>
    <row r="1731" customFormat="false" ht="15" hidden="false" customHeight="true" outlineLevel="0" collapsed="false">
      <c r="A1731" s="21" t="str">
        <f aca="false">IF(B1731="","",ROW()-4)</f>
        <v/>
      </c>
      <c r="B1731" s="22"/>
      <c r="C1731" s="21" t="str">
        <f aca="false">IF(B1731="","",CHOOSE(WEEKDAY(B1731,2),"LUNES","MARTES","MIÉRCOLES","JUEVES","VIERNES","SÁBADO","DOMINGO"))</f>
        <v/>
      </c>
      <c r="M1731" s="23"/>
      <c r="Q1731" s="21" t="str">
        <f aca="false">IF(OR(K1731="",N1731=""),"",K1731-N1731)</f>
        <v/>
      </c>
      <c r="R1731" s="21" t="str">
        <f aca="false">IF(OR(J1731="",K1731=""),"",J1731*K1731)</f>
        <v/>
      </c>
      <c r="S1731" s="21" t="str">
        <f aca="false">IF(AND(ISNUMBER(J1731),ISNUMBER(K1731),F1731&lt;&gt;"Calentamiento",F1731&lt;&gt;"Bilbo"),IF(AND(K1731&gt;0,K1731&lt;=12),ROUND(J1731*(1+(K1731+IF(ISNUMBER(L1731),L1731,0))/30),1),""),"")</f>
        <v/>
      </c>
      <c r="T1731" s="21" t="str">
        <f aca="false">IF(AND(F1731="Bilbo",ISNUMBER(J1731),ISNUMBER(K1731)),ROUND(J1731*(1+K1731/30),1),"")</f>
        <v/>
      </c>
      <c r="W1731" s="22"/>
      <c r="X1731" s="21" t="str">
        <f aca="false">IF(AND(F1731="Bilbo",E1731&lt;&gt;"",G1731&lt;&gt;"",H1731&lt;&gt;""),E1731&amp;"|"&amp;G1731&amp;"|"&amp;H1731,"")</f>
        <v/>
      </c>
      <c r="Y1731" s="21" t="str">
        <f aca="false">IF(B1731="","",IF(B1731&lt;&gt;B1730,1,0))</f>
        <v/>
      </c>
    </row>
    <row r="1732" customFormat="false" ht="15" hidden="false" customHeight="true" outlineLevel="0" collapsed="false">
      <c r="A1732" s="21" t="str">
        <f aca="false">IF(B1732="","",ROW()-4)</f>
        <v/>
      </c>
      <c r="B1732" s="22"/>
      <c r="C1732" s="21" t="str">
        <f aca="false">IF(B1732="","",CHOOSE(WEEKDAY(B1732,2),"LUNES","MARTES","MIÉRCOLES","JUEVES","VIERNES","SÁBADO","DOMINGO"))</f>
        <v/>
      </c>
      <c r="M1732" s="23"/>
      <c r="Q1732" s="21" t="str">
        <f aca="false">IF(OR(K1732="",N1732=""),"",K1732-N1732)</f>
        <v/>
      </c>
      <c r="R1732" s="21" t="str">
        <f aca="false">IF(OR(J1732="",K1732=""),"",J1732*K1732)</f>
        <v/>
      </c>
      <c r="S1732" s="21" t="str">
        <f aca="false">IF(AND(ISNUMBER(J1732),ISNUMBER(K1732),F1732&lt;&gt;"Calentamiento",F1732&lt;&gt;"Bilbo"),IF(AND(K1732&gt;0,K1732&lt;=12),ROUND(J1732*(1+(K1732+IF(ISNUMBER(L1732),L1732,0))/30),1),""),"")</f>
        <v/>
      </c>
      <c r="T1732" s="21" t="str">
        <f aca="false">IF(AND(F1732="Bilbo",ISNUMBER(J1732),ISNUMBER(K1732)),ROUND(J1732*(1+K1732/30),1),"")</f>
        <v/>
      </c>
      <c r="W1732" s="22"/>
      <c r="X1732" s="21" t="str">
        <f aca="false">IF(AND(F1732="Bilbo",E1732&lt;&gt;"",G1732&lt;&gt;"",H1732&lt;&gt;""),E1732&amp;"|"&amp;G1732&amp;"|"&amp;H1732,"")</f>
        <v/>
      </c>
      <c r="Y1732" s="21" t="str">
        <f aca="false">IF(B1732="","",IF(B1732&lt;&gt;B1731,1,0))</f>
        <v/>
      </c>
    </row>
    <row r="1733" customFormat="false" ht="15" hidden="false" customHeight="true" outlineLevel="0" collapsed="false">
      <c r="A1733" s="21" t="str">
        <f aca="false">IF(B1733="","",ROW()-4)</f>
        <v/>
      </c>
      <c r="B1733" s="22"/>
      <c r="C1733" s="21" t="str">
        <f aca="false">IF(B1733="","",CHOOSE(WEEKDAY(B1733,2),"LUNES","MARTES","MIÉRCOLES","JUEVES","VIERNES","SÁBADO","DOMINGO"))</f>
        <v/>
      </c>
      <c r="M1733" s="23"/>
      <c r="Q1733" s="21" t="str">
        <f aca="false">IF(OR(K1733="",N1733=""),"",K1733-N1733)</f>
        <v/>
      </c>
      <c r="R1733" s="21" t="str">
        <f aca="false">IF(OR(J1733="",K1733=""),"",J1733*K1733)</f>
        <v/>
      </c>
      <c r="S1733" s="21" t="str">
        <f aca="false">IF(AND(ISNUMBER(J1733),ISNUMBER(K1733),F1733&lt;&gt;"Calentamiento",F1733&lt;&gt;"Bilbo"),IF(AND(K1733&gt;0,K1733&lt;=12),ROUND(J1733*(1+(K1733+IF(ISNUMBER(L1733),L1733,0))/30),1),""),"")</f>
        <v/>
      </c>
      <c r="T1733" s="21" t="str">
        <f aca="false">IF(AND(F1733="Bilbo",ISNUMBER(J1733),ISNUMBER(K1733)),ROUND(J1733*(1+K1733/30),1),"")</f>
        <v/>
      </c>
      <c r="W1733" s="22"/>
      <c r="X1733" s="21" t="str">
        <f aca="false">IF(AND(F1733="Bilbo",E1733&lt;&gt;"",G1733&lt;&gt;"",H1733&lt;&gt;""),E1733&amp;"|"&amp;G1733&amp;"|"&amp;H1733,"")</f>
        <v/>
      </c>
      <c r="Y1733" s="21" t="str">
        <f aca="false">IF(B1733="","",IF(B1733&lt;&gt;B1732,1,0))</f>
        <v/>
      </c>
    </row>
    <row r="1734" customFormat="false" ht="15" hidden="false" customHeight="true" outlineLevel="0" collapsed="false">
      <c r="A1734" s="21" t="str">
        <f aca="false">IF(B1734="","",ROW()-4)</f>
        <v/>
      </c>
      <c r="B1734" s="22"/>
      <c r="C1734" s="21" t="str">
        <f aca="false">IF(B1734="","",CHOOSE(WEEKDAY(B1734,2),"LUNES","MARTES","MIÉRCOLES","JUEVES","VIERNES","SÁBADO","DOMINGO"))</f>
        <v/>
      </c>
      <c r="M1734" s="23"/>
      <c r="Q1734" s="21" t="str">
        <f aca="false">IF(OR(K1734="",N1734=""),"",K1734-N1734)</f>
        <v/>
      </c>
      <c r="R1734" s="21" t="str">
        <f aca="false">IF(OR(J1734="",K1734=""),"",J1734*K1734)</f>
        <v/>
      </c>
      <c r="S1734" s="21" t="str">
        <f aca="false">IF(AND(ISNUMBER(J1734),ISNUMBER(K1734),F1734&lt;&gt;"Calentamiento",F1734&lt;&gt;"Bilbo"),IF(AND(K1734&gt;0,K1734&lt;=12),ROUND(J1734*(1+(K1734+IF(ISNUMBER(L1734),L1734,0))/30),1),""),"")</f>
        <v/>
      </c>
      <c r="T1734" s="21" t="str">
        <f aca="false">IF(AND(F1734="Bilbo",ISNUMBER(J1734),ISNUMBER(K1734)),ROUND(J1734*(1+K1734/30),1),"")</f>
        <v/>
      </c>
      <c r="W1734" s="22"/>
      <c r="X1734" s="21" t="str">
        <f aca="false">IF(AND(F1734="Bilbo",E1734&lt;&gt;"",G1734&lt;&gt;"",H1734&lt;&gt;""),E1734&amp;"|"&amp;G1734&amp;"|"&amp;H1734,"")</f>
        <v/>
      </c>
      <c r="Y1734" s="21" t="str">
        <f aca="false">IF(B1734="","",IF(B1734&lt;&gt;B1733,1,0))</f>
        <v/>
      </c>
    </row>
    <row r="1735" customFormat="false" ht="15" hidden="false" customHeight="true" outlineLevel="0" collapsed="false">
      <c r="A1735" s="21" t="str">
        <f aca="false">IF(B1735="","",ROW()-4)</f>
        <v/>
      </c>
      <c r="B1735" s="22"/>
      <c r="C1735" s="21" t="str">
        <f aca="false">IF(B1735="","",CHOOSE(WEEKDAY(B1735,2),"LUNES","MARTES","MIÉRCOLES","JUEVES","VIERNES","SÁBADO","DOMINGO"))</f>
        <v/>
      </c>
      <c r="M1735" s="23"/>
      <c r="Q1735" s="21" t="str">
        <f aca="false">IF(OR(K1735="",N1735=""),"",K1735-N1735)</f>
        <v/>
      </c>
      <c r="R1735" s="21" t="str">
        <f aca="false">IF(OR(J1735="",K1735=""),"",J1735*K1735)</f>
        <v/>
      </c>
      <c r="S1735" s="21" t="str">
        <f aca="false">IF(AND(ISNUMBER(J1735),ISNUMBER(K1735),F1735&lt;&gt;"Calentamiento",F1735&lt;&gt;"Bilbo"),IF(AND(K1735&gt;0,K1735&lt;=12),ROUND(J1735*(1+(K1735+IF(ISNUMBER(L1735),L1735,0))/30),1),""),"")</f>
        <v/>
      </c>
      <c r="T1735" s="21" t="str">
        <f aca="false">IF(AND(F1735="Bilbo",ISNUMBER(J1735),ISNUMBER(K1735)),ROUND(J1735*(1+K1735/30),1),"")</f>
        <v/>
      </c>
      <c r="W1735" s="22"/>
      <c r="X1735" s="21" t="str">
        <f aca="false">IF(AND(F1735="Bilbo",E1735&lt;&gt;"",G1735&lt;&gt;"",H1735&lt;&gt;""),E1735&amp;"|"&amp;G1735&amp;"|"&amp;H1735,"")</f>
        <v/>
      </c>
      <c r="Y1735" s="21" t="str">
        <f aca="false">IF(B1735="","",IF(B1735&lt;&gt;B1734,1,0))</f>
        <v/>
      </c>
    </row>
    <row r="1736" customFormat="false" ht="15" hidden="false" customHeight="true" outlineLevel="0" collapsed="false">
      <c r="A1736" s="21" t="str">
        <f aca="false">IF(B1736="","",ROW()-4)</f>
        <v/>
      </c>
      <c r="B1736" s="22"/>
      <c r="C1736" s="21" t="str">
        <f aca="false">IF(B1736="","",CHOOSE(WEEKDAY(B1736,2),"LUNES","MARTES","MIÉRCOLES","JUEVES","VIERNES","SÁBADO","DOMINGO"))</f>
        <v/>
      </c>
      <c r="M1736" s="23"/>
      <c r="Q1736" s="21" t="str">
        <f aca="false">IF(OR(K1736="",N1736=""),"",K1736-N1736)</f>
        <v/>
      </c>
      <c r="R1736" s="21" t="str">
        <f aca="false">IF(OR(J1736="",K1736=""),"",J1736*K1736)</f>
        <v/>
      </c>
      <c r="S1736" s="21" t="str">
        <f aca="false">IF(AND(ISNUMBER(J1736),ISNUMBER(K1736),F1736&lt;&gt;"Calentamiento",F1736&lt;&gt;"Bilbo"),IF(AND(K1736&gt;0,K1736&lt;=12),ROUND(J1736*(1+(K1736+IF(ISNUMBER(L1736),L1736,0))/30),1),""),"")</f>
        <v/>
      </c>
      <c r="T1736" s="21" t="str">
        <f aca="false">IF(AND(F1736="Bilbo",ISNUMBER(J1736),ISNUMBER(K1736)),ROUND(J1736*(1+K1736/30),1),"")</f>
        <v/>
      </c>
      <c r="W1736" s="22"/>
      <c r="X1736" s="21" t="str">
        <f aca="false">IF(AND(F1736="Bilbo",E1736&lt;&gt;"",G1736&lt;&gt;"",H1736&lt;&gt;""),E1736&amp;"|"&amp;G1736&amp;"|"&amp;H1736,"")</f>
        <v/>
      </c>
      <c r="Y1736" s="21" t="str">
        <f aca="false">IF(B1736="","",IF(B1736&lt;&gt;B1735,1,0))</f>
        <v/>
      </c>
    </row>
    <row r="1737" customFormat="false" ht="15" hidden="false" customHeight="true" outlineLevel="0" collapsed="false">
      <c r="A1737" s="21" t="str">
        <f aca="false">IF(B1737="","",ROW()-4)</f>
        <v/>
      </c>
      <c r="B1737" s="22"/>
      <c r="C1737" s="21" t="str">
        <f aca="false">IF(B1737="","",CHOOSE(WEEKDAY(B1737,2),"LUNES","MARTES","MIÉRCOLES","JUEVES","VIERNES","SÁBADO","DOMINGO"))</f>
        <v/>
      </c>
      <c r="M1737" s="23"/>
      <c r="Q1737" s="21" t="str">
        <f aca="false">IF(OR(K1737="",N1737=""),"",K1737-N1737)</f>
        <v/>
      </c>
      <c r="R1737" s="21" t="str">
        <f aca="false">IF(OR(J1737="",K1737=""),"",J1737*K1737)</f>
        <v/>
      </c>
      <c r="S1737" s="21" t="str">
        <f aca="false">IF(AND(ISNUMBER(J1737),ISNUMBER(K1737),F1737&lt;&gt;"Calentamiento",F1737&lt;&gt;"Bilbo"),IF(AND(K1737&gt;0,K1737&lt;=12),ROUND(J1737*(1+(K1737+IF(ISNUMBER(L1737),L1737,0))/30),1),""),"")</f>
        <v/>
      </c>
      <c r="T1737" s="21" t="str">
        <f aca="false">IF(AND(F1737="Bilbo",ISNUMBER(J1737),ISNUMBER(K1737)),ROUND(J1737*(1+K1737/30),1),"")</f>
        <v/>
      </c>
      <c r="W1737" s="22"/>
      <c r="X1737" s="21" t="str">
        <f aca="false">IF(AND(F1737="Bilbo",E1737&lt;&gt;"",G1737&lt;&gt;"",H1737&lt;&gt;""),E1737&amp;"|"&amp;G1737&amp;"|"&amp;H1737,"")</f>
        <v/>
      </c>
      <c r="Y1737" s="21" t="str">
        <f aca="false">IF(B1737="","",IF(B1737&lt;&gt;B1736,1,0))</f>
        <v/>
      </c>
    </row>
    <row r="1738" customFormat="false" ht="15" hidden="false" customHeight="true" outlineLevel="0" collapsed="false">
      <c r="A1738" s="21" t="str">
        <f aca="false">IF(B1738="","",ROW()-4)</f>
        <v/>
      </c>
      <c r="B1738" s="22"/>
      <c r="C1738" s="21" t="str">
        <f aca="false">IF(B1738="","",CHOOSE(WEEKDAY(B1738,2),"LUNES","MARTES","MIÉRCOLES","JUEVES","VIERNES","SÁBADO","DOMINGO"))</f>
        <v/>
      </c>
      <c r="M1738" s="23"/>
      <c r="Q1738" s="21" t="str">
        <f aca="false">IF(OR(K1738="",N1738=""),"",K1738-N1738)</f>
        <v/>
      </c>
      <c r="R1738" s="21" t="str">
        <f aca="false">IF(OR(J1738="",K1738=""),"",J1738*K1738)</f>
        <v/>
      </c>
      <c r="S1738" s="21" t="str">
        <f aca="false">IF(AND(ISNUMBER(J1738),ISNUMBER(K1738),F1738&lt;&gt;"Calentamiento",F1738&lt;&gt;"Bilbo"),IF(AND(K1738&gt;0,K1738&lt;=12),ROUND(J1738*(1+(K1738+IF(ISNUMBER(L1738),L1738,0))/30),1),""),"")</f>
        <v/>
      </c>
      <c r="T1738" s="21" t="str">
        <f aca="false">IF(AND(F1738="Bilbo",ISNUMBER(J1738),ISNUMBER(K1738)),ROUND(J1738*(1+K1738/30),1),"")</f>
        <v/>
      </c>
      <c r="W1738" s="22"/>
      <c r="X1738" s="21" t="str">
        <f aca="false">IF(AND(F1738="Bilbo",E1738&lt;&gt;"",G1738&lt;&gt;"",H1738&lt;&gt;""),E1738&amp;"|"&amp;G1738&amp;"|"&amp;H1738,"")</f>
        <v/>
      </c>
      <c r="Y1738" s="21" t="str">
        <f aca="false">IF(B1738="","",IF(B1738&lt;&gt;B1737,1,0))</f>
        <v/>
      </c>
    </row>
    <row r="1739" customFormat="false" ht="15" hidden="false" customHeight="true" outlineLevel="0" collapsed="false">
      <c r="A1739" s="21" t="str">
        <f aca="false">IF(B1739="","",ROW()-4)</f>
        <v/>
      </c>
      <c r="B1739" s="22"/>
      <c r="C1739" s="21" t="str">
        <f aca="false">IF(B1739="","",CHOOSE(WEEKDAY(B1739,2),"LUNES","MARTES","MIÉRCOLES","JUEVES","VIERNES","SÁBADO","DOMINGO"))</f>
        <v/>
      </c>
      <c r="M1739" s="23"/>
      <c r="Q1739" s="21" t="str">
        <f aca="false">IF(OR(K1739="",N1739=""),"",K1739-N1739)</f>
        <v/>
      </c>
      <c r="R1739" s="21" t="str">
        <f aca="false">IF(OR(J1739="",K1739=""),"",J1739*K1739)</f>
        <v/>
      </c>
      <c r="S1739" s="21" t="str">
        <f aca="false">IF(AND(ISNUMBER(J1739),ISNUMBER(K1739),F1739&lt;&gt;"Calentamiento",F1739&lt;&gt;"Bilbo"),IF(AND(K1739&gt;0,K1739&lt;=12),ROUND(J1739*(1+(K1739+IF(ISNUMBER(L1739),L1739,0))/30),1),""),"")</f>
        <v/>
      </c>
      <c r="T1739" s="21" t="str">
        <f aca="false">IF(AND(F1739="Bilbo",ISNUMBER(J1739),ISNUMBER(K1739)),ROUND(J1739*(1+K1739/30),1),"")</f>
        <v/>
      </c>
      <c r="W1739" s="22"/>
      <c r="X1739" s="21" t="str">
        <f aca="false">IF(AND(F1739="Bilbo",E1739&lt;&gt;"",G1739&lt;&gt;"",H1739&lt;&gt;""),E1739&amp;"|"&amp;G1739&amp;"|"&amp;H1739,"")</f>
        <v/>
      </c>
      <c r="Y1739" s="21" t="str">
        <f aca="false">IF(B1739="","",IF(B1739&lt;&gt;B1738,1,0))</f>
        <v/>
      </c>
    </row>
    <row r="1740" customFormat="false" ht="15" hidden="false" customHeight="true" outlineLevel="0" collapsed="false">
      <c r="A1740" s="21" t="str">
        <f aca="false">IF(B1740="","",ROW()-4)</f>
        <v/>
      </c>
      <c r="B1740" s="22"/>
      <c r="C1740" s="21" t="str">
        <f aca="false">IF(B1740="","",CHOOSE(WEEKDAY(B1740,2),"LUNES","MARTES","MIÉRCOLES","JUEVES","VIERNES","SÁBADO","DOMINGO"))</f>
        <v/>
      </c>
      <c r="M1740" s="23"/>
      <c r="Q1740" s="21" t="str">
        <f aca="false">IF(OR(K1740="",N1740=""),"",K1740-N1740)</f>
        <v/>
      </c>
      <c r="R1740" s="21" t="str">
        <f aca="false">IF(OR(J1740="",K1740=""),"",J1740*K1740)</f>
        <v/>
      </c>
      <c r="S1740" s="21" t="str">
        <f aca="false">IF(AND(ISNUMBER(J1740),ISNUMBER(K1740),F1740&lt;&gt;"Calentamiento",F1740&lt;&gt;"Bilbo"),IF(AND(K1740&gt;0,K1740&lt;=12),ROUND(J1740*(1+(K1740+IF(ISNUMBER(L1740),L1740,0))/30),1),""),"")</f>
        <v/>
      </c>
      <c r="T1740" s="21" t="str">
        <f aca="false">IF(AND(F1740="Bilbo",ISNUMBER(J1740),ISNUMBER(K1740)),ROUND(J1740*(1+K1740/30),1),"")</f>
        <v/>
      </c>
      <c r="W1740" s="22"/>
      <c r="X1740" s="21" t="str">
        <f aca="false">IF(AND(F1740="Bilbo",E1740&lt;&gt;"",G1740&lt;&gt;"",H1740&lt;&gt;""),E1740&amp;"|"&amp;G1740&amp;"|"&amp;H1740,"")</f>
        <v/>
      </c>
      <c r="Y1740" s="21" t="str">
        <f aca="false">IF(B1740="","",IF(B1740&lt;&gt;B1739,1,0))</f>
        <v/>
      </c>
    </row>
    <row r="1741" customFormat="false" ht="15" hidden="false" customHeight="true" outlineLevel="0" collapsed="false">
      <c r="A1741" s="21" t="str">
        <f aca="false">IF(B1741="","",ROW()-4)</f>
        <v/>
      </c>
      <c r="B1741" s="22"/>
      <c r="C1741" s="21" t="str">
        <f aca="false">IF(B1741="","",CHOOSE(WEEKDAY(B1741,2),"LUNES","MARTES","MIÉRCOLES","JUEVES","VIERNES","SÁBADO","DOMINGO"))</f>
        <v/>
      </c>
      <c r="M1741" s="23"/>
      <c r="Q1741" s="21" t="str">
        <f aca="false">IF(OR(K1741="",N1741=""),"",K1741-N1741)</f>
        <v/>
      </c>
      <c r="R1741" s="21" t="str">
        <f aca="false">IF(OR(J1741="",K1741=""),"",J1741*K1741)</f>
        <v/>
      </c>
      <c r="S1741" s="21" t="str">
        <f aca="false">IF(AND(ISNUMBER(J1741),ISNUMBER(K1741),F1741&lt;&gt;"Calentamiento",F1741&lt;&gt;"Bilbo"),IF(AND(K1741&gt;0,K1741&lt;=12),ROUND(J1741*(1+(K1741+IF(ISNUMBER(L1741),L1741,0))/30),1),""),"")</f>
        <v/>
      </c>
      <c r="T1741" s="21" t="str">
        <f aca="false">IF(AND(F1741="Bilbo",ISNUMBER(J1741),ISNUMBER(K1741)),ROUND(J1741*(1+K1741/30),1),"")</f>
        <v/>
      </c>
      <c r="W1741" s="22"/>
      <c r="X1741" s="21" t="str">
        <f aca="false">IF(AND(F1741="Bilbo",E1741&lt;&gt;"",G1741&lt;&gt;"",H1741&lt;&gt;""),E1741&amp;"|"&amp;G1741&amp;"|"&amp;H1741,"")</f>
        <v/>
      </c>
      <c r="Y1741" s="21" t="str">
        <f aca="false">IF(B1741="","",IF(B1741&lt;&gt;B1740,1,0))</f>
        <v/>
      </c>
    </row>
    <row r="1742" customFormat="false" ht="15" hidden="false" customHeight="true" outlineLevel="0" collapsed="false">
      <c r="A1742" s="21" t="str">
        <f aca="false">IF(B1742="","",ROW()-4)</f>
        <v/>
      </c>
      <c r="B1742" s="22"/>
      <c r="C1742" s="21" t="str">
        <f aca="false">IF(B1742="","",CHOOSE(WEEKDAY(B1742,2),"LUNES","MARTES","MIÉRCOLES","JUEVES","VIERNES","SÁBADO","DOMINGO"))</f>
        <v/>
      </c>
      <c r="M1742" s="23"/>
      <c r="Q1742" s="21" t="str">
        <f aca="false">IF(OR(K1742="",N1742=""),"",K1742-N1742)</f>
        <v/>
      </c>
      <c r="R1742" s="21" t="str">
        <f aca="false">IF(OR(J1742="",K1742=""),"",J1742*K1742)</f>
        <v/>
      </c>
      <c r="S1742" s="21" t="str">
        <f aca="false">IF(AND(ISNUMBER(J1742),ISNUMBER(K1742),F1742&lt;&gt;"Calentamiento",F1742&lt;&gt;"Bilbo"),IF(AND(K1742&gt;0,K1742&lt;=12),ROUND(J1742*(1+(K1742+IF(ISNUMBER(L1742),L1742,0))/30),1),""),"")</f>
        <v/>
      </c>
      <c r="T1742" s="21" t="str">
        <f aca="false">IF(AND(F1742="Bilbo",ISNUMBER(J1742),ISNUMBER(K1742)),ROUND(J1742*(1+K1742/30),1),"")</f>
        <v/>
      </c>
      <c r="W1742" s="22"/>
      <c r="X1742" s="21" t="str">
        <f aca="false">IF(AND(F1742="Bilbo",E1742&lt;&gt;"",G1742&lt;&gt;"",H1742&lt;&gt;""),E1742&amp;"|"&amp;G1742&amp;"|"&amp;H1742,"")</f>
        <v/>
      </c>
      <c r="Y1742" s="21" t="str">
        <f aca="false">IF(B1742="","",IF(B1742&lt;&gt;B1741,1,0))</f>
        <v/>
      </c>
    </row>
    <row r="1743" customFormat="false" ht="15" hidden="false" customHeight="true" outlineLevel="0" collapsed="false">
      <c r="A1743" s="21" t="str">
        <f aca="false">IF(B1743="","",ROW()-4)</f>
        <v/>
      </c>
      <c r="B1743" s="22"/>
      <c r="C1743" s="21" t="str">
        <f aca="false">IF(B1743="","",CHOOSE(WEEKDAY(B1743,2),"LUNES","MARTES","MIÉRCOLES","JUEVES","VIERNES","SÁBADO","DOMINGO"))</f>
        <v/>
      </c>
      <c r="M1743" s="23"/>
      <c r="Q1743" s="21" t="str">
        <f aca="false">IF(OR(K1743="",N1743=""),"",K1743-N1743)</f>
        <v/>
      </c>
      <c r="R1743" s="21" t="str">
        <f aca="false">IF(OR(J1743="",K1743=""),"",J1743*K1743)</f>
        <v/>
      </c>
      <c r="S1743" s="21" t="str">
        <f aca="false">IF(AND(ISNUMBER(J1743),ISNUMBER(K1743),F1743&lt;&gt;"Calentamiento",F1743&lt;&gt;"Bilbo"),IF(AND(K1743&gt;0,K1743&lt;=12),ROUND(J1743*(1+(K1743+IF(ISNUMBER(L1743),L1743,0))/30),1),""),"")</f>
        <v/>
      </c>
      <c r="T1743" s="21" t="str">
        <f aca="false">IF(AND(F1743="Bilbo",ISNUMBER(J1743),ISNUMBER(K1743)),ROUND(J1743*(1+K1743/30),1),"")</f>
        <v/>
      </c>
      <c r="W1743" s="22"/>
      <c r="X1743" s="21" t="str">
        <f aca="false">IF(AND(F1743="Bilbo",E1743&lt;&gt;"",G1743&lt;&gt;"",H1743&lt;&gt;""),E1743&amp;"|"&amp;G1743&amp;"|"&amp;H1743,"")</f>
        <v/>
      </c>
      <c r="Y1743" s="21" t="str">
        <f aca="false">IF(B1743="","",IF(B1743&lt;&gt;B1742,1,0))</f>
        <v/>
      </c>
    </row>
    <row r="1744" customFormat="false" ht="15" hidden="false" customHeight="true" outlineLevel="0" collapsed="false">
      <c r="A1744" s="21" t="str">
        <f aca="false">IF(B1744="","",ROW()-4)</f>
        <v/>
      </c>
      <c r="B1744" s="22"/>
      <c r="C1744" s="21" t="str">
        <f aca="false">IF(B1744="","",CHOOSE(WEEKDAY(B1744,2),"LUNES","MARTES","MIÉRCOLES","JUEVES","VIERNES","SÁBADO","DOMINGO"))</f>
        <v/>
      </c>
      <c r="M1744" s="23"/>
      <c r="Q1744" s="21" t="str">
        <f aca="false">IF(OR(K1744="",N1744=""),"",K1744-N1744)</f>
        <v/>
      </c>
      <c r="R1744" s="21" t="str">
        <f aca="false">IF(OR(J1744="",K1744=""),"",J1744*K1744)</f>
        <v/>
      </c>
      <c r="S1744" s="21" t="str">
        <f aca="false">IF(AND(ISNUMBER(J1744),ISNUMBER(K1744),F1744&lt;&gt;"Calentamiento",F1744&lt;&gt;"Bilbo"),IF(AND(K1744&gt;0,K1744&lt;=12),ROUND(J1744*(1+(K1744+IF(ISNUMBER(L1744),L1744,0))/30),1),""),"")</f>
        <v/>
      </c>
      <c r="T1744" s="21" t="str">
        <f aca="false">IF(AND(F1744="Bilbo",ISNUMBER(J1744),ISNUMBER(K1744)),ROUND(J1744*(1+K1744/30),1),"")</f>
        <v/>
      </c>
      <c r="W1744" s="22"/>
      <c r="X1744" s="21" t="str">
        <f aca="false">IF(AND(F1744="Bilbo",E1744&lt;&gt;"",G1744&lt;&gt;"",H1744&lt;&gt;""),E1744&amp;"|"&amp;G1744&amp;"|"&amp;H1744,"")</f>
        <v/>
      </c>
      <c r="Y1744" s="21" t="str">
        <f aca="false">IF(B1744="","",IF(B1744&lt;&gt;B1743,1,0))</f>
        <v/>
      </c>
    </row>
    <row r="1745" customFormat="false" ht="15" hidden="false" customHeight="true" outlineLevel="0" collapsed="false">
      <c r="A1745" s="21" t="str">
        <f aca="false">IF(B1745="","",ROW()-4)</f>
        <v/>
      </c>
      <c r="B1745" s="22"/>
      <c r="C1745" s="21" t="str">
        <f aca="false">IF(B1745="","",CHOOSE(WEEKDAY(B1745,2),"LUNES","MARTES","MIÉRCOLES","JUEVES","VIERNES","SÁBADO","DOMINGO"))</f>
        <v/>
      </c>
      <c r="M1745" s="23"/>
      <c r="Q1745" s="21" t="str">
        <f aca="false">IF(OR(K1745="",N1745=""),"",K1745-N1745)</f>
        <v/>
      </c>
      <c r="R1745" s="21" t="str">
        <f aca="false">IF(OR(J1745="",K1745=""),"",J1745*K1745)</f>
        <v/>
      </c>
      <c r="S1745" s="21" t="str">
        <f aca="false">IF(AND(ISNUMBER(J1745),ISNUMBER(K1745),F1745&lt;&gt;"Calentamiento",F1745&lt;&gt;"Bilbo"),IF(AND(K1745&gt;0,K1745&lt;=12),ROUND(J1745*(1+(K1745+IF(ISNUMBER(L1745),L1745,0))/30),1),""),"")</f>
        <v/>
      </c>
      <c r="T1745" s="21" t="str">
        <f aca="false">IF(AND(F1745="Bilbo",ISNUMBER(J1745),ISNUMBER(K1745)),ROUND(J1745*(1+K1745/30),1),"")</f>
        <v/>
      </c>
      <c r="W1745" s="22"/>
      <c r="X1745" s="21" t="str">
        <f aca="false">IF(AND(F1745="Bilbo",E1745&lt;&gt;"",G1745&lt;&gt;"",H1745&lt;&gt;""),E1745&amp;"|"&amp;G1745&amp;"|"&amp;H1745,"")</f>
        <v/>
      </c>
      <c r="Y1745" s="21" t="str">
        <f aca="false">IF(B1745="","",IF(B1745&lt;&gt;B1744,1,0))</f>
        <v/>
      </c>
    </row>
    <row r="1746" customFormat="false" ht="15" hidden="false" customHeight="true" outlineLevel="0" collapsed="false">
      <c r="A1746" s="21" t="str">
        <f aca="false">IF(B1746="","",ROW()-4)</f>
        <v/>
      </c>
      <c r="B1746" s="22"/>
      <c r="C1746" s="21" t="str">
        <f aca="false">IF(B1746="","",CHOOSE(WEEKDAY(B1746,2),"LUNES","MARTES","MIÉRCOLES","JUEVES","VIERNES","SÁBADO","DOMINGO"))</f>
        <v/>
      </c>
      <c r="M1746" s="23"/>
      <c r="Q1746" s="21" t="str">
        <f aca="false">IF(OR(K1746="",N1746=""),"",K1746-N1746)</f>
        <v/>
      </c>
      <c r="R1746" s="21" t="str">
        <f aca="false">IF(OR(J1746="",K1746=""),"",J1746*K1746)</f>
        <v/>
      </c>
      <c r="S1746" s="21" t="str">
        <f aca="false">IF(AND(ISNUMBER(J1746),ISNUMBER(K1746),F1746&lt;&gt;"Calentamiento",F1746&lt;&gt;"Bilbo"),IF(AND(K1746&gt;0,K1746&lt;=12),ROUND(J1746*(1+(K1746+IF(ISNUMBER(L1746),L1746,0))/30),1),""),"")</f>
        <v/>
      </c>
      <c r="T1746" s="21" t="str">
        <f aca="false">IF(AND(F1746="Bilbo",ISNUMBER(J1746),ISNUMBER(K1746)),ROUND(J1746*(1+K1746/30),1),"")</f>
        <v/>
      </c>
      <c r="W1746" s="22"/>
      <c r="X1746" s="21" t="str">
        <f aca="false">IF(AND(F1746="Bilbo",E1746&lt;&gt;"",G1746&lt;&gt;"",H1746&lt;&gt;""),E1746&amp;"|"&amp;G1746&amp;"|"&amp;H1746,"")</f>
        <v/>
      </c>
      <c r="Y1746" s="21" t="str">
        <f aca="false">IF(B1746="","",IF(B1746&lt;&gt;B1745,1,0))</f>
        <v/>
      </c>
    </row>
    <row r="1747" customFormat="false" ht="15" hidden="false" customHeight="true" outlineLevel="0" collapsed="false">
      <c r="A1747" s="21" t="str">
        <f aca="false">IF(B1747="","",ROW()-4)</f>
        <v/>
      </c>
      <c r="B1747" s="22"/>
      <c r="C1747" s="21" t="str">
        <f aca="false">IF(B1747="","",CHOOSE(WEEKDAY(B1747,2),"LUNES","MARTES","MIÉRCOLES","JUEVES","VIERNES","SÁBADO","DOMINGO"))</f>
        <v/>
      </c>
      <c r="M1747" s="23"/>
      <c r="Q1747" s="21" t="str">
        <f aca="false">IF(OR(K1747="",N1747=""),"",K1747-N1747)</f>
        <v/>
      </c>
      <c r="R1747" s="21" t="str">
        <f aca="false">IF(OR(J1747="",K1747=""),"",J1747*K1747)</f>
        <v/>
      </c>
      <c r="S1747" s="21" t="str">
        <f aca="false">IF(AND(ISNUMBER(J1747),ISNUMBER(K1747),F1747&lt;&gt;"Calentamiento",F1747&lt;&gt;"Bilbo"),IF(AND(K1747&gt;0,K1747&lt;=12),ROUND(J1747*(1+(K1747+IF(ISNUMBER(L1747),L1747,0))/30),1),""),"")</f>
        <v/>
      </c>
      <c r="T1747" s="21" t="str">
        <f aca="false">IF(AND(F1747="Bilbo",ISNUMBER(J1747),ISNUMBER(K1747)),ROUND(J1747*(1+K1747/30),1),"")</f>
        <v/>
      </c>
      <c r="W1747" s="22"/>
      <c r="X1747" s="21" t="str">
        <f aca="false">IF(AND(F1747="Bilbo",E1747&lt;&gt;"",G1747&lt;&gt;"",H1747&lt;&gt;""),E1747&amp;"|"&amp;G1747&amp;"|"&amp;H1747,"")</f>
        <v/>
      </c>
      <c r="Y1747" s="21" t="str">
        <f aca="false">IF(B1747="","",IF(B1747&lt;&gt;B1746,1,0))</f>
        <v/>
      </c>
    </row>
    <row r="1748" customFormat="false" ht="15" hidden="false" customHeight="true" outlineLevel="0" collapsed="false">
      <c r="A1748" s="21" t="str">
        <f aca="false">IF(B1748="","",ROW()-4)</f>
        <v/>
      </c>
      <c r="B1748" s="22"/>
      <c r="C1748" s="21" t="str">
        <f aca="false">IF(B1748="","",CHOOSE(WEEKDAY(B1748,2),"LUNES","MARTES","MIÉRCOLES","JUEVES","VIERNES","SÁBADO","DOMINGO"))</f>
        <v/>
      </c>
      <c r="M1748" s="23"/>
      <c r="Q1748" s="21" t="str">
        <f aca="false">IF(OR(K1748="",N1748=""),"",K1748-N1748)</f>
        <v/>
      </c>
      <c r="R1748" s="21" t="str">
        <f aca="false">IF(OR(J1748="",K1748=""),"",J1748*K1748)</f>
        <v/>
      </c>
      <c r="S1748" s="21" t="str">
        <f aca="false">IF(AND(ISNUMBER(J1748),ISNUMBER(K1748),F1748&lt;&gt;"Calentamiento",F1748&lt;&gt;"Bilbo"),IF(AND(K1748&gt;0,K1748&lt;=12),ROUND(J1748*(1+(K1748+IF(ISNUMBER(L1748),L1748,0))/30),1),""),"")</f>
        <v/>
      </c>
      <c r="T1748" s="21" t="str">
        <f aca="false">IF(AND(F1748="Bilbo",ISNUMBER(J1748),ISNUMBER(K1748)),ROUND(J1748*(1+K1748/30),1),"")</f>
        <v/>
      </c>
      <c r="W1748" s="22"/>
      <c r="X1748" s="21" t="str">
        <f aca="false">IF(AND(F1748="Bilbo",E1748&lt;&gt;"",G1748&lt;&gt;"",H1748&lt;&gt;""),E1748&amp;"|"&amp;G1748&amp;"|"&amp;H1748,"")</f>
        <v/>
      </c>
      <c r="Y1748" s="21" t="str">
        <f aca="false">IF(B1748="","",IF(B1748&lt;&gt;B1747,1,0))</f>
        <v/>
      </c>
    </row>
    <row r="1749" customFormat="false" ht="15" hidden="false" customHeight="true" outlineLevel="0" collapsed="false">
      <c r="A1749" s="21" t="str">
        <f aca="false">IF(B1749="","",ROW()-4)</f>
        <v/>
      </c>
      <c r="B1749" s="22"/>
      <c r="C1749" s="21" t="str">
        <f aca="false">IF(B1749="","",CHOOSE(WEEKDAY(B1749,2),"LUNES","MARTES","MIÉRCOLES","JUEVES","VIERNES","SÁBADO","DOMINGO"))</f>
        <v/>
      </c>
      <c r="M1749" s="23"/>
      <c r="Q1749" s="21" t="str">
        <f aca="false">IF(OR(K1749="",N1749=""),"",K1749-N1749)</f>
        <v/>
      </c>
      <c r="R1749" s="21" t="str">
        <f aca="false">IF(OR(J1749="",K1749=""),"",J1749*K1749)</f>
        <v/>
      </c>
      <c r="S1749" s="21" t="str">
        <f aca="false">IF(AND(ISNUMBER(J1749),ISNUMBER(K1749),F1749&lt;&gt;"Calentamiento",F1749&lt;&gt;"Bilbo"),IF(AND(K1749&gt;0,K1749&lt;=12),ROUND(J1749*(1+(K1749+IF(ISNUMBER(L1749),L1749,0))/30),1),""),"")</f>
        <v/>
      </c>
      <c r="T1749" s="21" t="str">
        <f aca="false">IF(AND(F1749="Bilbo",ISNUMBER(J1749),ISNUMBER(K1749)),ROUND(J1749*(1+K1749/30),1),"")</f>
        <v/>
      </c>
      <c r="W1749" s="22"/>
      <c r="X1749" s="21" t="str">
        <f aca="false">IF(AND(F1749="Bilbo",E1749&lt;&gt;"",G1749&lt;&gt;"",H1749&lt;&gt;""),E1749&amp;"|"&amp;G1749&amp;"|"&amp;H1749,"")</f>
        <v/>
      </c>
      <c r="Y1749" s="21" t="str">
        <f aca="false">IF(B1749="","",IF(B1749&lt;&gt;B1748,1,0))</f>
        <v/>
      </c>
    </row>
    <row r="1750" customFormat="false" ht="15" hidden="false" customHeight="true" outlineLevel="0" collapsed="false">
      <c r="A1750" s="21" t="str">
        <f aca="false">IF(B1750="","",ROW()-4)</f>
        <v/>
      </c>
      <c r="B1750" s="22"/>
      <c r="C1750" s="21" t="str">
        <f aca="false">IF(B1750="","",CHOOSE(WEEKDAY(B1750,2),"LUNES","MARTES","MIÉRCOLES","JUEVES","VIERNES","SÁBADO","DOMINGO"))</f>
        <v/>
      </c>
      <c r="M1750" s="23"/>
      <c r="Q1750" s="21" t="str">
        <f aca="false">IF(OR(K1750="",N1750=""),"",K1750-N1750)</f>
        <v/>
      </c>
      <c r="R1750" s="21" t="str">
        <f aca="false">IF(OR(J1750="",K1750=""),"",J1750*K1750)</f>
        <v/>
      </c>
      <c r="S1750" s="21" t="str">
        <f aca="false">IF(AND(ISNUMBER(J1750),ISNUMBER(K1750),F1750&lt;&gt;"Calentamiento",F1750&lt;&gt;"Bilbo"),IF(AND(K1750&gt;0,K1750&lt;=12),ROUND(J1750*(1+(K1750+IF(ISNUMBER(L1750),L1750,0))/30),1),""),"")</f>
        <v/>
      </c>
      <c r="T1750" s="21" t="str">
        <f aca="false">IF(AND(F1750="Bilbo",ISNUMBER(J1750),ISNUMBER(K1750)),ROUND(J1750*(1+K1750/30),1),"")</f>
        <v/>
      </c>
      <c r="W1750" s="22"/>
      <c r="X1750" s="21" t="str">
        <f aca="false">IF(AND(F1750="Bilbo",E1750&lt;&gt;"",G1750&lt;&gt;"",H1750&lt;&gt;""),E1750&amp;"|"&amp;G1750&amp;"|"&amp;H1750,"")</f>
        <v/>
      </c>
      <c r="Y1750" s="21" t="str">
        <f aca="false">IF(B1750="","",IF(B1750&lt;&gt;B1749,1,0))</f>
        <v/>
      </c>
    </row>
    <row r="1751" customFormat="false" ht="15" hidden="false" customHeight="true" outlineLevel="0" collapsed="false">
      <c r="A1751" s="21" t="str">
        <f aca="false">IF(B1751="","",ROW()-4)</f>
        <v/>
      </c>
      <c r="B1751" s="22"/>
      <c r="C1751" s="21" t="str">
        <f aca="false">IF(B1751="","",CHOOSE(WEEKDAY(B1751,2),"LUNES","MARTES","MIÉRCOLES","JUEVES","VIERNES","SÁBADO","DOMINGO"))</f>
        <v/>
      </c>
      <c r="M1751" s="23"/>
      <c r="Q1751" s="21" t="str">
        <f aca="false">IF(OR(K1751="",N1751=""),"",K1751-N1751)</f>
        <v/>
      </c>
      <c r="R1751" s="21" t="str">
        <f aca="false">IF(OR(J1751="",K1751=""),"",J1751*K1751)</f>
        <v/>
      </c>
      <c r="S1751" s="21" t="str">
        <f aca="false">IF(AND(ISNUMBER(J1751),ISNUMBER(K1751),F1751&lt;&gt;"Calentamiento",F1751&lt;&gt;"Bilbo"),IF(AND(K1751&gt;0,K1751&lt;=12),ROUND(J1751*(1+(K1751+IF(ISNUMBER(L1751),L1751,0))/30),1),""),"")</f>
        <v/>
      </c>
      <c r="T1751" s="21" t="str">
        <f aca="false">IF(AND(F1751="Bilbo",ISNUMBER(J1751),ISNUMBER(K1751)),ROUND(J1751*(1+K1751/30),1),"")</f>
        <v/>
      </c>
      <c r="W1751" s="22"/>
      <c r="X1751" s="21" t="str">
        <f aca="false">IF(AND(F1751="Bilbo",E1751&lt;&gt;"",G1751&lt;&gt;"",H1751&lt;&gt;""),E1751&amp;"|"&amp;G1751&amp;"|"&amp;H1751,"")</f>
        <v/>
      </c>
      <c r="Y1751" s="21" t="str">
        <f aca="false">IF(B1751="","",IF(B1751&lt;&gt;B1750,1,0))</f>
        <v/>
      </c>
    </row>
    <row r="1752" customFormat="false" ht="15" hidden="false" customHeight="true" outlineLevel="0" collapsed="false">
      <c r="A1752" s="21" t="str">
        <f aca="false">IF(B1752="","",ROW()-4)</f>
        <v/>
      </c>
      <c r="B1752" s="22"/>
      <c r="C1752" s="21" t="str">
        <f aca="false">IF(B1752="","",CHOOSE(WEEKDAY(B1752,2),"LUNES","MARTES","MIÉRCOLES","JUEVES","VIERNES","SÁBADO","DOMINGO"))</f>
        <v/>
      </c>
      <c r="M1752" s="23"/>
      <c r="Q1752" s="21" t="str">
        <f aca="false">IF(OR(K1752="",N1752=""),"",K1752-N1752)</f>
        <v/>
      </c>
      <c r="R1752" s="21" t="str">
        <f aca="false">IF(OR(J1752="",K1752=""),"",J1752*K1752)</f>
        <v/>
      </c>
      <c r="S1752" s="21" t="str">
        <f aca="false">IF(AND(ISNUMBER(J1752),ISNUMBER(K1752),F1752&lt;&gt;"Calentamiento",F1752&lt;&gt;"Bilbo"),IF(AND(K1752&gt;0,K1752&lt;=12),ROUND(J1752*(1+(K1752+IF(ISNUMBER(L1752),L1752,0))/30),1),""),"")</f>
        <v/>
      </c>
      <c r="T1752" s="21" t="str">
        <f aca="false">IF(AND(F1752="Bilbo",ISNUMBER(J1752),ISNUMBER(K1752)),ROUND(J1752*(1+K1752/30),1),"")</f>
        <v/>
      </c>
      <c r="W1752" s="22"/>
      <c r="X1752" s="21" t="str">
        <f aca="false">IF(AND(F1752="Bilbo",E1752&lt;&gt;"",G1752&lt;&gt;"",H1752&lt;&gt;""),E1752&amp;"|"&amp;G1752&amp;"|"&amp;H1752,"")</f>
        <v/>
      </c>
      <c r="Y1752" s="21" t="str">
        <f aca="false">IF(B1752="","",IF(B1752&lt;&gt;B1751,1,0))</f>
        <v/>
      </c>
    </row>
    <row r="1753" customFormat="false" ht="15" hidden="false" customHeight="true" outlineLevel="0" collapsed="false">
      <c r="A1753" s="21" t="str">
        <f aca="false">IF(B1753="","",ROW()-4)</f>
        <v/>
      </c>
      <c r="B1753" s="22"/>
      <c r="C1753" s="21" t="str">
        <f aca="false">IF(B1753="","",CHOOSE(WEEKDAY(B1753,2),"LUNES","MARTES","MIÉRCOLES","JUEVES","VIERNES","SÁBADO","DOMINGO"))</f>
        <v/>
      </c>
      <c r="M1753" s="23"/>
      <c r="Q1753" s="21" t="str">
        <f aca="false">IF(OR(K1753="",N1753=""),"",K1753-N1753)</f>
        <v/>
      </c>
      <c r="R1753" s="21" t="str">
        <f aca="false">IF(OR(J1753="",K1753=""),"",J1753*K1753)</f>
        <v/>
      </c>
      <c r="S1753" s="21" t="str">
        <f aca="false">IF(AND(ISNUMBER(J1753),ISNUMBER(K1753),F1753&lt;&gt;"Calentamiento",F1753&lt;&gt;"Bilbo"),IF(AND(K1753&gt;0,K1753&lt;=12),ROUND(J1753*(1+(K1753+IF(ISNUMBER(L1753),L1753,0))/30),1),""),"")</f>
        <v/>
      </c>
      <c r="T1753" s="21" t="str">
        <f aca="false">IF(AND(F1753="Bilbo",ISNUMBER(J1753),ISNUMBER(K1753)),ROUND(J1753*(1+K1753/30),1),"")</f>
        <v/>
      </c>
      <c r="W1753" s="22"/>
      <c r="X1753" s="21" t="str">
        <f aca="false">IF(AND(F1753="Bilbo",E1753&lt;&gt;"",G1753&lt;&gt;"",H1753&lt;&gt;""),E1753&amp;"|"&amp;G1753&amp;"|"&amp;H1753,"")</f>
        <v/>
      </c>
      <c r="Y1753" s="21" t="str">
        <f aca="false">IF(B1753="","",IF(B1753&lt;&gt;B1752,1,0))</f>
        <v/>
      </c>
    </row>
    <row r="1754" customFormat="false" ht="15" hidden="false" customHeight="true" outlineLevel="0" collapsed="false">
      <c r="A1754" s="21" t="str">
        <f aca="false">IF(B1754="","",ROW()-4)</f>
        <v/>
      </c>
      <c r="B1754" s="22"/>
      <c r="C1754" s="21" t="str">
        <f aca="false">IF(B1754="","",CHOOSE(WEEKDAY(B1754,2),"LUNES","MARTES","MIÉRCOLES","JUEVES","VIERNES","SÁBADO","DOMINGO"))</f>
        <v/>
      </c>
      <c r="M1754" s="23"/>
      <c r="Q1754" s="21" t="str">
        <f aca="false">IF(OR(K1754="",N1754=""),"",K1754-N1754)</f>
        <v/>
      </c>
      <c r="R1754" s="21" t="str">
        <f aca="false">IF(OR(J1754="",K1754=""),"",J1754*K1754)</f>
        <v/>
      </c>
      <c r="S1754" s="21" t="str">
        <f aca="false">IF(AND(ISNUMBER(J1754),ISNUMBER(K1754),F1754&lt;&gt;"Calentamiento",F1754&lt;&gt;"Bilbo"),IF(AND(K1754&gt;0,K1754&lt;=12),ROUND(J1754*(1+(K1754+IF(ISNUMBER(L1754),L1754,0))/30),1),""),"")</f>
        <v/>
      </c>
      <c r="T1754" s="21" t="str">
        <f aca="false">IF(AND(F1754="Bilbo",ISNUMBER(J1754),ISNUMBER(K1754)),ROUND(J1754*(1+K1754/30),1),"")</f>
        <v/>
      </c>
      <c r="W1754" s="22"/>
      <c r="X1754" s="21" t="str">
        <f aca="false">IF(AND(F1754="Bilbo",E1754&lt;&gt;"",G1754&lt;&gt;"",H1754&lt;&gt;""),E1754&amp;"|"&amp;G1754&amp;"|"&amp;H1754,"")</f>
        <v/>
      </c>
      <c r="Y1754" s="21" t="str">
        <f aca="false">IF(B1754="","",IF(B1754&lt;&gt;B1753,1,0))</f>
        <v/>
      </c>
    </row>
    <row r="1755" customFormat="false" ht="15" hidden="false" customHeight="true" outlineLevel="0" collapsed="false">
      <c r="A1755" s="21" t="str">
        <f aca="false">IF(B1755="","",ROW()-4)</f>
        <v/>
      </c>
      <c r="B1755" s="22"/>
      <c r="C1755" s="21" t="str">
        <f aca="false">IF(B1755="","",CHOOSE(WEEKDAY(B1755,2),"LUNES","MARTES","MIÉRCOLES","JUEVES","VIERNES","SÁBADO","DOMINGO"))</f>
        <v/>
      </c>
      <c r="M1755" s="23"/>
      <c r="Q1755" s="21" t="str">
        <f aca="false">IF(OR(K1755="",N1755=""),"",K1755-N1755)</f>
        <v/>
      </c>
      <c r="R1755" s="21" t="str">
        <f aca="false">IF(OR(J1755="",K1755=""),"",J1755*K1755)</f>
        <v/>
      </c>
      <c r="S1755" s="21" t="str">
        <f aca="false">IF(AND(ISNUMBER(J1755),ISNUMBER(K1755),F1755&lt;&gt;"Calentamiento",F1755&lt;&gt;"Bilbo"),IF(AND(K1755&gt;0,K1755&lt;=12),ROUND(J1755*(1+(K1755+IF(ISNUMBER(L1755),L1755,0))/30),1),""),"")</f>
        <v/>
      </c>
      <c r="T1755" s="21" t="str">
        <f aca="false">IF(AND(F1755="Bilbo",ISNUMBER(J1755),ISNUMBER(K1755)),ROUND(J1755*(1+K1755/30),1),"")</f>
        <v/>
      </c>
      <c r="W1755" s="22"/>
      <c r="X1755" s="21" t="str">
        <f aca="false">IF(AND(F1755="Bilbo",E1755&lt;&gt;"",G1755&lt;&gt;"",H1755&lt;&gt;""),E1755&amp;"|"&amp;G1755&amp;"|"&amp;H1755,"")</f>
        <v/>
      </c>
      <c r="Y1755" s="21" t="str">
        <f aca="false">IF(B1755="","",IF(B1755&lt;&gt;B1754,1,0))</f>
        <v/>
      </c>
    </row>
    <row r="1756" customFormat="false" ht="15" hidden="false" customHeight="true" outlineLevel="0" collapsed="false">
      <c r="A1756" s="21" t="str">
        <f aca="false">IF(B1756="","",ROW()-4)</f>
        <v/>
      </c>
      <c r="B1756" s="22"/>
      <c r="C1756" s="21" t="str">
        <f aca="false">IF(B1756="","",CHOOSE(WEEKDAY(B1756,2),"LUNES","MARTES","MIÉRCOLES","JUEVES","VIERNES","SÁBADO","DOMINGO"))</f>
        <v/>
      </c>
      <c r="M1756" s="23"/>
      <c r="Q1756" s="21" t="str">
        <f aca="false">IF(OR(K1756="",N1756=""),"",K1756-N1756)</f>
        <v/>
      </c>
      <c r="R1756" s="21" t="str">
        <f aca="false">IF(OR(J1756="",K1756=""),"",J1756*K1756)</f>
        <v/>
      </c>
      <c r="S1756" s="21" t="str">
        <f aca="false">IF(AND(ISNUMBER(J1756),ISNUMBER(K1756),F1756&lt;&gt;"Calentamiento",F1756&lt;&gt;"Bilbo"),IF(AND(K1756&gt;0,K1756&lt;=12),ROUND(J1756*(1+(K1756+IF(ISNUMBER(L1756),L1756,0))/30),1),""),"")</f>
        <v/>
      </c>
      <c r="T1756" s="21" t="str">
        <f aca="false">IF(AND(F1756="Bilbo",ISNUMBER(J1756),ISNUMBER(K1756)),ROUND(J1756*(1+K1756/30),1),"")</f>
        <v/>
      </c>
      <c r="W1756" s="22"/>
      <c r="X1756" s="21" t="str">
        <f aca="false">IF(AND(F1756="Bilbo",E1756&lt;&gt;"",G1756&lt;&gt;"",H1756&lt;&gt;""),E1756&amp;"|"&amp;G1756&amp;"|"&amp;H1756,"")</f>
        <v/>
      </c>
      <c r="Y1756" s="21" t="str">
        <f aca="false">IF(B1756="","",IF(B1756&lt;&gt;B1755,1,0))</f>
        <v/>
      </c>
    </row>
    <row r="1757" customFormat="false" ht="15" hidden="false" customHeight="true" outlineLevel="0" collapsed="false">
      <c r="A1757" s="21" t="str">
        <f aca="false">IF(B1757="","",ROW()-4)</f>
        <v/>
      </c>
      <c r="B1757" s="22"/>
      <c r="C1757" s="21" t="str">
        <f aca="false">IF(B1757="","",CHOOSE(WEEKDAY(B1757,2),"LUNES","MARTES","MIÉRCOLES","JUEVES","VIERNES","SÁBADO","DOMINGO"))</f>
        <v/>
      </c>
      <c r="M1757" s="23"/>
      <c r="Q1757" s="21" t="str">
        <f aca="false">IF(OR(K1757="",N1757=""),"",K1757-N1757)</f>
        <v/>
      </c>
      <c r="R1757" s="21" t="str">
        <f aca="false">IF(OR(J1757="",K1757=""),"",J1757*K1757)</f>
        <v/>
      </c>
      <c r="S1757" s="21" t="str">
        <f aca="false">IF(AND(ISNUMBER(J1757),ISNUMBER(K1757),F1757&lt;&gt;"Calentamiento",F1757&lt;&gt;"Bilbo"),IF(AND(K1757&gt;0,K1757&lt;=12),ROUND(J1757*(1+(K1757+IF(ISNUMBER(L1757),L1757,0))/30),1),""),"")</f>
        <v/>
      </c>
      <c r="T1757" s="21" t="str">
        <f aca="false">IF(AND(F1757="Bilbo",ISNUMBER(J1757),ISNUMBER(K1757)),ROUND(J1757*(1+K1757/30),1),"")</f>
        <v/>
      </c>
      <c r="W1757" s="22"/>
      <c r="X1757" s="21" t="str">
        <f aca="false">IF(AND(F1757="Bilbo",E1757&lt;&gt;"",G1757&lt;&gt;"",H1757&lt;&gt;""),E1757&amp;"|"&amp;G1757&amp;"|"&amp;H1757,"")</f>
        <v/>
      </c>
      <c r="Y1757" s="21" t="str">
        <f aca="false">IF(B1757="","",IF(B1757&lt;&gt;B1756,1,0))</f>
        <v/>
      </c>
    </row>
    <row r="1758" customFormat="false" ht="15" hidden="false" customHeight="true" outlineLevel="0" collapsed="false">
      <c r="A1758" s="21" t="str">
        <f aca="false">IF(B1758="","",ROW()-4)</f>
        <v/>
      </c>
      <c r="B1758" s="22"/>
      <c r="C1758" s="21" t="str">
        <f aca="false">IF(B1758="","",CHOOSE(WEEKDAY(B1758,2),"LUNES","MARTES","MIÉRCOLES","JUEVES","VIERNES","SÁBADO","DOMINGO"))</f>
        <v/>
      </c>
      <c r="M1758" s="23"/>
      <c r="Q1758" s="21" t="str">
        <f aca="false">IF(OR(K1758="",N1758=""),"",K1758-N1758)</f>
        <v/>
      </c>
      <c r="R1758" s="21" t="str">
        <f aca="false">IF(OR(J1758="",K1758=""),"",J1758*K1758)</f>
        <v/>
      </c>
      <c r="S1758" s="21" t="str">
        <f aca="false">IF(AND(ISNUMBER(J1758),ISNUMBER(K1758),F1758&lt;&gt;"Calentamiento",F1758&lt;&gt;"Bilbo"),IF(AND(K1758&gt;0,K1758&lt;=12),ROUND(J1758*(1+(K1758+IF(ISNUMBER(L1758),L1758,0))/30),1),""),"")</f>
        <v/>
      </c>
      <c r="T1758" s="21" t="str">
        <f aca="false">IF(AND(F1758="Bilbo",ISNUMBER(J1758),ISNUMBER(K1758)),ROUND(J1758*(1+K1758/30),1),"")</f>
        <v/>
      </c>
      <c r="W1758" s="22"/>
      <c r="X1758" s="21" t="str">
        <f aca="false">IF(AND(F1758="Bilbo",E1758&lt;&gt;"",G1758&lt;&gt;"",H1758&lt;&gt;""),E1758&amp;"|"&amp;G1758&amp;"|"&amp;H1758,"")</f>
        <v/>
      </c>
      <c r="Y1758" s="21" t="str">
        <f aca="false">IF(B1758="","",IF(B1758&lt;&gt;B1757,1,0))</f>
        <v/>
      </c>
    </row>
    <row r="1759" customFormat="false" ht="15" hidden="false" customHeight="true" outlineLevel="0" collapsed="false">
      <c r="A1759" s="21" t="str">
        <f aca="false">IF(B1759="","",ROW()-4)</f>
        <v/>
      </c>
      <c r="B1759" s="22"/>
      <c r="C1759" s="21" t="str">
        <f aca="false">IF(B1759="","",CHOOSE(WEEKDAY(B1759,2),"LUNES","MARTES","MIÉRCOLES","JUEVES","VIERNES","SÁBADO","DOMINGO"))</f>
        <v/>
      </c>
      <c r="M1759" s="23"/>
      <c r="Q1759" s="21" t="str">
        <f aca="false">IF(OR(K1759="",N1759=""),"",K1759-N1759)</f>
        <v/>
      </c>
      <c r="R1759" s="21" t="str">
        <f aca="false">IF(OR(J1759="",K1759=""),"",J1759*K1759)</f>
        <v/>
      </c>
      <c r="S1759" s="21" t="str">
        <f aca="false">IF(AND(ISNUMBER(J1759),ISNUMBER(K1759),F1759&lt;&gt;"Calentamiento",F1759&lt;&gt;"Bilbo"),IF(AND(K1759&gt;0,K1759&lt;=12),ROUND(J1759*(1+(K1759+IF(ISNUMBER(L1759),L1759,0))/30),1),""),"")</f>
        <v/>
      </c>
      <c r="T1759" s="21" t="str">
        <f aca="false">IF(AND(F1759="Bilbo",ISNUMBER(J1759),ISNUMBER(K1759)),ROUND(J1759*(1+K1759/30),1),"")</f>
        <v/>
      </c>
      <c r="W1759" s="22"/>
      <c r="X1759" s="21" t="str">
        <f aca="false">IF(AND(F1759="Bilbo",E1759&lt;&gt;"",G1759&lt;&gt;"",H1759&lt;&gt;""),E1759&amp;"|"&amp;G1759&amp;"|"&amp;H1759,"")</f>
        <v/>
      </c>
      <c r="Y1759" s="21" t="str">
        <f aca="false">IF(B1759="","",IF(B1759&lt;&gt;B1758,1,0))</f>
        <v/>
      </c>
    </row>
    <row r="1760" customFormat="false" ht="15" hidden="false" customHeight="true" outlineLevel="0" collapsed="false">
      <c r="A1760" s="21" t="str">
        <f aca="false">IF(B1760="","",ROW()-4)</f>
        <v/>
      </c>
      <c r="B1760" s="22"/>
      <c r="C1760" s="21" t="str">
        <f aca="false">IF(B1760="","",CHOOSE(WEEKDAY(B1760,2),"LUNES","MARTES","MIÉRCOLES","JUEVES","VIERNES","SÁBADO","DOMINGO"))</f>
        <v/>
      </c>
      <c r="M1760" s="23"/>
      <c r="Q1760" s="21" t="str">
        <f aca="false">IF(OR(K1760="",N1760=""),"",K1760-N1760)</f>
        <v/>
      </c>
      <c r="R1760" s="21" t="str">
        <f aca="false">IF(OR(J1760="",K1760=""),"",J1760*K1760)</f>
        <v/>
      </c>
      <c r="S1760" s="21" t="str">
        <f aca="false">IF(AND(ISNUMBER(J1760),ISNUMBER(K1760),F1760&lt;&gt;"Calentamiento",F1760&lt;&gt;"Bilbo"),IF(AND(K1760&gt;0,K1760&lt;=12),ROUND(J1760*(1+(K1760+IF(ISNUMBER(L1760),L1760,0))/30),1),""),"")</f>
        <v/>
      </c>
      <c r="T1760" s="21" t="str">
        <f aca="false">IF(AND(F1760="Bilbo",ISNUMBER(J1760),ISNUMBER(K1760)),ROUND(J1760*(1+K1760/30),1),"")</f>
        <v/>
      </c>
      <c r="W1760" s="22"/>
      <c r="X1760" s="21" t="str">
        <f aca="false">IF(AND(F1760="Bilbo",E1760&lt;&gt;"",G1760&lt;&gt;"",H1760&lt;&gt;""),E1760&amp;"|"&amp;G1760&amp;"|"&amp;H1760,"")</f>
        <v/>
      </c>
      <c r="Y1760" s="21" t="str">
        <f aca="false">IF(B1760="","",IF(B1760&lt;&gt;B1759,1,0))</f>
        <v/>
      </c>
    </row>
    <row r="1761" customFormat="false" ht="15" hidden="false" customHeight="true" outlineLevel="0" collapsed="false">
      <c r="A1761" s="21" t="str">
        <f aca="false">IF(B1761="","",ROW()-4)</f>
        <v/>
      </c>
      <c r="B1761" s="22"/>
      <c r="C1761" s="21" t="str">
        <f aca="false">IF(B1761="","",CHOOSE(WEEKDAY(B1761,2),"LUNES","MARTES","MIÉRCOLES","JUEVES","VIERNES","SÁBADO","DOMINGO"))</f>
        <v/>
      </c>
      <c r="M1761" s="23"/>
      <c r="Q1761" s="21" t="str">
        <f aca="false">IF(OR(K1761="",N1761=""),"",K1761-N1761)</f>
        <v/>
      </c>
      <c r="R1761" s="21" t="str">
        <f aca="false">IF(OR(J1761="",K1761=""),"",J1761*K1761)</f>
        <v/>
      </c>
      <c r="S1761" s="21" t="str">
        <f aca="false">IF(AND(ISNUMBER(J1761),ISNUMBER(K1761),F1761&lt;&gt;"Calentamiento",F1761&lt;&gt;"Bilbo"),IF(AND(K1761&gt;0,K1761&lt;=12),ROUND(J1761*(1+(K1761+IF(ISNUMBER(L1761),L1761,0))/30),1),""),"")</f>
        <v/>
      </c>
      <c r="T1761" s="21" t="str">
        <f aca="false">IF(AND(F1761="Bilbo",ISNUMBER(J1761),ISNUMBER(K1761)),ROUND(J1761*(1+K1761/30),1),"")</f>
        <v/>
      </c>
      <c r="W1761" s="22"/>
      <c r="X1761" s="21" t="str">
        <f aca="false">IF(AND(F1761="Bilbo",E1761&lt;&gt;"",G1761&lt;&gt;"",H1761&lt;&gt;""),E1761&amp;"|"&amp;G1761&amp;"|"&amp;H1761,"")</f>
        <v/>
      </c>
      <c r="Y1761" s="21" t="str">
        <f aca="false">IF(B1761="","",IF(B1761&lt;&gt;B1760,1,0))</f>
        <v/>
      </c>
    </row>
    <row r="1762" customFormat="false" ht="15" hidden="false" customHeight="true" outlineLevel="0" collapsed="false">
      <c r="A1762" s="21" t="str">
        <f aca="false">IF(B1762="","",ROW()-4)</f>
        <v/>
      </c>
      <c r="B1762" s="22"/>
      <c r="C1762" s="21" t="str">
        <f aca="false">IF(B1762="","",CHOOSE(WEEKDAY(B1762,2),"LUNES","MARTES","MIÉRCOLES","JUEVES","VIERNES","SÁBADO","DOMINGO"))</f>
        <v/>
      </c>
      <c r="M1762" s="23"/>
      <c r="Q1762" s="21" t="str">
        <f aca="false">IF(OR(K1762="",N1762=""),"",K1762-N1762)</f>
        <v/>
      </c>
      <c r="R1762" s="21" t="str">
        <f aca="false">IF(OR(J1762="",K1762=""),"",J1762*K1762)</f>
        <v/>
      </c>
      <c r="S1762" s="21" t="str">
        <f aca="false">IF(AND(ISNUMBER(J1762),ISNUMBER(K1762),F1762&lt;&gt;"Calentamiento",F1762&lt;&gt;"Bilbo"),IF(AND(K1762&gt;0,K1762&lt;=12),ROUND(J1762*(1+(K1762+IF(ISNUMBER(L1762),L1762,0))/30),1),""),"")</f>
        <v/>
      </c>
      <c r="T1762" s="21" t="str">
        <f aca="false">IF(AND(F1762="Bilbo",ISNUMBER(J1762),ISNUMBER(K1762)),ROUND(J1762*(1+K1762/30),1),"")</f>
        <v/>
      </c>
      <c r="W1762" s="22"/>
      <c r="X1762" s="21" t="str">
        <f aca="false">IF(AND(F1762="Bilbo",E1762&lt;&gt;"",G1762&lt;&gt;"",H1762&lt;&gt;""),E1762&amp;"|"&amp;G1762&amp;"|"&amp;H1762,"")</f>
        <v/>
      </c>
      <c r="Y1762" s="21" t="str">
        <f aca="false">IF(B1762="","",IF(B1762&lt;&gt;B1761,1,0))</f>
        <v/>
      </c>
    </row>
    <row r="1763" customFormat="false" ht="15" hidden="false" customHeight="true" outlineLevel="0" collapsed="false">
      <c r="A1763" s="21" t="str">
        <f aca="false">IF(B1763="","",ROW()-4)</f>
        <v/>
      </c>
      <c r="B1763" s="22"/>
      <c r="C1763" s="21" t="str">
        <f aca="false">IF(B1763="","",CHOOSE(WEEKDAY(B1763,2),"LUNES","MARTES","MIÉRCOLES","JUEVES","VIERNES","SÁBADO","DOMINGO"))</f>
        <v/>
      </c>
      <c r="M1763" s="23"/>
      <c r="Q1763" s="21" t="str">
        <f aca="false">IF(OR(K1763="",N1763=""),"",K1763-N1763)</f>
        <v/>
      </c>
      <c r="R1763" s="21" t="str">
        <f aca="false">IF(OR(J1763="",K1763=""),"",J1763*K1763)</f>
        <v/>
      </c>
      <c r="S1763" s="21" t="str">
        <f aca="false">IF(AND(ISNUMBER(J1763),ISNUMBER(K1763),F1763&lt;&gt;"Calentamiento",F1763&lt;&gt;"Bilbo"),IF(AND(K1763&gt;0,K1763&lt;=12),ROUND(J1763*(1+(K1763+IF(ISNUMBER(L1763),L1763,0))/30),1),""),"")</f>
        <v/>
      </c>
      <c r="T1763" s="21" t="str">
        <f aca="false">IF(AND(F1763="Bilbo",ISNUMBER(J1763),ISNUMBER(K1763)),ROUND(J1763*(1+K1763/30),1),"")</f>
        <v/>
      </c>
      <c r="W1763" s="22"/>
      <c r="X1763" s="21" t="str">
        <f aca="false">IF(AND(F1763="Bilbo",E1763&lt;&gt;"",G1763&lt;&gt;"",H1763&lt;&gt;""),E1763&amp;"|"&amp;G1763&amp;"|"&amp;H1763,"")</f>
        <v/>
      </c>
      <c r="Y1763" s="21" t="str">
        <f aca="false">IF(B1763="","",IF(B1763&lt;&gt;B1762,1,0))</f>
        <v/>
      </c>
    </row>
    <row r="1764" customFormat="false" ht="15" hidden="false" customHeight="true" outlineLevel="0" collapsed="false">
      <c r="A1764" s="21" t="str">
        <f aca="false">IF(B1764="","",ROW()-4)</f>
        <v/>
      </c>
      <c r="B1764" s="22"/>
      <c r="C1764" s="21" t="str">
        <f aca="false">IF(B1764="","",CHOOSE(WEEKDAY(B1764,2),"LUNES","MARTES","MIÉRCOLES","JUEVES","VIERNES","SÁBADO","DOMINGO"))</f>
        <v/>
      </c>
      <c r="M1764" s="23"/>
      <c r="Q1764" s="21" t="str">
        <f aca="false">IF(OR(K1764="",N1764=""),"",K1764-N1764)</f>
        <v/>
      </c>
      <c r="R1764" s="21" t="str">
        <f aca="false">IF(OR(J1764="",K1764=""),"",J1764*K1764)</f>
        <v/>
      </c>
      <c r="S1764" s="21" t="str">
        <f aca="false">IF(AND(ISNUMBER(J1764),ISNUMBER(K1764),F1764&lt;&gt;"Calentamiento",F1764&lt;&gt;"Bilbo"),IF(AND(K1764&gt;0,K1764&lt;=12),ROUND(J1764*(1+(K1764+IF(ISNUMBER(L1764),L1764,0))/30),1),""),"")</f>
        <v/>
      </c>
      <c r="T1764" s="21" t="str">
        <f aca="false">IF(AND(F1764="Bilbo",ISNUMBER(J1764),ISNUMBER(K1764)),ROUND(J1764*(1+K1764/30),1),"")</f>
        <v/>
      </c>
      <c r="W1764" s="22"/>
      <c r="X1764" s="21" t="str">
        <f aca="false">IF(AND(F1764="Bilbo",E1764&lt;&gt;"",G1764&lt;&gt;"",H1764&lt;&gt;""),E1764&amp;"|"&amp;G1764&amp;"|"&amp;H1764,"")</f>
        <v/>
      </c>
      <c r="Y1764" s="21" t="str">
        <f aca="false">IF(B1764="","",IF(B1764&lt;&gt;B1763,1,0))</f>
        <v/>
      </c>
    </row>
    <row r="1765" customFormat="false" ht="15" hidden="false" customHeight="true" outlineLevel="0" collapsed="false">
      <c r="A1765" s="21" t="str">
        <f aca="false">IF(B1765="","",ROW()-4)</f>
        <v/>
      </c>
      <c r="B1765" s="22"/>
      <c r="C1765" s="21" t="str">
        <f aca="false">IF(B1765="","",CHOOSE(WEEKDAY(B1765,2),"LUNES","MARTES","MIÉRCOLES","JUEVES","VIERNES","SÁBADO","DOMINGO"))</f>
        <v/>
      </c>
      <c r="M1765" s="23"/>
      <c r="Q1765" s="21" t="str">
        <f aca="false">IF(OR(K1765="",N1765=""),"",K1765-N1765)</f>
        <v/>
      </c>
      <c r="R1765" s="21" t="str">
        <f aca="false">IF(OR(J1765="",K1765=""),"",J1765*K1765)</f>
        <v/>
      </c>
      <c r="S1765" s="21" t="str">
        <f aca="false">IF(AND(ISNUMBER(J1765),ISNUMBER(K1765),F1765&lt;&gt;"Calentamiento",F1765&lt;&gt;"Bilbo"),IF(AND(K1765&gt;0,K1765&lt;=12),ROUND(J1765*(1+(K1765+IF(ISNUMBER(L1765),L1765,0))/30),1),""),"")</f>
        <v/>
      </c>
      <c r="T1765" s="21" t="str">
        <f aca="false">IF(AND(F1765="Bilbo",ISNUMBER(J1765),ISNUMBER(K1765)),ROUND(J1765*(1+K1765/30),1),"")</f>
        <v/>
      </c>
      <c r="W1765" s="22"/>
      <c r="X1765" s="21" t="str">
        <f aca="false">IF(AND(F1765="Bilbo",E1765&lt;&gt;"",G1765&lt;&gt;"",H1765&lt;&gt;""),E1765&amp;"|"&amp;G1765&amp;"|"&amp;H1765,"")</f>
        <v/>
      </c>
      <c r="Y1765" s="21" t="str">
        <f aca="false">IF(B1765="","",IF(B1765&lt;&gt;B1764,1,0))</f>
        <v/>
      </c>
    </row>
    <row r="1766" customFormat="false" ht="15" hidden="false" customHeight="true" outlineLevel="0" collapsed="false">
      <c r="A1766" s="21" t="str">
        <f aca="false">IF(B1766="","",ROW()-4)</f>
        <v/>
      </c>
      <c r="B1766" s="22"/>
      <c r="C1766" s="21" t="str">
        <f aca="false">IF(B1766="","",CHOOSE(WEEKDAY(B1766,2),"LUNES","MARTES","MIÉRCOLES","JUEVES","VIERNES","SÁBADO","DOMINGO"))</f>
        <v/>
      </c>
      <c r="M1766" s="23"/>
      <c r="Q1766" s="21" t="str">
        <f aca="false">IF(OR(K1766="",N1766=""),"",K1766-N1766)</f>
        <v/>
      </c>
      <c r="R1766" s="21" t="str">
        <f aca="false">IF(OR(J1766="",K1766=""),"",J1766*K1766)</f>
        <v/>
      </c>
      <c r="S1766" s="21" t="str">
        <f aca="false">IF(AND(ISNUMBER(J1766),ISNUMBER(K1766),F1766&lt;&gt;"Calentamiento",F1766&lt;&gt;"Bilbo"),IF(AND(K1766&gt;0,K1766&lt;=12),ROUND(J1766*(1+(K1766+IF(ISNUMBER(L1766),L1766,0))/30),1),""),"")</f>
        <v/>
      </c>
      <c r="T1766" s="21" t="str">
        <f aca="false">IF(AND(F1766="Bilbo",ISNUMBER(J1766),ISNUMBER(K1766)),ROUND(J1766*(1+K1766/30),1),"")</f>
        <v/>
      </c>
      <c r="W1766" s="22"/>
      <c r="X1766" s="21" t="str">
        <f aca="false">IF(AND(F1766="Bilbo",E1766&lt;&gt;"",G1766&lt;&gt;"",H1766&lt;&gt;""),E1766&amp;"|"&amp;G1766&amp;"|"&amp;H1766,"")</f>
        <v/>
      </c>
      <c r="Y1766" s="21" t="str">
        <f aca="false">IF(B1766="","",IF(B1766&lt;&gt;B1765,1,0))</f>
        <v/>
      </c>
    </row>
    <row r="1767" customFormat="false" ht="15" hidden="false" customHeight="true" outlineLevel="0" collapsed="false">
      <c r="A1767" s="21" t="str">
        <f aca="false">IF(B1767="","",ROW()-4)</f>
        <v/>
      </c>
      <c r="B1767" s="22"/>
      <c r="C1767" s="21" t="str">
        <f aca="false">IF(B1767="","",CHOOSE(WEEKDAY(B1767,2),"LUNES","MARTES","MIÉRCOLES","JUEVES","VIERNES","SÁBADO","DOMINGO"))</f>
        <v/>
      </c>
      <c r="M1767" s="23"/>
      <c r="Q1767" s="21" t="str">
        <f aca="false">IF(OR(K1767="",N1767=""),"",K1767-N1767)</f>
        <v/>
      </c>
      <c r="R1767" s="21" t="str">
        <f aca="false">IF(OR(J1767="",K1767=""),"",J1767*K1767)</f>
        <v/>
      </c>
      <c r="S1767" s="21" t="str">
        <f aca="false">IF(AND(ISNUMBER(J1767),ISNUMBER(K1767),F1767&lt;&gt;"Calentamiento",F1767&lt;&gt;"Bilbo"),IF(AND(K1767&gt;0,K1767&lt;=12),ROUND(J1767*(1+(K1767+IF(ISNUMBER(L1767),L1767,0))/30),1),""),"")</f>
        <v/>
      </c>
      <c r="T1767" s="21" t="str">
        <f aca="false">IF(AND(F1767="Bilbo",ISNUMBER(J1767),ISNUMBER(K1767)),ROUND(J1767*(1+K1767/30),1),"")</f>
        <v/>
      </c>
      <c r="W1767" s="22"/>
      <c r="X1767" s="21" t="str">
        <f aca="false">IF(AND(F1767="Bilbo",E1767&lt;&gt;"",G1767&lt;&gt;"",H1767&lt;&gt;""),E1767&amp;"|"&amp;G1767&amp;"|"&amp;H1767,"")</f>
        <v/>
      </c>
      <c r="Y1767" s="21" t="str">
        <f aca="false">IF(B1767="","",IF(B1767&lt;&gt;B1766,1,0))</f>
        <v/>
      </c>
    </row>
    <row r="1768" customFormat="false" ht="15" hidden="false" customHeight="true" outlineLevel="0" collapsed="false">
      <c r="A1768" s="21" t="str">
        <f aca="false">IF(B1768="","",ROW()-4)</f>
        <v/>
      </c>
      <c r="B1768" s="22"/>
      <c r="C1768" s="21" t="str">
        <f aca="false">IF(B1768="","",CHOOSE(WEEKDAY(B1768,2),"LUNES","MARTES","MIÉRCOLES","JUEVES","VIERNES","SÁBADO","DOMINGO"))</f>
        <v/>
      </c>
      <c r="M1768" s="23"/>
      <c r="Q1768" s="21" t="str">
        <f aca="false">IF(OR(K1768="",N1768=""),"",K1768-N1768)</f>
        <v/>
      </c>
      <c r="R1768" s="21" t="str">
        <f aca="false">IF(OR(J1768="",K1768=""),"",J1768*K1768)</f>
        <v/>
      </c>
      <c r="S1768" s="21" t="str">
        <f aca="false">IF(AND(ISNUMBER(J1768),ISNUMBER(K1768),F1768&lt;&gt;"Calentamiento",F1768&lt;&gt;"Bilbo"),IF(AND(K1768&gt;0,K1768&lt;=12),ROUND(J1768*(1+(K1768+IF(ISNUMBER(L1768),L1768,0))/30),1),""),"")</f>
        <v/>
      </c>
      <c r="T1768" s="21" t="str">
        <f aca="false">IF(AND(F1768="Bilbo",ISNUMBER(J1768),ISNUMBER(K1768)),ROUND(J1768*(1+K1768/30),1),"")</f>
        <v/>
      </c>
      <c r="W1768" s="22"/>
      <c r="X1768" s="21" t="str">
        <f aca="false">IF(AND(F1768="Bilbo",E1768&lt;&gt;"",G1768&lt;&gt;"",H1768&lt;&gt;""),E1768&amp;"|"&amp;G1768&amp;"|"&amp;H1768,"")</f>
        <v/>
      </c>
      <c r="Y1768" s="21" t="str">
        <f aca="false">IF(B1768="","",IF(B1768&lt;&gt;B1767,1,0))</f>
        <v/>
      </c>
    </row>
    <row r="1769" customFormat="false" ht="15" hidden="false" customHeight="true" outlineLevel="0" collapsed="false">
      <c r="A1769" s="21" t="str">
        <f aca="false">IF(B1769="","",ROW()-4)</f>
        <v/>
      </c>
      <c r="B1769" s="22"/>
      <c r="C1769" s="21" t="str">
        <f aca="false">IF(B1769="","",CHOOSE(WEEKDAY(B1769,2),"LUNES","MARTES","MIÉRCOLES","JUEVES","VIERNES","SÁBADO","DOMINGO"))</f>
        <v/>
      </c>
      <c r="M1769" s="23"/>
      <c r="Q1769" s="21" t="str">
        <f aca="false">IF(OR(K1769="",N1769=""),"",K1769-N1769)</f>
        <v/>
      </c>
      <c r="R1769" s="21" t="str">
        <f aca="false">IF(OR(J1769="",K1769=""),"",J1769*K1769)</f>
        <v/>
      </c>
      <c r="S1769" s="21" t="str">
        <f aca="false">IF(AND(ISNUMBER(J1769),ISNUMBER(K1769),F1769&lt;&gt;"Calentamiento",F1769&lt;&gt;"Bilbo"),IF(AND(K1769&gt;0,K1769&lt;=12),ROUND(J1769*(1+(K1769+IF(ISNUMBER(L1769),L1769,0))/30),1),""),"")</f>
        <v/>
      </c>
      <c r="T1769" s="21" t="str">
        <f aca="false">IF(AND(F1769="Bilbo",ISNUMBER(J1769),ISNUMBER(K1769)),ROUND(J1769*(1+K1769/30),1),"")</f>
        <v/>
      </c>
      <c r="W1769" s="22"/>
      <c r="X1769" s="21" t="str">
        <f aca="false">IF(AND(F1769="Bilbo",E1769&lt;&gt;"",G1769&lt;&gt;"",H1769&lt;&gt;""),E1769&amp;"|"&amp;G1769&amp;"|"&amp;H1769,"")</f>
        <v/>
      </c>
      <c r="Y1769" s="21" t="str">
        <f aca="false">IF(B1769="","",IF(B1769&lt;&gt;B1768,1,0))</f>
        <v/>
      </c>
    </row>
    <row r="1770" customFormat="false" ht="15" hidden="false" customHeight="true" outlineLevel="0" collapsed="false">
      <c r="A1770" s="21" t="str">
        <f aca="false">IF(B1770="","",ROW()-4)</f>
        <v/>
      </c>
      <c r="B1770" s="22"/>
      <c r="C1770" s="21" t="str">
        <f aca="false">IF(B1770="","",CHOOSE(WEEKDAY(B1770,2),"LUNES","MARTES","MIÉRCOLES","JUEVES","VIERNES","SÁBADO","DOMINGO"))</f>
        <v/>
      </c>
      <c r="M1770" s="23"/>
      <c r="Q1770" s="21" t="str">
        <f aca="false">IF(OR(K1770="",N1770=""),"",K1770-N1770)</f>
        <v/>
      </c>
      <c r="R1770" s="21" t="str">
        <f aca="false">IF(OR(J1770="",K1770=""),"",J1770*K1770)</f>
        <v/>
      </c>
      <c r="S1770" s="21" t="str">
        <f aca="false">IF(AND(ISNUMBER(J1770),ISNUMBER(K1770),F1770&lt;&gt;"Calentamiento",F1770&lt;&gt;"Bilbo"),IF(AND(K1770&gt;0,K1770&lt;=12),ROUND(J1770*(1+(K1770+IF(ISNUMBER(L1770),L1770,0))/30),1),""),"")</f>
        <v/>
      </c>
      <c r="T1770" s="21" t="str">
        <f aca="false">IF(AND(F1770="Bilbo",ISNUMBER(J1770),ISNUMBER(K1770)),ROUND(J1770*(1+K1770/30),1),"")</f>
        <v/>
      </c>
      <c r="W1770" s="22"/>
      <c r="X1770" s="21" t="str">
        <f aca="false">IF(AND(F1770="Bilbo",E1770&lt;&gt;"",G1770&lt;&gt;"",H1770&lt;&gt;""),E1770&amp;"|"&amp;G1770&amp;"|"&amp;H1770,"")</f>
        <v/>
      </c>
      <c r="Y1770" s="21" t="str">
        <f aca="false">IF(B1770="","",IF(B1770&lt;&gt;B1769,1,0))</f>
        <v/>
      </c>
    </row>
    <row r="1771" customFormat="false" ht="15" hidden="false" customHeight="true" outlineLevel="0" collapsed="false">
      <c r="A1771" s="21" t="str">
        <f aca="false">IF(B1771="","",ROW()-4)</f>
        <v/>
      </c>
      <c r="B1771" s="22"/>
      <c r="C1771" s="21" t="str">
        <f aca="false">IF(B1771="","",CHOOSE(WEEKDAY(B1771,2),"LUNES","MARTES","MIÉRCOLES","JUEVES","VIERNES","SÁBADO","DOMINGO"))</f>
        <v/>
      </c>
      <c r="M1771" s="23"/>
      <c r="Q1771" s="21" t="str">
        <f aca="false">IF(OR(K1771="",N1771=""),"",K1771-N1771)</f>
        <v/>
      </c>
      <c r="R1771" s="21" t="str">
        <f aca="false">IF(OR(J1771="",K1771=""),"",J1771*K1771)</f>
        <v/>
      </c>
      <c r="S1771" s="21" t="str">
        <f aca="false">IF(AND(ISNUMBER(J1771),ISNUMBER(K1771),F1771&lt;&gt;"Calentamiento",F1771&lt;&gt;"Bilbo"),IF(AND(K1771&gt;0,K1771&lt;=12),ROUND(J1771*(1+(K1771+IF(ISNUMBER(L1771),L1771,0))/30),1),""),"")</f>
        <v/>
      </c>
      <c r="T1771" s="21" t="str">
        <f aca="false">IF(AND(F1771="Bilbo",ISNUMBER(J1771),ISNUMBER(K1771)),ROUND(J1771*(1+K1771/30),1),"")</f>
        <v/>
      </c>
      <c r="W1771" s="22"/>
      <c r="X1771" s="21" t="str">
        <f aca="false">IF(AND(F1771="Bilbo",E1771&lt;&gt;"",G1771&lt;&gt;"",H1771&lt;&gt;""),E1771&amp;"|"&amp;G1771&amp;"|"&amp;H1771,"")</f>
        <v/>
      </c>
      <c r="Y1771" s="21" t="str">
        <f aca="false">IF(B1771="","",IF(B1771&lt;&gt;B1770,1,0))</f>
        <v/>
      </c>
    </row>
    <row r="1772" customFormat="false" ht="15" hidden="false" customHeight="true" outlineLevel="0" collapsed="false">
      <c r="A1772" s="21" t="str">
        <f aca="false">IF(B1772="","",ROW()-4)</f>
        <v/>
      </c>
      <c r="B1772" s="22"/>
      <c r="C1772" s="21" t="str">
        <f aca="false">IF(B1772="","",CHOOSE(WEEKDAY(B1772,2),"LUNES","MARTES","MIÉRCOLES","JUEVES","VIERNES","SÁBADO","DOMINGO"))</f>
        <v/>
      </c>
      <c r="M1772" s="23"/>
      <c r="Q1772" s="21" t="str">
        <f aca="false">IF(OR(K1772="",N1772=""),"",K1772-N1772)</f>
        <v/>
      </c>
      <c r="R1772" s="21" t="str">
        <f aca="false">IF(OR(J1772="",K1772=""),"",J1772*K1772)</f>
        <v/>
      </c>
      <c r="S1772" s="21" t="str">
        <f aca="false">IF(AND(ISNUMBER(J1772),ISNUMBER(K1772),F1772&lt;&gt;"Calentamiento",F1772&lt;&gt;"Bilbo"),IF(AND(K1772&gt;0,K1772&lt;=12),ROUND(J1772*(1+(K1772+IF(ISNUMBER(L1772),L1772,0))/30),1),""),"")</f>
        <v/>
      </c>
      <c r="T1772" s="21" t="str">
        <f aca="false">IF(AND(F1772="Bilbo",ISNUMBER(J1772),ISNUMBER(K1772)),ROUND(J1772*(1+K1772/30),1),"")</f>
        <v/>
      </c>
      <c r="W1772" s="22"/>
      <c r="X1772" s="21" t="str">
        <f aca="false">IF(AND(F1772="Bilbo",E1772&lt;&gt;"",G1772&lt;&gt;"",H1772&lt;&gt;""),E1772&amp;"|"&amp;G1772&amp;"|"&amp;H1772,"")</f>
        <v/>
      </c>
      <c r="Y1772" s="21" t="str">
        <f aca="false">IF(B1772="","",IF(B1772&lt;&gt;B1771,1,0))</f>
        <v/>
      </c>
    </row>
    <row r="1773" customFormat="false" ht="15" hidden="false" customHeight="true" outlineLevel="0" collapsed="false">
      <c r="A1773" s="21" t="str">
        <f aca="false">IF(B1773="","",ROW()-4)</f>
        <v/>
      </c>
      <c r="B1773" s="22"/>
      <c r="C1773" s="21" t="str">
        <f aca="false">IF(B1773="","",CHOOSE(WEEKDAY(B1773,2),"LUNES","MARTES","MIÉRCOLES","JUEVES","VIERNES","SÁBADO","DOMINGO"))</f>
        <v/>
      </c>
      <c r="M1773" s="23"/>
      <c r="Q1773" s="21" t="str">
        <f aca="false">IF(OR(K1773="",N1773=""),"",K1773-N1773)</f>
        <v/>
      </c>
      <c r="R1773" s="21" t="str">
        <f aca="false">IF(OR(J1773="",K1773=""),"",J1773*K1773)</f>
        <v/>
      </c>
      <c r="S1773" s="21" t="str">
        <f aca="false">IF(AND(ISNUMBER(J1773),ISNUMBER(K1773),F1773&lt;&gt;"Calentamiento",F1773&lt;&gt;"Bilbo"),IF(AND(K1773&gt;0,K1773&lt;=12),ROUND(J1773*(1+(K1773+IF(ISNUMBER(L1773),L1773,0))/30),1),""),"")</f>
        <v/>
      </c>
      <c r="T1773" s="21" t="str">
        <f aca="false">IF(AND(F1773="Bilbo",ISNUMBER(J1773),ISNUMBER(K1773)),ROUND(J1773*(1+K1773/30),1),"")</f>
        <v/>
      </c>
      <c r="W1773" s="22"/>
      <c r="X1773" s="21" t="str">
        <f aca="false">IF(AND(F1773="Bilbo",E1773&lt;&gt;"",G1773&lt;&gt;"",H1773&lt;&gt;""),E1773&amp;"|"&amp;G1773&amp;"|"&amp;H1773,"")</f>
        <v/>
      </c>
      <c r="Y1773" s="21" t="str">
        <f aca="false">IF(B1773="","",IF(B1773&lt;&gt;B1772,1,0))</f>
        <v/>
      </c>
    </row>
    <row r="1774" customFormat="false" ht="15" hidden="false" customHeight="true" outlineLevel="0" collapsed="false">
      <c r="A1774" s="21" t="str">
        <f aca="false">IF(B1774="","",ROW()-4)</f>
        <v/>
      </c>
      <c r="B1774" s="22"/>
      <c r="C1774" s="21" t="str">
        <f aca="false">IF(B1774="","",CHOOSE(WEEKDAY(B1774,2),"LUNES","MARTES","MIÉRCOLES","JUEVES","VIERNES","SÁBADO","DOMINGO"))</f>
        <v/>
      </c>
      <c r="M1774" s="23"/>
      <c r="Q1774" s="21" t="str">
        <f aca="false">IF(OR(K1774="",N1774=""),"",K1774-N1774)</f>
        <v/>
      </c>
      <c r="R1774" s="21" t="str">
        <f aca="false">IF(OR(J1774="",K1774=""),"",J1774*K1774)</f>
        <v/>
      </c>
      <c r="S1774" s="21" t="str">
        <f aca="false">IF(AND(ISNUMBER(J1774),ISNUMBER(K1774),F1774&lt;&gt;"Calentamiento",F1774&lt;&gt;"Bilbo"),IF(AND(K1774&gt;0,K1774&lt;=12),ROUND(J1774*(1+(K1774+IF(ISNUMBER(L1774),L1774,0))/30),1),""),"")</f>
        <v/>
      </c>
      <c r="T1774" s="21" t="str">
        <f aca="false">IF(AND(F1774="Bilbo",ISNUMBER(J1774),ISNUMBER(K1774)),ROUND(J1774*(1+K1774/30),1),"")</f>
        <v/>
      </c>
      <c r="W1774" s="22"/>
      <c r="X1774" s="21" t="str">
        <f aca="false">IF(AND(F1774="Bilbo",E1774&lt;&gt;"",G1774&lt;&gt;"",H1774&lt;&gt;""),E1774&amp;"|"&amp;G1774&amp;"|"&amp;H1774,"")</f>
        <v/>
      </c>
      <c r="Y1774" s="21" t="str">
        <f aca="false">IF(B1774="","",IF(B1774&lt;&gt;B1773,1,0))</f>
        <v/>
      </c>
    </row>
    <row r="1775" customFormat="false" ht="15" hidden="false" customHeight="true" outlineLevel="0" collapsed="false">
      <c r="A1775" s="21" t="str">
        <f aca="false">IF(B1775="","",ROW()-4)</f>
        <v/>
      </c>
      <c r="B1775" s="22"/>
      <c r="C1775" s="21" t="str">
        <f aca="false">IF(B1775="","",CHOOSE(WEEKDAY(B1775,2),"LUNES","MARTES","MIÉRCOLES","JUEVES","VIERNES","SÁBADO","DOMINGO"))</f>
        <v/>
      </c>
      <c r="M1775" s="23"/>
      <c r="Q1775" s="21" t="str">
        <f aca="false">IF(OR(K1775="",N1775=""),"",K1775-N1775)</f>
        <v/>
      </c>
      <c r="R1775" s="21" t="str">
        <f aca="false">IF(OR(J1775="",K1775=""),"",J1775*K1775)</f>
        <v/>
      </c>
      <c r="S1775" s="21" t="str">
        <f aca="false">IF(AND(ISNUMBER(J1775),ISNUMBER(K1775),F1775&lt;&gt;"Calentamiento",F1775&lt;&gt;"Bilbo"),IF(AND(K1775&gt;0,K1775&lt;=12),ROUND(J1775*(1+(K1775+IF(ISNUMBER(L1775),L1775,0))/30),1),""),"")</f>
        <v/>
      </c>
      <c r="T1775" s="21" t="str">
        <f aca="false">IF(AND(F1775="Bilbo",ISNUMBER(J1775),ISNUMBER(K1775)),ROUND(J1775*(1+K1775/30),1),"")</f>
        <v/>
      </c>
      <c r="W1775" s="22"/>
      <c r="X1775" s="21" t="str">
        <f aca="false">IF(AND(F1775="Bilbo",E1775&lt;&gt;"",G1775&lt;&gt;"",H1775&lt;&gt;""),E1775&amp;"|"&amp;G1775&amp;"|"&amp;H1775,"")</f>
        <v/>
      </c>
      <c r="Y1775" s="21" t="str">
        <f aca="false">IF(B1775="","",IF(B1775&lt;&gt;B1774,1,0))</f>
        <v/>
      </c>
    </row>
    <row r="1776" customFormat="false" ht="15" hidden="false" customHeight="true" outlineLevel="0" collapsed="false">
      <c r="A1776" s="21" t="str">
        <f aca="false">IF(B1776="","",ROW()-4)</f>
        <v/>
      </c>
      <c r="B1776" s="22"/>
      <c r="C1776" s="21" t="str">
        <f aca="false">IF(B1776="","",CHOOSE(WEEKDAY(B1776,2),"LUNES","MARTES","MIÉRCOLES","JUEVES","VIERNES","SÁBADO","DOMINGO"))</f>
        <v/>
      </c>
      <c r="M1776" s="23"/>
      <c r="Q1776" s="21" t="str">
        <f aca="false">IF(OR(K1776="",N1776=""),"",K1776-N1776)</f>
        <v/>
      </c>
      <c r="R1776" s="21" t="str">
        <f aca="false">IF(OR(J1776="",K1776=""),"",J1776*K1776)</f>
        <v/>
      </c>
      <c r="S1776" s="21" t="str">
        <f aca="false">IF(AND(ISNUMBER(J1776),ISNUMBER(K1776),F1776&lt;&gt;"Calentamiento",F1776&lt;&gt;"Bilbo"),IF(AND(K1776&gt;0,K1776&lt;=12),ROUND(J1776*(1+(K1776+IF(ISNUMBER(L1776),L1776,0))/30),1),""),"")</f>
        <v/>
      </c>
      <c r="T1776" s="21" t="str">
        <f aca="false">IF(AND(F1776="Bilbo",ISNUMBER(J1776),ISNUMBER(K1776)),ROUND(J1776*(1+K1776/30),1),"")</f>
        <v/>
      </c>
      <c r="W1776" s="22"/>
      <c r="X1776" s="21" t="str">
        <f aca="false">IF(AND(F1776="Bilbo",E1776&lt;&gt;"",G1776&lt;&gt;"",H1776&lt;&gt;""),E1776&amp;"|"&amp;G1776&amp;"|"&amp;H1776,"")</f>
        <v/>
      </c>
      <c r="Y1776" s="21" t="str">
        <f aca="false">IF(B1776="","",IF(B1776&lt;&gt;B1775,1,0))</f>
        <v/>
      </c>
    </row>
    <row r="1777" customFormat="false" ht="15" hidden="false" customHeight="true" outlineLevel="0" collapsed="false">
      <c r="A1777" s="21" t="str">
        <f aca="false">IF(B1777="","",ROW()-4)</f>
        <v/>
      </c>
      <c r="B1777" s="22"/>
      <c r="C1777" s="21" t="str">
        <f aca="false">IF(B1777="","",CHOOSE(WEEKDAY(B1777,2),"LUNES","MARTES","MIÉRCOLES","JUEVES","VIERNES","SÁBADO","DOMINGO"))</f>
        <v/>
      </c>
      <c r="M1777" s="23"/>
      <c r="Q1777" s="21" t="str">
        <f aca="false">IF(OR(K1777="",N1777=""),"",K1777-N1777)</f>
        <v/>
      </c>
      <c r="R1777" s="21" t="str">
        <f aca="false">IF(OR(J1777="",K1777=""),"",J1777*K1777)</f>
        <v/>
      </c>
      <c r="S1777" s="21" t="str">
        <f aca="false">IF(AND(ISNUMBER(J1777),ISNUMBER(K1777),F1777&lt;&gt;"Calentamiento",F1777&lt;&gt;"Bilbo"),IF(AND(K1777&gt;0,K1777&lt;=12),ROUND(J1777*(1+(K1777+IF(ISNUMBER(L1777),L1777,0))/30),1),""),"")</f>
        <v/>
      </c>
      <c r="T1777" s="21" t="str">
        <f aca="false">IF(AND(F1777="Bilbo",ISNUMBER(J1777),ISNUMBER(K1777)),ROUND(J1777*(1+K1777/30),1),"")</f>
        <v/>
      </c>
      <c r="W1777" s="22"/>
      <c r="X1777" s="21" t="str">
        <f aca="false">IF(AND(F1777="Bilbo",E1777&lt;&gt;"",G1777&lt;&gt;"",H1777&lt;&gt;""),E1777&amp;"|"&amp;G1777&amp;"|"&amp;H1777,"")</f>
        <v/>
      </c>
      <c r="Y1777" s="21" t="str">
        <f aca="false">IF(B1777="","",IF(B1777&lt;&gt;B1776,1,0))</f>
        <v/>
      </c>
    </row>
    <row r="1778" customFormat="false" ht="15" hidden="false" customHeight="true" outlineLevel="0" collapsed="false">
      <c r="A1778" s="21" t="str">
        <f aca="false">IF(B1778="","",ROW()-4)</f>
        <v/>
      </c>
      <c r="B1778" s="22"/>
      <c r="C1778" s="21" t="str">
        <f aca="false">IF(B1778="","",CHOOSE(WEEKDAY(B1778,2),"LUNES","MARTES","MIÉRCOLES","JUEVES","VIERNES","SÁBADO","DOMINGO"))</f>
        <v/>
      </c>
      <c r="M1778" s="23"/>
      <c r="Q1778" s="21" t="str">
        <f aca="false">IF(OR(K1778="",N1778=""),"",K1778-N1778)</f>
        <v/>
      </c>
      <c r="R1778" s="21" t="str">
        <f aca="false">IF(OR(J1778="",K1778=""),"",J1778*K1778)</f>
        <v/>
      </c>
      <c r="S1778" s="21" t="str">
        <f aca="false">IF(AND(ISNUMBER(J1778),ISNUMBER(K1778),F1778&lt;&gt;"Calentamiento",F1778&lt;&gt;"Bilbo"),IF(AND(K1778&gt;0,K1778&lt;=12),ROUND(J1778*(1+(K1778+IF(ISNUMBER(L1778),L1778,0))/30),1),""),"")</f>
        <v/>
      </c>
      <c r="T1778" s="21" t="str">
        <f aca="false">IF(AND(F1778="Bilbo",ISNUMBER(J1778),ISNUMBER(K1778)),ROUND(J1778*(1+K1778/30),1),"")</f>
        <v/>
      </c>
      <c r="W1778" s="22"/>
      <c r="X1778" s="21" t="str">
        <f aca="false">IF(AND(F1778="Bilbo",E1778&lt;&gt;"",G1778&lt;&gt;"",H1778&lt;&gt;""),E1778&amp;"|"&amp;G1778&amp;"|"&amp;H1778,"")</f>
        <v/>
      </c>
      <c r="Y1778" s="21" t="str">
        <f aca="false">IF(B1778="","",IF(B1778&lt;&gt;B1777,1,0))</f>
        <v/>
      </c>
    </row>
    <row r="1779" customFormat="false" ht="15" hidden="false" customHeight="true" outlineLevel="0" collapsed="false">
      <c r="A1779" s="21" t="str">
        <f aca="false">IF(B1779="","",ROW()-4)</f>
        <v/>
      </c>
      <c r="B1779" s="22"/>
      <c r="C1779" s="21" t="str">
        <f aca="false">IF(B1779="","",CHOOSE(WEEKDAY(B1779,2),"LUNES","MARTES","MIÉRCOLES","JUEVES","VIERNES","SÁBADO","DOMINGO"))</f>
        <v/>
      </c>
      <c r="M1779" s="23"/>
      <c r="Q1779" s="21" t="str">
        <f aca="false">IF(OR(K1779="",N1779=""),"",K1779-N1779)</f>
        <v/>
      </c>
      <c r="R1779" s="21" t="str">
        <f aca="false">IF(OR(J1779="",K1779=""),"",J1779*K1779)</f>
        <v/>
      </c>
      <c r="S1779" s="21" t="str">
        <f aca="false">IF(AND(ISNUMBER(J1779),ISNUMBER(K1779),F1779&lt;&gt;"Calentamiento",F1779&lt;&gt;"Bilbo"),IF(AND(K1779&gt;0,K1779&lt;=12),ROUND(J1779*(1+(K1779+IF(ISNUMBER(L1779),L1779,0))/30),1),""),"")</f>
        <v/>
      </c>
      <c r="T1779" s="21" t="str">
        <f aca="false">IF(AND(F1779="Bilbo",ISNUMBER(J1779),ISNUMBER(K1779)),ROUND(J1779*(1+K1779/30),1),"")</f>
        <v/>
      </c>
      <c r="W1779" s="22"/>
      <c r="X1779" s="21" t="str">
        <f aca="false">IF(AND(F1779="Bilbo",E1779&lt;&gt;"",G1779&lt;&gt;"",H1779&lt;&gt;""),E1779&amp;"|"&amp;G1779&amp;"|"&amp;H1779,"")</f>
        <v/>
      </c>
      <c r="Y1779" s="21" t="str">
        <f aca="false">IF(B1779="","",IF(B1779&lt;&gt;B1778,1,0))</f>
        <v/>
      </c>
    </row>
    <row r="1780" customFormat="false" ht="15" hidden="false" customHeight="true" outlineLevel="0" collapsed="false">
      <c r="A1780" s="21" t="str">
        <f aca="false">IF(B1780="","",ROW()-4)</f>
        <v/>
      </c>
      <c r="B1780" s="22"/>
      <c r="C1780" s="21" t="str">
        <f aca="false">IF(B1780="","",CHOOSE(WEEKDAY(B1780,2),"LUNES","MARTES","MIÉRCOLES","JUEVES","VIERNES","SÁBADO","DOMINGO"))</f>
        <v/>
      </c>
      <c r="M1780" s="23"/>
      <c r="Q1780" s="21" t="str">
        <f aca="false">IF(OR(K1780="",N1780=""),"",K1780-N1780)</f>
        <v/>
      </c>
      <c r="R1780" s="21" t="str">
        <f aca="false">IF(OR(J1780="",K1780=""),"",J1780*K1780)</f>
        <v/>
      </c>
      <c r="S1780" s="21" t="str">
        <f aca="false">IF(AND(ISNUMBER(J1780),ISNUMBER(K1780),F1780&lt;&gt;"Calentamiento",F1780&lt;&gt;"Bilbo"),IF(AND(K1780&gt;0,K1780&lt;=12),ROUND(J1780*(1+(K1780+IF(ISNUMBER(L1780),L1780,0))/30),1),""),"")</f>
        <v/>
      </c>
      <c r="T1780" s="21" t="str">
        <f aca="false">IF(AND(F1780="Bilbo",ISNUMBER(J1780),ISNUMBER(K1780)),ROUND(J1780*(1+K1780/30),1),"")</f>
        <v/>
      </c>
      <c r="W1780" s="22"/>
      <c r="X1780" s="21" t="str">
        <f aca="false">IF(AND(F1780="Bilbo",E1780&lt;&gt;"",G1780&lt;&gt;"",H1780&lt;&gt;""),E1780&amp;"|"&amp;G1780&amp;"|"&amp;H1780,"")</f>
        <v/>
      </c>
      <c r="Y1780" s="21" t="str">
        <f aca="false">IF(B1780="","",IF(B1780&lt;&gt;B1779,1,0))</f>
        <v/>
      </c>
    </row>
    <row r="1781" customFormat="false" ht="15" hidden="false" customHeight="true" outlineLevel="0" collapsed="false">
      <c r="A1781" s="21" t="str">
        <f aca="false">IF(B1781="","",ROW()-4)</f>
        <v/>
      </c>
      <c r="B1781" s="22"/>
      <c r="C1781" s="21" t="str">
        <f aca="false">IF(B1781="","",CHOOSE(WEEKDAY(B1781,2),"LUNES","MARTES","MIÉRCOLES","JUEVES","VIERNES","SÁBADO","DOMINGO"))</f>
        <v/>
      </c>
      <c r="M1781" s="23"/>
      <c r="Q1781" s="21" t="str">
        <f aca="false">IF(OR(K1781="",N1781=""),"",K1781-N1781)</f>
        <v/>
      </c>
      <c r="R1781" s="21" t="str">
        <f aca="false">IF(OR(J1781="",K1781=""),"",J1781*K1781)</f>
        <v/>
      </c>
      <c r="S1781" s="21" t="str">
        <f aca="false">IF(AND(ISNUMBER(J1781),ISNUMBER(K1781),F1781&lt;&gt;"Calentamiento",F1781&lt;&gt;"Bilbo"),IF(AND(K1781&gt;0,K1781&lt;=12),ROUND(J1781*(1+(K1781+IF(ISNUMBER(L1781),L1781,0))/30),1),""),"")</f>
        <v/>
      </c>
      <c r="T1781" s="21" t="str">
        <f aca="false">IF(AND(F1781="Bilbo",ISNUMBER(J1781),ISNUMBER(K1781)),ROUND(J1781*(1+K1781/30),1),"")</f>
        <v/>
      </c>
      <c r="W1781" s="22"/>
      <c r="X1781" s="21" t="str">
        <f aca="false">IF(AND(F1781="Bilbo",E1781&lt;&gt;"",G1781&lt;&gt;"",H1781&lt;&gt;""),E1781&amp;"|"&amp;G1781&amp;"|"&amp;H1781,"")</f>
        <v/>
      </c>
      <c r="Y1781" s="21" t="str">
        <f aca="false">IF(B1781="","",IF(B1781&lt;&gt;B1780,1,0))</f>
        <v/>
      </c>
    </row>
    <row r="1782" customFormat="false" ht="15" hidden="false" customHeight="true" outlineLevel="0" collapsed="false">
      <c r="A1782" s="21" t="str">
        <f aca="false">IF(B1782="","",ROW()-4)</f>
        <v/>
      </c>
      <c r="B1782" s="22"/>
      <c r="C1782" s="21" t="str">
        <f aca="false">IF(B1782="","",CHOOSE(WEEKDAY(B1782,2),"LUNES","MARTES","MIÉRCOLES","JUEVES","VIERNES","SÁBADO","DOMINGO"))</f>
        <v/>
      </c>
      <c r="M1782" s="23"/>
      <c r="Q1782" s="21" t="str">
        <f aca="false">IF(OR(K1782="",N1782=""),"",K1782-N1782)</f>
        <v/>
      </c>
      <c r="R1782" s="21" t="str">
        <f aca="false">IF(OR(J1782="",K1782=""),"",J1782*K1782)</f>
        <v/>
      </c>
      <c r="S1782" s="21" t="str">
        <f aca="false">IF(AND(ISNUMBER(J1782),ISNUMBER(K1782),F1782&lt;&gt;"Calentamiento",F1782&lt;&gt;"Bilbo"),IF(AND(K1782&gt;0,K1782&lt;=12),ROUND(J1782*(1+(K1782+IF(ISNUMBER(L1782),L1782,0))/30),1),""),"")</f>
        <v/>
      </c>
      <c r="T1782" s="21" t="str">
        <f aca="false">IF(AND(F1782="Bilbo",ISNUMBER(J1782),ISNUMBER(K1782)),ROUND(J1782*(1+K1782/30),1),"")</f>
        <v/>
      </c>
      <c r="W1782" s="22"/>
      <c r="X1782" s="21" t="str">
        <f aca="false">IF(AND(F1782="Bilbo",E1782&lt;&gt;"",G1782&lt;&gt;"",H1782&lt;&gt;""),E1782&amp;"|"&amp;G1782&amp;"|"&amp;H1782,"")</f>
        <v/>
      </c>
      <c r="Y1782" s="21" t="str">
        <f aca="false">IF(B1782="","",IF(B1782&lt;&gt;B1781,1,0))</f>
        <v/>
      </c>
    </row>
    <row r="1783" customFormat="false" ht="15" hidden="false" customHeight="true" outlineLevel="0" collapsed="false">
      <c r="A1783" s="21" t="str">
        <f aca="false">IF(B1783="","",ROW()-4)</f>
        <v/>
      </c>
      <c r="B1783" s="22"/>
      <c r="C1783" s="21" t="str">
        <f aca="false">IF(B1783="","",CHOOSE(WEEKDAY(B1783,2),"LUNES","MARTES","MIÉRCOLES","JUEVES","VIERNES","SÁBADO","DOMINGO"))</f>
        <v/>
      </c>
      <c r="M1783" s="23"/>
      <c r="Q1783" s="21" t="str">
        <f aca="false">IF(OR(K1783="",N1783=""),"",K1783-N1783)</f>
        <v/>
      </c>
      <c r="R1783" s="21" t="str">
        <f aca="false">IF(OR(J1783="",K1783=""),"",J1783*K1783)</f>
        <v/>
      </c>
      <c r="S1783" s="21" t="str">
        <f aca="false">IF(AND(ISNUMBER(J1783),ISNUMBER(K1783),F1783&lt;&gt;"Calentamiento",F1783&lt;&gt;"Bilbo"),IF(AND(K1783&gt;0,K1783&lt;=12),ROUND(J1783*(1+(K1783+IF(ISNUMBER(L1783),L1783,0))/30),1),""),"")</f>
        <v/>
      </c>
      <c r="T1783" s="21" t="str">
        <f aca="false">IF(AND(F1783="Bilbo",ISNUMBER(J1783),ISNUMBER(K1783)),ROUND(J1783*(1+K1783/30),1),"")</f>
        <v/>
      </c>
      <c r="W1783" s="22"/>
      <c r="X1783" s="21" t="str">
        <f aca="false">IF(AND(F1783="Bilbo",E1783&lt;&gt;"",G1783&lt;&gt;"",H1783&lt;&gt;""),E1783&amp;"|"&amp;G1783&amp;"|"&amp;H1783,"")</f>
        <v/>
      </c>
      <c r="Y1783" s="21" t="str">
        <f aca="false">IF(B1783="","",IF(B1783&lt;&gt;B1782,1,0))</f>
        <v/>
      </c>
    </row>
    <row r="1784" customFormat="false" ht="15" hidden="false" customHeight="true" outlineLevel="0" collapsed="false">
      <c r="A1784" s="21" t="str">
        <f aca="false">IF(B1784="","",ROW()-4)</f>
        <v/>
      </c>
      <c r="B1784" s="22"/>
      <c r="C1784" s="21" t="str">
        <f aca="false">IF(B1784="","",CHOOSE(WEEKDAY(B1784,2),"LUNES","MARTES","MIÉRCOLES","JUEVES","VIERNES","SÁBADO","DOMINGO"))</f>
        <v/>
      </c>
      <c r="M1784" s="23"/>
      <c r="Q1784" s="21" t="str">
        <f aca="false">IF(OR(K1784="",N1784=""),"",K1784-N1784)</f>
        <v/>
      </c>
      <c r="R1784" s="21" t="str">
        <f aca="false">IF(OR(J1784="",K1784=""),"",J1784*K1784)</f>
        <v/>
      </c>
      <c r="S1784" s="21" t="str">
        <f aca="false">IF(AND(ISNUMBER(J1784),ISNUMBER(K1784),F1784&lt;&gt;"Calentamiento",F1784&lt;&gt;"Bilbo"),IF(AND(K1784&gt;0,K1784&lt;=12),ROUND(J1784*(1+(K1784+IF(ISNUMBER(L1784),L1784,0))/30),1),""),"")</f>
        <v/>
      </c>
      <c r="T1784" s="21" t="str">
        <f aca="false">IF(AND(F1784="Bilbo",ISNUMBER(J1784),ISNUMBER(K1784)),ROUND(J1784*(1+K1784/30),1),"")</f>
        <v/>
      </c>
      <c r="W1784" s="22"/>
      <c r="X1784" s="21" t="str">
        <f aca="false">IF(AND(F1784="Bilbo",E1784&lt;&gt;"",G1784&lt;&gt;"",H1784&lt;&gt;""),E1784&amp;"|"&amp;G1784&amp;"|"&amp;H1784,"")</f>
        <v/>
      </c>
      <c r="Y1784" s="21" t="str">
        <f aca="false">IF(B1784="","",IF(B1784&lt;&gt;B1783,1,0))</f>
        <v/>
      </c>
    </row>
    <row r="1785" customFormat="false" ht="15" hidden="false" customHeight="true" outlineLevel="0" collapsed="false">
      <c r="A1785" s="21" t="str">
        <f aca="false">IF(B1785="","",ROW()-4)</f>
        <v/>
      </c>
      <c r="B1785" s="22"/>
      <c r="C1785" s="21" t="str">
        <f aca="false">IF(B1785="","",CHOOSE(WEEKDAY(B1785,2),"LUNES","MARTES","MIÉRCOLES","JUEVES","VIERNES","SÁBADO","DOMINGO"))</f>
        <v/>
      </c>
      <c r="M1785" s="23"/>
      <c r="Q1785" s="21" t="str">
        <f aca="false">IF(OR(K1785="",N1785=""),"",K1785-N1785)</f>
        <v/>
      </c>
      <c r="R1785" s="21" t="str">
        <f aca="false">IF(OR(J1785="",K1785=""),"",J1785*K1785)</f>
        <v/>
      </c>
      <c r="S1785" s="21" t="str">
        <f aca="false">IF(AND(ISNUMBER(J1785),ISNUMBER(K1785),F1785&lt;&gt;"Calentamiento",F1785&lt;&gt;"Bilbo"),IF(AND(K1785&gt;0,K1785&lt;=12),ROUND(J1785*(1+(K1785+IF(ISNUMBER(L1785),L1785,0))/30),1),""),"")</f>
        <v/>
      </c>
      <c r="T1785" s="21" t="str">
        <f aca="false">IF(AND(F1785="Bilbo",ISNUMBER(J1785),ISNUMBER(K1785)),ROUND(J1785*(1+K1785/30),1),"")</f>
        <v/>
      </c>
      <c r="W1785" s="22"/>
      <c r="X1785" s="21" t="str">
        <f aca="false">IF(AND(F1785="Bilbo",E1785&lt;&gt;"",G1785&lt;&gt;"",H1785&lt;&gt;""),E1785&amp;"|"&amp;G1785&amp;"|"&amp;H1785,"")</f>
        <v/>
      </c>
      <c r="Y1785" s="21" t="str">
        <f aca="false">IF(B1785="","",IF(B1785&lt;&gt;B1784,1,0))</f>
        <v/>
      </c>
    </row>
    <row r="1786" customFormat="false" ht="15" hidden="false" customHeight="true" outlineLevel="0" collapsed="false">
      <c r="A1786" s="21" t="str">
        <f aca="false">IF(B1786="","",ROW()-4)</f>
        <v/>
      </c>
      <c r="B1786" s="22"/>
      <c r="C1786" s="21" t="str">
        <f aca="false">IF(B1786="","",CHOOSE(WEEKDAY(B1786,2),"LUNES","MARTES","MIÉRCOLES","JUEVES","VIERNES","SÁBADO","DOMINGO"))</f>
        <v/>
      </c>
      <c r="M1786" s="23"/>
      <c r="Q1786" s="21" t="str">
        <f aca="false">IF(OR(K1786="",N1786=""),"",K1786-N1786)</f>
        <v/>
      </c>
      <c r="R1786" s="21" t="str">
        <f aca="false">IF(OR(J1786="",K1786=""),"",J1786*K1786)</f>
        <v/>
      </c>
      <c r="S1786" s="21" t="str">
        <f aca="false">IF(AND(ISNUMBER(J1786),ISNUMBER(K1786),F1786&lt;&gt;"Calentamiento",F1786&lt;&gt;"Bilbo"),IF(AND(K1786&gt;0,K1786&lt;=12),ROUND(J1786*(1+(K1786+IF(ISNUMBER(L1786),L1786,0))/30),1),""),"")</f>
        <v/>
      </c>
      <c r="T1786" s="21" t="str">
        <f aca="false">IF(AND(F1786="Bilbo",ISNUMBER(J1786),ISNUMBER(K1786)),ROUND(J1786*(1+K1786/30),1),"")</f>
        <v/>
      </c>
      <c r="W1786" s="22"/>
      <c r="X1786" s="21" t="str">
        <f aca="false">IF(AND(F1786="Bilbo",E1786&lt;&gt;"",G1786&lt;&gt;"",H1786&lt;&gt;""),E1786&amp;"|"&amp;G1786&amp;"|"&amp;H1786,"")</f>
        <v/>
      </c>
      <c r="Y1786" s="21" t="str">
        <f aca="false">IF(B1786="","",IF(B1786&lt;&gt;B1785,1,0))</f>
        <v/>
      </c>
    </row>
    <row r="1787" customFormat="false" ht="15" hidden="false" customHeight="true" outlineLevel="0" collapsed="false">
      <c r="A1787" s="21" t="str">
        <f aca="false">IF(B1787="","",ROW()-4)</f>
        <v/>
      </c>
      <c r="B1787" s="22"/>
      <c r="C1787" s="21" t="str">
        <f aca="false">IF(B1787="","",CHOOSE(WEEKDAY(B1787,2),"LUNES","MARTES","MIÉRCOLES","JUEVES","VIERNES","SÁBADO","DOMINGO"))</f>
        <v/>
      </c>
      <c r="M1787" s="23"/>
      <c r="Q1787" s="21" t="str">
        <f aca="false">IF(OR(K1787="",N1787=""),"",K1787-N1787)</f>
        <v/>
      </c>
      <c r="R1787" s="21" t="str">
        <f aca="false">IF(OR(J1787="",K1787=""),"",J1787*K1787)</f>
        <v/>
      </c>
      <c r="S1787" s="21" t="str">
        <f aca="false">IF(AND(ISNUMBER(J1787),ISNUMBER(K1787),F1787&lt;&gt;"Calentamiento",F1787&lt;&gt;"Bilbo"),IF(AND(K1787&gt;0,K1787&lt;=12),ROUND(J1787*(1+(K1787+IF(ISNUMBER(L1787),L1787,0))/30),1),""),"")</f>
        <v/>
      </c>
      <c r="T1787" s="21" t="str">
        <f aca="false">IF(AND(F1787="Bilbo",ISNUMBER(J1787),ISNUMBER(K1787)),ROUND(J1787*(1+K1787/30),1),"")</f>
        <v/>
      </c>
      <c r="W1787" s="22"/>
      <c r="X1787" s="21" t="str">
        <f aca="false">IF(AND(F1787="Bilbo",E1787&lt;&gt;"",G1787&lt;&gt;"",H1787&lt;&gt;""),E1787&amp;"|"&amp;G1787&amp;"|"&amp;H1787,"")</f>
        <v/>
      </c>
      <c r="Y1787" s="21" t="str">
        <f aca="false">IF(B1787="","",IF(B1787&lt;&gt;B1786,1,0))</f>
        <v/>
      </c>
    </row>
    <row r="1788" customFormat="false" ht="15" hidden="false" customHeight="true" outlineLevel="0" collapsed="false">
      <c r="A1788" s="21" t="str">
        <f aca="false">IF(B1788="","",ROW()-4)</f>
        <v/>
      </c>
      <c r="B1788" s="22"/>
      <c r="C1788" s="21" t="str">
        <f aca="false">IF(B1788="","",CHOOSE(WEEKDAY(B1788,2),"LUNES","MARTES","MIÉRCOLES","JUEVES","VIERNES","SÁBADO","DOMINGO"))</f>
        <v/>
      </c>
      <c r="M1788" s="23"/>
      <c r="Q1788" s="21" t="str">
        <f aca="false">IF(OR(K1788="",N1788=""),"",K1788-N1788)</f>
        <v/>
      </c>
      <c r="R1788" s="21" t="str">
        <f aca="false">IF(OR(J1788="",K1788=""),"",J1788*K1788)</f>
        <v/>
      </c>
      <c r="S1788" s="21" t="str">
        <f aca="false">IF(AND(ISNUMBER(J1788),ISNUMBER(K1788),F1788&lt;&gt;"Calentamiento",F1788&lt;&gt;"Bilbo"),IF(AND(K1788&gt;0,K1788&lt;=12),ROUND(J1788*(1+(K1788+IF(ISNUMBER(L1788),L1788,0))/30),1),""),"")</f>
        <v/>
      </c>
      <c r="T1788" s="21" t="str">
        <f aca="false">IF(AND(F1788="Bilbo",ISNUMBER(J1788),ISNUMBER(K1788)),ROUND(J1788*(1+K1788/30),1),"")</f>
        <v/>
      </c>
      <c r="W1788" s="22"/>
      <c r="X1788" s="21" t="str">
        <f aca="false">IF(AND(F1788="Bilbo",E1788&lt;&gt;"",G1788&lt;&gt;"",H1788&lt;&gt;""),E1788&amp;"|"&amp;G1788&amp;"|"&amp;H1788,"")</f>
        <v/>
      </c>
      <c r="Y1788" s="21" t="str">
        <f aca="false">IF(B1788="","",IF(B1788&lt;&gt;B1787,1,0))</f>
        <v/>
      </c>
    </row>
    <row r="1789" customFormat="false" ht="15" hidden="false" customHeight="true" outlineLevel="0" collapsed="false">
      <c r="A1789" s="21" t="str">
        <f aca="false">IF(B1789="","",ROW()-4)</f>
        <v/>
      </c>
      <c r="B1789" s="22"/>
      <c r="C1789" s="21" t="str">
        <f aca="false">IF(B1789="","",CHOOSE(WEEKDAY(B1789,2),"LUNES","MARTES","MIÉRCOLES","JUEVES","VIERNES","SÁBADO","DOMINGO"))</f>
        <v/>
      </c>
      <c r="M1789" s="23"/>
      <c r="Q1789" s="21" t="str">
        <f aca="false">IF(OR(K1789="",N1789=""),"",K1789-N1789)</f>
        <v/>
      </c>
      <c r="R1789" s="21" t="str">
        <f aca="false">IF(OR(J1789="",K1789=""),"",J1789*K1789)</f>
        <v/>
      </c>
      <c r="S1789" s="21" t="str">
        <f aca="false">IF(AND(ISNUMBER(J1789),ISNUMBER(K1789),F1789&lt;&gt;"Calentamiento",F1789&lt;&gt;"Bilbo"),IF(AND(K1789&gt;0,K1789&lt;=12),ROUND(J1789*(1+(K1789+IF(ISNUMBER(L1789),L1789,0))/30),1),""),"")</f>
        <v/>
      </c>
      <c r="T1789" s="21" t="str">
        <f aca="false">IF(AND(F1789="Bilbo",ISNUMBER(J1789),ISNUMBER(K1789)),ROUND(J1789*(1+K1789/30),1),"")</f>
        <v/>
      </c>
      <c r="W1789" s="22"/>
      <c r="X1789" s="21" t="str">
        <f aca="false">IF(AND(F1789="Bilbo",E1789&lt;&gt;"",G1789&lt;&gt;"",H1789&lt;&gt;""),E1789&amp;"|"&amp;G1789&amp;"|"&amp;H1789,"")</f>
        <v/>
      </c>
      <c r="Y1789" s="21" t="str">
        <f aca="false">IF(B1789="","",IF(B1789&lt;&gt;B1788,1,0))</f>
        <v/>
      </c>
    </row>
    <row r="1790" customFormat="false" ht="15" hidden="false" customHeight="true" outlineLevel="0" collapsed="false">
      <c r="A1790" s="21" t="str">
        <f aca="false">IF(B1790="","",ROW()-4)</f>
        <v/>
      </c>
      <c r="B1790" s="22"/>
      <c r="C1790" s="21" t="str">
        <f aca="false">IF(B1790="","",CHOOSE(WEEKDAY(B1790,2),"LUNES","MARTES","MIÉRCOLES","JUEVES","VIERNES","SÁBADO","DOMINGO"))</f>
        <v/>
      </c>
      <c r="M1790" s="23"/>
      <c r="Q1790" s="21" t="str">
        <f aca="false">IF(OR(K1790="",N1790=""),"",K1790-N1790)</f>
        <v/>
      </c>
      <c r="R1790" s="21" t="str">
        <f aca="false">IF(OR(J1790="",K1790=""),"",J1790*K1790)</f>
        <v/>
      </c>
      <c r="S1790" s="21" t="str">
        <f aca="false">IF(AND(ISNUMBER(J1790),ISNUMBER(K1790),F1790&lt;&gt;"Calentamiento",F1790&lt;&gt;"Bilbo"),IF(AND(K1790&gt;0,K1790&lt;=12),ROUND(J1790*(1+(K1790+IF(ISNUMBER(L1790),L1790,0))/30),1),""),"")</f>
        <v/>
      </c>
      <c r="T1790" s="21" t="str">
        <f aca="false">IF(AND(F1790="Bilbo",ISNUMBER(J1790),ISNUMBER(K1790)),ROUND(J1790*(1+K1790/30),1),"")</f>
        <v/>
      </c>
      <c r="W1790" s="22"/>
      <c r="X1790" s="21" t="str">
        <f aca="false">IF(AND(F1790="Bilbo",E1790&lt;&gt;"",G1790&lt;&gt;"",H1790&lt;&gt;""),E1790&amp;"|"&amp;G1790&amp;"|"&amp;H1790,"")</f>
        <v/>
      </c>
      <c r="Y1790" s="21" t="str">
        <f aca="false">IF(B1790="","",IF(B1790&lt;&gt;B1789,1,0))</f>
        <v/>
      </c>
    </row>
    <row r="1791" customFormat="false" ht="15" hidden="false" customHeight="true" outlineLevel="0" collapsed="false">
      <c r="A1791" s="21" t="str">
        <f aca="false">IF(B1791="","",ROW()-4)</f>
        <v/>
      </c>
      <c r="B1791" s="22"/>
      <c r="C1791" s="21" t="str">
        <f aca="false">IF(B1791="","",CHOOSE(WEEKDAY(B1791,2),"LUNES","MARTES","MIÉRCOLES","JUEVES","VIERNES","SÁBADO","DOMINGO"))</f>
        <v/>
      </c>
      <c r="M1791" s="23"/>
      <c r="Q1791" s="21" t="str">
        <f aca="false">IF(OR(K1791="",N1791=""),"",K1791-N1791)</f>
        <v/>
      </c>
      <c r="R1791" s="21" t="str">
        <f aca="false">IF(OR(J1791="",K1791=""),"",J1791*K1791)</f>
        <v/>
      </c>
      <c r="S1791" s="21" t="str">
        <f aca="false">IF(AND(ISNUMBER(J1791),ISNUMBER(K1791),F1791&lt;&gt;"Calentamiento",F1791&lt;&gt;"Bilbo"),IF(AND(K1791&gt;0,K1791&lt;=12),ROUND(J1791*(1+(K1791+IF(ISNUMBER(L1791),L1791,0))/30),1),""),"")</f>
        <v/>
      </c>
      <c r="T1791" s="21" t="str">
        <f aca="false">IF(AND(F1791="Bilbo",ISNUMBER(J1791),ISNUMBER(K1791)),ROUND(J1791*(1+K1791/30),1),"")</f>
        <v/>
      </c>
      <c r="W1791" s="22"/>
      <c r="X1791" s="21" t="str">
        <f aca="false">IF(AND(F1791="Bilbo",E1791&lt;&gt;"",G1791&lt;&gt;"",H1791&lt;&gt;""),E1791&amp;"|"&amp;G1791&amp;"|"&amp;H1791,"")</f>
        <v/>
      </c>
      <c r="Y1791" s="21" t="str">
        <f aca="false">IF(B1791="","",IF(B1791&lt;&gt;B1790,1,0))</f>
        <v/>
      </c>
    </row>
    <row r="1792" customFormat="false" ht="15" hidden="false" customHeight="true" outlineLevel="0" collapsed="false">
      <c r="A1792" s="21" t="str">
        <f aca="false">IF(B1792="","",ROW()-4)</f>
        <v/>
      </c>
      <c r="B1792" s="22"/>
      <c r="C1792" s="21" t="str">
        <f aca="false">IF(B1792="","",CHOOSE(WEEKDAY(B1792,2),"LUNES","MARTES","MIÉRCOLES","JUEVES","VIERNES","SÁBADO","DOMINGO"))</f>
        <v/>
      </c>
      <c r="M1792" s="23"/>
      <c r="Q1792" s="21" t="str">
        <f aca="false">IF(OR(K1792="",N1792=""),"",K1792-N1792)</f>
        <v/>
      </c>
      <c r="R1792" s="21" t="str">
        <f aca="false">IF(OR(J1792="",K1792=""),"",J1792*K1792)</f>
        <v/>
      </c>
      <c r="S1792" s="21" t="str">
        <f aca="false">IF(AND(ISNUMBER(J1792),ISNUMBER(K1792),F1792&lt;&gt;"Calentamiento",F1792&lt;&gt;"Bilbo"),IF(AND(K1792&gt;0,K1792&lt;=12),ROUND(J1792*(1+(K1792+IF(ISNUMBER(L1792),L1792,0))/30),1),""),"")</f>
        <v/>
      </c>
      <c r="T1792" s="21" t="str">
        <f aca="false">IF(AND(F1792="Bilbo",ISNUMBER(J1792),ISNUMBER(K1792)),ROUND(J1792*(1+K1792/30),1),"")</f>
        <v/>
      </c>
      <c r="W1792" s="22"/>
      <c r="X1792" s="21" t="str">
        <f aca="false">IF(AND(F1792="Bilbo",E1792&lt;&gt;"",G1792&lt;&gt;"",H1792&lt;&gt;""),E1792&amp;"|"&amp;G1792&amp;"|"&amp;H1792,"")</f>
        <v/>
      </c>
      <c r="Y1792" s="21" t="str">
        <f aca="false">IF(B1792="","",IF(B1792&lt;&gt;B1791,1,0))</f>
        <v/>
      </c>
    </row>
    <row r="1793" customFormat="false" ht="15" hidden="false" customHeight="true" outlineLevel="0" collapsed="false">
      <c r="A1793" s="21" t="str">
        <f aca="false">IF(B1793="","",ROW()-4)</f>
        <v/>
      </c>
      <c r="B1793" s="22"/>
      <c r="C1793" s="21" t="str">
        <f aca="false">IF(B1793="","",CHOOSE(WEEKDAY(B1793,2),"LUNES","MARTES","MIÉRCOLES","JUEVES","VIERNES","SÁBADO","DOMINGO"))</f>
        <v/>
      </c>
      <c r="M1793" s="23"/>
      <c r="Q1793" s="21" t="str">
        <f aca="false">IF(OR(K1793="",N1793=""),"",K1793-N1793)</f>
        <v/>
      </c>
      <c r="R1793" s="21" t="str">
        <f aca="false">IF(OR(J1793="",K1793=""),"",J1793*K1793)</f>
        <v/>
      </c>
      <c r="S1793" s="21" t="str">
        <f aca="false">IF(AND(ISNUMBER(J1793),ISNUMBER(K1793),F1793&lt;&gt;"Calentamiento",F1793&lt;&gt;"Bilbo"),IF(AND(K1793&gt;0,K1793&lt;=12),ROUND(J1793*(1+(K1793+IF(ISNUMBER(L1793),L1793,0))/30),1),""),"")</f>
        <v/>
      </c>
      <c r="T1793" s="21" t="str">
        <f aca="false">IF(AND(F1793="Bilbo",ISNUMBER(J1793),ISNUMBER(K1793)),ROUND(J1793*(1+K1793/30),1),"")</f>
        <v/>
      </c>
      <c r="W1793" s="22"/>
      <c r="X1793" s="21" t="str">
        <f aca="false">IF(AND(F1793="Bilbo",E1793&lt;&gt;"",G1793&lt;&gt;"",H1793&lt;&gt;""),E1793&amp;"|"&amp;G1793&amp;"|"&amp;H1793,"")</f>
        <v/>
      </c>
      <c r="Y1793" s="21" t="str">
        <f aca="false">IF(B1793="","",IF(B1793&lt;&gt;B1792,1,0))</f>
        <v/>
      </c>
    </row>
    <row r="1794" customFormat="false" ht="15" hidden="false" customHeight="true" outlineLevel="0" collapsed="false">
      <c r="A1794" s="21" t="str">
        <f aca="false">IF(B1794="","",ROW()-4)</f>
        <v/>
      </c>
      <c r="B1794" s="22"/>
      <c r="C1794" s="21" t="str">
        <f aca="false">IF(B1794="","",CHOOSE(WEEKDAY(B1794,2),"LUNES","MARTES","MIÉRCOLES","JUEVES","VIERNES","SÁBADO","DOMINGO"))</f>
        <v/>
      </c>
      <c r="M1794" s="23"/>
      <c r="Q1794" s="21" t="str">
        <f aca="false">IF(OR(K1794="",N1794=""),"",K1794-N1794)</f>
        <v/>
      </c>
      <c r="R1794" s="21" t="str">
        <f aca="false">IF(OR(J1794="",K1794=""),"",J1794*K1794)</f>
        <v/>
      </c>
      <c r="S1794" s="21" t="str">
        <f aca="false">IF(AND(ISNUMBER(J1794),ISNUMBER(K1794),F1794&lt;&gt;"Calentamiento",F1794&lt;&gt;"Bilbo"),IF(AND(K1794&gt;0,K1794&lt;=12),ROUND(J1794*(1+(K1794+IF(ISNUMBER(L1794),L1794,0))/30),1),""),"")</f>
        <v/>
      </c>
      <c r="T1794" s="21" t="str">
        <f aca="false">IF(AND(F1794="Bilbo",ISNUMBER(J1794),ISNUMBER(K1794)),ROUND(J1794*(1+K1794/30),1),"")</f>
        <v/>
      </c>
      <c r="W1794" s="22"/>
      <c r="X1794" s="21" t="str">
        <f aca="false">IF(AND(F1794="Bilbo",E1794&lt;&gt;"",G1794&lt;&gt;"",H1794&lt;&gt;""),E1794&amp;"|"&amp;G1794&amp;"|"&amp;H1794,"")</f>
        <v/>
      </c>
      <c r="Y1794" s="21" t="str">
        <f aca="false">IF(B1794="","",IF(B1794&lt;&gt;B1793,1,0))</f>
        <v/>
      </c>
    </row>
    <row r="1795" customFormat="false" ht="15" hidden="false" customHeight="true" outlineLevel="0" collapsed="false">
      <c r="A1795" s="21" t="str">
        <f aca="false">IF(B1795="","",ROW()-4)</f>
        <v/>
      </c>
      <c r="B1795" s="22"/>
      <c r="C1795" s="21" t="str">
        <f aca="false">IF(B1795="","",CHOOSE(WEEKDAY(B1795,2),"LUNES","MARTES","MIÉRCOLES","JUEVES","VIERNES","SÁBADO","DOMINGO"))</f>
        <v/>
      </c>
      <c r="M1795" s="23"/>
      <c r="Q1795" s="21" t="str">
        <f aca="false">IF(OR(K1795="",N1795=""),"",K1795-N1795)</f>
        <v/>
      </c>
      <c r="R1795" s="21" t="str">
        <f aca="false">IF(OR(J1795="",K1795=""),"",J1795*K1795)</f>
        <v/>
      </c>
      <c r="S1795" s="21" t="str">
        <f aca="false">IF(AND(ISNUMBER(J1795),ISNUMBER(K1795),F1795&lt;&gt;"Calentamiento",F1795&lt;&gt;"Bilbo"),IF(AND(K1795&gt;0,K1795&lt;=12),ROUND(J1795*(1+(K1795+IF(ISNUMBER(L1795),L1795,0))/30),1),""),"")</f>
        <v/>
      </c>
      <c r="T1795" s="21" t="str">
        <f aca="false">IF(AND(F1795="Bilbo",ISNUMBER(J1795),ISNUMBER(K1795)),ROUND(J1795*(1+K1795/30),1),"")</f>
        <v/>
      </c>
      <c r="W1795" s="22"/>
      <c r="X1795" s="21" t="str">
        <f aca="false">IF(AND(F1795="Bilbo",E1795&lt;&gt;"",G1795&lt;&gt;"",H1795&lt;&gt;""),E1795&amp;"|"&amp;G1795&amp;"|"&amp;H1795,"")</f>
        <v/>
      </c>
      <c r="Y1795" s="21" t="str">
        <f aca="false">IF(B1795="","",IF(B1795&lt;&gt;B1794,1,0))</f>
        <v/>
      </c>
    </row>
    <row r="1796" customFormat="false" ht="15" hidden="false" customHeight="true" outlineLevel="0" collapsed="false">
      <c r="A1796" s="21" t="str">
        <f aca="false">IF(B1796="","",ROW()-4)</f>
        <v/>
      </c>
      <c r="B1796" s="22"/>
      <c r="C1796" s="21" t="str">
        <f aca="false">IF(B1796="","",CHOOSE(WEEKDAY(B1796,2),"LUNES","MARTES","MIÉRCOLES","JUEVES","VIERNES","SÁBADO","DOMINGO"))</f>
        <v/>
      </c>
      <c r="M1796" s="23"/>
      <c r="Q1796" s="21" t="str">
        <f aca="false">IF(OR(K1796="",N1796=""),"",K1796-N1796)</f>
        <v/>
      </c>
      <c r="R1796" s="21" t="str">
        <f aca="false">IF(OR(J1796="",K1796=""),"",J1796*K1796)</f>
        <v/>
      </c>
      <c r="S1796" s="21" t="str">
        <f aca="false">IF(AND(ISNUMBER(J1796),ISNUMBER(K1796),F1796&lt;&gt;"Calentamiento",F1796&lt;&gt;"Bilbo"),IF(AND(K1796&gt;0,K1796&lt;=12),ROUND(J1796*(1+(K1796+IF(ISNUMBER(L1796),L1796,0))/30),1),""),"")</f>
        <v/>
      </c>
      <c r="T1796" s="21" t="str">
        <f aca="false">IF(AND(F1796="Bilbo",ISNUMBER(J1796),ISNUMBER(K1796)),ROUND(J1796*(1+K1796/30),1),"")</f>
        <v/>
      </c>
      <c r="W1796" s="22"/>
      <c r="X1796" s="21" t="str">
        <f aca="false">IF(AND(F1796="Bilbo",E1796&lt;&gt;"",G1796&lt;&gt;"",H1796&lt;&gt;""),E1796&amp;"|"&amp;G1796&amp;"|"&amp;H1796,"")</f>
        <v/>
      </c>
      <c r="Y1796" s="21" t="str">
        <f aca="false">IF(B1796="","",IF(B1796&lt;&gt;B1795,1,0))</f>
        <v/>
      </c>
    </row>
    <row r="1797" customFormat="false" ht="15" hidden="false" customHeight="true" outlineLevel="0" collapsed="false">
      <c r="A1797" s="21" t="str">
        <f aca="false">IF(B1797="","",ROW()-4)</f>
        <v/>
      </c>
      <c r="B1797" s="22"/>
      <c r="C1797" s="21" t="str">
        <f aca="false">IF(B1797="","",CHOOSE(WEEKDAY(B1797,2),"LUNES","MARTES","MIÉRCOLES","JUEVES","VIERNES","SÁBADO","DOMINGO"))</f>
        <v/>
      </c>
      <c r="M1797" s="23"/>
      <c r="Q1797" s="21" t="str">
        <f aca="false">IF(OR(K1797="",N1797=""),"",K1797-N1797)</f>
        <v/>
      </c>
      <c r="R1797" s="21" t="str">
        <f aca="false">IF(OR(J1797="",K1797=""),"",J1797*K1797)</f>
        <v/>
      </c>
      <c r="S1797" s="21" t="str">
        <f aca="false">IF(AND(ISNUMBER(J1797),ISNUMBER(K1797),F1797&lt;&gt;"Calentamiento",F1797&lt;&gt;"Bilbo"),IF(AND(K1797&gt;0,K1797&lt;=12),ROUND(J1797*(1+(K1797+IF(ISNUMBER(L1797),L1797,0))/30),1),""),"")</f>
        <v/>
      </c>
      <c r="T1797" s="21" t="str">
        <f aca="false">IF(AND(F1797="Bilbo",ISNUMBER(J1797),ISNUMBER(K1797)),ROUND(J1797*(1+K1797/30),1),"")</f>
        <v/>
      </c>
      <c r="W1797" s="22"/>
      <c r="X1797" s="21" t="str">
        <f aca="false">IF(AND(F1797="Bilbo",E1797&lt;&gt;"",G1797&lt;&gt;"",H1797&lt;&gt;""),E1797&amp;"|"&amp;G1797&amp;"|"&amp;H1797,"")</f>
        <v/>
      </c>
      <c r="Y1797" s="21" t="str">
        <f aca="false">IF(B1797="","",IF(B1797&lt;&gt;B1796,1,0))</f>
        <v/>
      </c>
    </row>
    <row r="1798" customFormat="false" ht="15" hidden="false" customHeight="true" outlineLevel="0" collapsed="false">
      <c r="A1798" s="21" t="str">
        <f aca="false">IF(B1798="","",ROW()-4)</f>
        <v/>
      </c>
      <c r="B1798" s="22"/>
      <c r="C1798" s="21" t="str">
        <f aca="false">IF(B1798="","",CHOOSE(WEEKDAY(B1798,2),"LUNES","MARTES","MIÉRCOLES","JUEVES","VIERNES","SÁBADO","DOMINGO"))</f>
        <v/>
      </c>
      <c r="M1798" s="23"/>
      <c r="Q1798" s="21" t="str">
        <f aca="false">IF(OR(K1798="",N1798=""),"",K1798-N1798)</f>
        <v/>
      </c>
      <c r="R1798" s="21" t="str">
        <f aca="false">IF(OR(J1798="",K1798=""),"",J1798*K1798)</f>
        <v/>
      </c>
      <c r="S1798" s="21" t="str">
        <f aca="false">IF(AND(ISNUMBER(J1798),ISNUMBER(K1798),F1798&lt;&gt;"Calentamiento",F1798&lt;&gt;"Bilbo"),IF(AND(K1798&gt;0,K1798&lt;=12),ROUND(J1798*(1+(K1798+IF(ISNUMBER(L1798),L1798,0))/30),1),""),"")</f>
        <v/>
      </c>
      <c r="T1798" s="21" t="str">
        <f aca="false">IF(AND(F1798="Bilbo",ISNUMBER(J1798),ISNUMBER(K1798)),ROUND(J1798*(1+K1798/30),1),"")</f>
        <v/>
      </c>
      <c r="W1798" s="22"/>
      <c r="X1798" s="21" t="str">
        <f aca="false">IF(AND(F1798="Bilbo",E1798&lt;&gt;"",G1798&lt;&gt;"",H1798&lt;&gt;""),E1798&amp;"|"&amp;G1798&amp;"|"&amp;H1798,"")</f>
        <v/>
      </c>
      <c r="Y1798" s="21" t="str">
        <f aca="false">IF(B1798="","",IF(B1798&lt;&gt;B1797,1,0))</f>
        <v/>
      </c>
    </row>
    <row r="1799" customFormat="false" ht="15" hidden="false" customHeight="true" outlineLevel="0" collapsed="false">
      <c r="A1799" s="21" t="str">
        <f aca="false">IF(B1799="","",ROW()-4)</f>
        <v/>
      </c>
      <c r="B1799" s="22"/>
      <c r="C1799" s="21" t="str">
        <f aca="false">IF(B1799="","",CHOOSE(WEEKDAY(B1799,2),"LUNES","MARTES","MIÉRCOLES","JUEVES","VIERNES","SÁBADO","DOMINGO"))</f>
        <v/>
      </c>
      <c r="M1799" s="23"/>
      <c r="Q1799" s="21" t="str">
        <f aca="false">IF(OR(K1799="",N1799=""),"",K1799-N1799)</f>
        <v/>
      </c>
      <c r="R1799" s="21" t="str">
        <f aca="false">IF(OR(J1799="",K1799=""),"",J1799*K1799)</f>
        <v/>
      </c>
      <c r="S1799" s="21" t="str">
        <f aca="false">IF(AND(ISNUMBER(J1799),ISNUMBER(K1799),F1799&lt;&gt;"Calentamiento",F1799&lt;&gt;"Bilbo"),IF(AND(K1799&gt;0,K1799&lt;=12),ROUND(J1799*(1+(K1799+IF(ISNUMBER(L1799),L1799,0))/30),1),""),"")</f>
        <v/>
      </c>
      <c r="T1799" s="21" t="str">
        <f aca="false">IF(AND(F1799="Bilbo",ISNUMBER(J1799),ISNUMBER(K1799)),ROUND(J1799*(1+K1799/30),1),"")</f>
        <v/>
      </c>
      <c r="W1799" s="22"/>
      <c r="X1799" s="21" t="str">
        <f aca="false">IF(AND(F1799="Bilbo",E1799&lt;&gt;"",G1799&lt;&gt;"",H1799&lt;&gt;""),E1799&amp;"|"&amp;G1799&amp;"|"&amp;H1799,"")</f>
        <v/>
      </c>
      <c r="Y1799" s="21" t="str">
        <f aca="false">IF(B1799="","",IF(B1799&lt;&gt;B1798,1,0))</f>
        <v/>
      </c>
    </row>
    <row r="1800" customFormat="false" ht="15" hidden="false" customHeight="true" outlineLevel="0" collapsed="false">
      <c r="A1800" s="21" t="str">
        <f aca="false">IF(B1800="","",ROW()-4)</f>
        <v/>
      </c>
      <c r="B1800" s="22"/>
      <c r="C1800" s="21" t="str">
        <f aca="false">IF(B1800="","",CHOOSE(WEEKDAY(B1800,2),"LUNES","MARTES","MIÉRCOLES","JUEVES","VIERNES","SÁBADO","DOMINGO"))</f>
        <v/>
      </c>
      <c r="M1800" s="23"/>
      <c r="Q1800" s="21" t="str">
        <f aca="false">IF(OR(K1800="",N1800=""),"",K1800-N1800)</f>
        <v/>
      </c>
      <c r="R1800" s="21" t="str">
        <f aca="false">IF(OR(J1800="",K1800=""),"",J1800*K1800)</f>
        <v/>
      </c>
      <c r="S1800" s="21" t="str">
        <f aca="false">IF(AND(ISNUMBER(J1800),ISNUMBER(K1800),F1800&lt;&gt;"Calentamiento",F1800&lt;&gt;"Bilbo"),IF(AND(K1800&gt;0,K1800&lt;=12),ROUND(J1800*(1+(K1800+IF(ISNUMBER(L1800),L1800,0))/30),1),""),"")</f>
        <v/>
      </c>
      <c r="T1800" s="21" t="str">
        <f aca="false">IF(AND(F1800="Bilbo",ISNUMBER(J1800),ISNUMBER(K1800)),ROUND(J1800*(1+K1800/30),1),"")</f>
        <v/>
      </c>
      <c r="W1800" s="22"/>
      <c r="X1800" s="21" t="str">
        <f aca="false">IF(AND(F1800="Bilbo",E1800&lt;&gt;"",G1800&lt;&gt;"",H1800&lt;&gt;""),E1800&amp;"|"&amp;G1800&amp;"|"&amp;H1800,"")</f>
        <v/>
      </c>
      <c r="Y1800" s="21" t="str">
        <f aca="false">IF(B1800="","",IF(B1800&lt;&gt;B1799,1,0))</f>
        <v/>
      </c>
    </row>
    <row r="1801" customFormat="false" ht="15" hidden="false" customHeight="true" outlineLevel="0" collapsed="false">
      <c r="A1801" s="21" t="str">
        <f aca="false">IF(B1801="","",ROW()-4)</f>
        <v/>
      </c>
      <c r="B1801" s="22"/>
      <c r="C1801" s="21" t="str">
        <f aca="false">IF(B1801="","",CHOOSE(WEEKDAY(B1801,2),"LUNES","MARTES","MIÉRCOLES","JUEVES","VIERNES","SÁBADO","DOMINGO"))</f>
        <v/>
      </c>
      <c r="M1801" s="23"/>
      <c r="Q1801" s="21" t="str">
        <f aca="false">IF(OR(K1801="",N1801=""),"",K1801-N1801)</f>
        <v/>
      </c>
      <c r="R1801" s="21" t="str">
        <f aca="false">IF(OR(J1801="",K1801=""),"",J1801*K1801)</f>
        <v/>
      </c>
      <c r="S1801" s="21" t="str">
        <f aca="false">IF(AND(ISNUMBER(J1801),ISNUMBER(K1801),F1801&lt;&gt;"Calentamiento",F1801&lt;&gt;"Bilbo"),IF(AND(K1801&gt;0,K1801&lt;=12),ROUND(J1801*(1+(K1801+IF(ISNUMBER(L1801),L1801,0))/30),1),""),"")</f>
        <v/>
      </c>
      <c r="T1801" s="21" t="str">
        <f aca="false">IF(AND(F1801="Bilbo",ISNUMBER(J1801),ISNUMBER(K1801)),ROUND(J1801*(1+K1801/30),1),"")</f>
        <v/>
      </c>
      <c r="W1801" s="22"/>
      <c r="X1801" s="21" t="str">
        <f aca="false">IF(AND(F1801="Bilbo",E1801&lt;&gt;"",G1801&lt;&gt;"",H1801&lt;&gt;""),E1801&amp;"|"&amp;G1801&amp;"|"&amp;H1801,"")</f>
        <v/>
      </c>
      <c r="Y1801" s="21" t="str">
        <f aca="false">IF(B1801="","",IF(B1801&lt;&gt;B1800,1,0))</f>
        <v/>
      </c>
    </row>
    <row r="1802" customFormat="false" ht="15" hidden="false" customHeight="true" outlineLevel="0" collapsed="false">
      <c r="A1802" s="21" t="str">
        <f aca="false">IF(B1802="","",ROW()-4)</f>
        <v/>
      </c>
      <c r="B1802" s="22"/>
      <c r="C1802" s="21" t="str">
        <f aca="false">IF(B1802="","",CHOOSE(WEEKDAY(B1802,2),"LUNES","MARTES","MIÉRCOLES","JUEVES","VIERNES","SÁBADO","DOMINGO"))</f>
        <v/>
      </c>
      <c r="M1802" s="23"/>
      <c r="Q1802" s="21" t="str">
        <f aca="false">IF(OR(K1802="",N1802=""),"",K1802-N1802)</f>
        <v/>
      </c>
      <c r="R1802" s="21" t="str">
        <f aca="false">IF(OR(J1802="",K1802=""),"",J1802*K1802)</f>
        <v/>
      </c>
      <c r="S1802" s="21" t="str">
        <f aca="false">IF(AND(ISNUMBER(J1802),ISNUMBER(K1802),F1802&lt;&gt;"Calentamiento",F1802&lt;&gt;"Bilbo"),IF(AND(K1802&gt;0,K1802&lt;=12),ROUND(J1802*(1+(K1802+IF(ISNUMBER(L1802),L1802,0))/30),1),""),"")</f>
        <v/>
      </c>
      <c r="T1802" s="21" t="str">
        <f aca="false">IF(AND(F1802="Bilbo",ISNUMBER(J1802),ISNUMBER(K1802)),ROUND(J1802*(1+K1802/30),1),"")</f>
        <v/>
      </c>
      <c r="W1802" s="22"/>
      <c r="X1802" s="21" t="str">
        <f aca="false">IF(AND(F1802="Bilbo",E1802&lt;&gt;"",G1802&lt;&gt;"",H1802&lt;&gt;""),E1802&amp;"|"&amp;G1802&amp;"|"&amp;H1802,"")</f>
        <v/>
      </c>
      <c r="Y1802" s="21" t="str">
        <f aca="false">IF(B1802="","",IF(B1802&lt;&gt;B1801,1,0))</f>
        <v/>
      </c>
    </row>
    <row r="1803" customFormat="false" ht="15" hidden="false" customHeight="true" outlineLevel="0" collapsed="false">
      <c r="A1803" s="21" t="str">
        <f aca="false">IF(B1803="","",ROW()-4)</f>
        <v/>
      </c>
      <c r="B1803" s="22"/>
      <c r="C1803" s="21" t="str">
        <f aca="false">IF(B1803="","",CHOOSE(WEEKDAY(B1803,2),"LUNES","MARTES","MIÉRCOLES","JUEVES","VIERNES","SÁBADO","DOMINGO"))</f>
        <v/>
      </c>
      <c r="M1803" s="23"/>
      <c r="Q1803" s="21" t="str">
        <f aca="false">IF(OR(K1803="",N1803=""),"",K1803-N1803)</f>
        <v/>
      </c>
      <c r="R1803" s="21" t="str">
        <f aca="false">IF(OR(J1803="",K1803=""),"",J1803*K1803)</f>
        <v/>
      </c>
      <c r="S1803" s="21" t="str">
        <f aca="false">IF(AND(ISNUMBER(J1803),ISNUMBER(K1803),F1803&lt;&gt;"Calentamiento",F1803&lt;&gt;"Bilbo"),IF(AND(K1803&gt;0,K1803&lt;=12),ROUND(J1803*(1+(K1803+IF(ISNUMBER(L1803),L1803,0))/30),1),""),"")</f>
        <v/>
      </c>
      <c r="T1803" s="21" t="str">
        <f aca="false">IF(AND(F1803="Bilbo",ISNUMBER(J1803),ISNUMBER(K1803)),ROUND(J1803*(1+K1803/30),1),"")</f>
        <v/>
      </c>
      <c r="W1803" s="22"/>
      <c r="X1803" s="21" t="str">
        <f aca="false">IF(AND(F1803="Bilbo",E1803&lt;&gt;"",G1803&lt;&gt;"",H1803&lt;&gt;""),E1803&amp;"|"&amp;G1803&amp;"|"&amp;H1803,"")</f>
        <v/>
      </c>
      <c r="Y1803" s="21" t="str">
        <f aca="false">IF(B1803="","",IF(B1803&lt;&gt;B1802,1,0))</f>
        <v/>
      </c>
    </row>
    <row r="1804" customFormat="false" ht="15" hidden="false" customHeight="true" outlineLevel="0" collapsed="false">
      <c r="A1804" s="21" t="str">
        <f aca="false">IF(B1804="","",ROW()-4)</f>
        <v/>
      </c>
      <c r="B1804" s="22"/>
      <c r="C1804" s="21" t="str">
        <f aca="false">IF(B1804="","",CHOOSE(WEEKDAY(B1804,2),"LUNES","MARTES","MIÉRCOLES","JUEVES","VIERNES","SÁBADO","DOMINGO"))</f>
        <v/>
      </c>
      <c r="M1804" s="23"/>
      <c r="Q1804" s="21" t="str">
        <f aca="false">IF(OR(K1804="",N1804=""),"",K1804-N1804)</f>
        <v/>
      </c>
      <c r="R1804" s="21" t="str">
        <f aca="false">IF(OR(J1804="",K1804=""),"",J1804*K1804)</f>
        <v/>
      </c>
      <c r="S1804" s="21" t="str">
        <f aca="false">IF(AND(ISNUMBER(J1804),ISNUMBER(K1804),F1804&lt;&gt;"Calentamiento",F1804&lt;&gt;"Bilbo"),IF(AND(K1804&gt;0,K1804&lt;=12),ROUND(J1804*(1+(K1804+IF(ISNUMBER(L1804),L1804,0))/30),1),""),"")</f>
        <v/>
      </c>
      <c r="T1804" s="21" t="str">
        <f aca="false">IF(AND(F1804="Bilbo",ISNUMBER(J1804),ISNUMBER(K1804)),ROUND(J1804*(1+K1804/30),1),"")</f>
        <v/>
      </c>
      <c r="W1804" s="22"/>
      <c r="X1804" s="21" t="str">
        <f aca="false">IF(AND(F1804="Bilbo",E1804&lt;&gt;"",G1804&lt;&gt;"",H1804&lt;&gt;""),E1804&amp;"|"&amp;G1804&amp;"|"&amp;H1804,"")</f>
        <v/>
      </c>
      <c r="Y1804" s="21" t="str">
        <f aca="false">IF(B1804="","",IF(B1804&lt;&gt;B1803,1,0))</f>
        <v/>
      </c>
    </row>
    <row r="1805" customFormat="false" ht="15" hidden="false" customHeight="true" outlineLevel="0" collapsed="false">
      <c r="A1805" s="21" t="str">
        <f aca="false">IF(B1805="","",ROW()-4)</f>
        <v/>
      </c>
      <c r="B1805" s="22"/>
      <c r="C1805" s="21" t="str">
        <f aca="false">IF(B1805="","",CHOOSE(WEEKDAY(B1805,2),"LUNES","MARTES","MIÉRCOLES","JUEVES","VIERNES","SÁBADO","DOMINGO"))</f>
        <v/>
      </c>
      <c r="M1805" s="23"/>
      <c r="Q1805" s="21" t="str">
        <f aca="false">IF(OR(K1805="",N1805=""),"",K1805-N1805)</f>
        <v/>
      </c>
      <c r="R1805" s="21" t="str">
        <f aca="false">IF(OR(J1805="",K1805=""),"",J1805*K1805)</f>
        <v/>
      </c>
      <c r="S1805" s="21" t="str">
        <f aca="false">IF(AND(ISNUMBER(J1805),ISNUMBER(K1805),F1805&lt;&gt;"Calentamiento",F1805&lt;&gt;"Bilbo"),IF(AND(K1805&gt;0,K1805&lt;=12),ROUND(J1805*(1+(K1805+IF(ISNUMBER(L1805),L1805,0))/30),1),""),"")</f>
        <v/>
      </c>
      <c r="T1805" s="21" t="str">
        <f aca="false">IF(AND(F1805="Bilbo",ISNUMBER(J1805),ISNUMBER(K1805)),ROUND(J1805*(1+K1805/30),1),"")</f>
        <v/>
      </c>
      <c r="W1805" s="22"/>
      <c r="X1805" s="21" t="str">
        <f aca="false">IF(AND(F1805="Bilbo",E1805&lt;&gt;"",G1805&lt;&gt;"",H1805&lt;&gt;""),E1805&amp;"|"&amp;G1805&amp;"|"&amp;H1805,"")</f>
        <v/>
      </c>
      <c r="Y1805" s="21" t="str">
        <f aca="false">IF(B1805="","",IF(B1805&lt;&gt;B1804,1,0))</f>
        <v/>
      </c>
    </row>
    <row r="1806" customFormat="false" ht="15" hidden="false" customHeight="true" outlineLevel="0" collapsed="false">
      <c r="A1806" s="21" t="str">
        <f aca="false">IF(B1806="","",ROW()-4)</f>
        <v/>
      </c>
      <c r="B1806" s="22"/>
      <c r="C1806" s="21" t="str">
        <f aca="false">IF(B1806="","",CHOOSE(WEEKDAY(B1806,2),"LUNES","MARTES","MIÉRCOLES","JUEVES","VIERNES","SÁBADO","DOMINGO"))</f>
        <v/>
      </c>
      <c r="M1806" s="23"/>
      <c r="Q1806" s="21" t="str">
        <f aca="false">IF(OR(K1806="",N1806=""),"",K1806-N1806)</f>
        <v/>
      </c>
      <c r="R1806" s="21" t="str">
        <f aca="false">IF(OR(J1806="",K1806=""),"",J1806*K1806)</f>
        <v/>
      </c>
      <c r="S1806" s="21" t="str">
        <f aca="false">IF(AND(ISNUMBER(J1806),ISNUMBER(K1806),F1806&lt;&gt;"Calentamiento",F1806&lt;&gt;"Bilbo"),IF(AND(K1806&gt;0,K1806&lt;=12),ROUND(J1806*(1+(K1806+IF(ISNUMBER(L1806),L1806,0))/30),1),""),"")</f>
        <v/>
      </c>
      <c r="T1806" s="21" t="str">
        <f aca="false">IF(AND(F1806="Bilbo",ISNUMBER(J1806),ISNUMBER(K1806)),ROUND(J1806*(1+K1806/30),1),"")</f>
        <v/>
      </c>
      <c r="W1806" s="22"/>
      <c r="X1806" s="21" t="str">
        <f aca="false">IF(AND(F1806="Bilbo",E1806&lt;&gt;"",G1806&lt;&gt;"",H1806&lt;&gt;""),E1806&amp;"|"&amp;G1806&amp;"|"&amp;H1806,"")</f>
        <v/>
      </c>
      <c r="Y1806" s="21" t="str">
        <f aca="false">IF(B1806="","",IF(B1806&lt;&gt;B1805,1,0))</f>
        <v/>
      </c>
    </row>
    <row r="1807" customFormat="false" ht="15" hidden="false" customHeight="true" outlineLevel="0" collapsed="false">
      <c r="A1807" s="21" t="str">
        <f aca="false">IF(B1807="","",ROW()-4)</f>
        <v/>
      </c>
      <c r="B1807" s="22"/>
      <c r="C1807" s="21" t="str">
        <f aca="false">IF(B1807="","",CHOOSE(WEEKDAY(B1807,2),"LUNES","MARTES","MIÉRCOLES","JUEVES","VIERNES","SÁBADO","DOMINGO"))</f>
        <v/>
      </c>
      <c r="M1807" s="23"/>
      <c r="Q1807" s="21" t="str">
        <f aca="false">IF(OR(K1807="",N1807=""),"",K1807-N1807)</f>
        <v/>
      </c>
      <c r="R1807" s="21" t="str">
        <f aca="false">IF(OR(J1807="",K1807=""),"",J1807*K1807)</f>
        <v/>
      </c>
      <c r="S1807" s="21" t="str">
        <f aca="false">IF(AND(ISNUMBER(J1807),ISNUMBER(K1807),F1807&lt;&gt;"Calentamiento",F1807&lt;&gt;"Bilbo"),IF(AND(K1807&gt;0,K1807&lt;=12),ROUND(J1807*(1+(K1807+IF(ISNUMBER(L1807),L1807,0))/30),1),""),"")</f>
        <v/>
      </c>
      <c r="T1807" s="21" t="str">
        <f aca="false">IF(AND(F1807="Bilbo",ISNUMBER(J1807),ISNUMBER(K1807)),ROUND(J1807*(1+K1807/30),1),"")</f>
        <v/>
      </c>
      <c r="W1807" s="22"/>
      <c r="X1807" s="21" t="str">
        <f aca="false">IF(AND(F1807="Bilbo",E1807&lt;&gt;"",G1807&lt;&gt;"",H1807&lt;&gt;""),E1807&amp;"|"&amp;G1807&amp;"|"&amp;H1807,"")</f>
        <v/>
      </c>
      <c r="Y1807" s="21" t="str">
        <f aca="false">IF(B1807="","",IF(B1807&lt;&gt;B1806,1,0))</f>
        <v/>
      </c>
    </row>
    <row r="1808" customFormat="false" ht="15" hidden="false" customHeight="true" outlineLevel="0" collapsed="false">
      <c r="A1808" s="21" t="str">
        <f aca="false">IF(B1808="","",ROW()-4)</f>
        <v/>
      </c>
      <c r="B1808" s="22"/>
      <c r="C1808" s="21" t="str">
        <f aca="false">IF(B1808="","",CHOOSE(WEEKDAY(B1808,2),"LUNES","MARTES","MIÉRCOLES","JUEVES","VIERNES","SÁBADO","DOMINGO"))</f>
        <v/>
      </c>
      <c r="M1808" s="23"/>
      <c r="Q1808" s="21" t="str">
        <f aca="false">IF(OR(K1808="",N1808=""),"",K1808-N1808)</f>
        <v/>
      </c>
      <c r="R1808" s="21" t="str">
        <f aca="false">IF(OR(J1808="",K1808=""),"",J1808*K1808)</f>
        <v/>
      </c>
      <c r="S1808" s="21" t="str">
        <f aca="false">IF(AND(ISNUMBER(J1808),ISNUMBER(K1808),F1808&lt;&gt;"Calentamiento",F1808&lt;&gt;"Bilbo"),IF(AND(K1808&gt;0,K1808&lt;=12),ROUND(J1808*(1+(K1808+IF(ISNUMBER(L1808),L1808,0))/30),1),""),"")</f>
        <v/>
      </c>
      <c r="T1808" s="21" t="str">
        <f aca="false">IF(AND(F1808="Bilbo",ISNUMBER(J1808),ISNUMBER(K1808)),ROUND(J1808*(1+K1808/30),1),"")</f>
        <v/>
      </c>
      <c r="W1808" s="22"/>
      <c r="X1808" s="21" t="str">
        <f aca="false">IF(AND(F1808="Bilbo",E1808&lt;&gt;"",G1808&lt;&gt;"",H1808&lt;&gt;""),E1808&amp;"|"&amp;G1808&amp;"|"&amp;H1808,"")</f>
        <v/>
      </c>
      <c r="Y1808" s="21" t="str">
        <f aca="false">IF(B1808="","",IF(B1808&lt;&gt;B1807,1,0))</f>
        <v/>
      </c>
    </row>
    <row r="1809" customFormat="false" ht="15" hidden="false" customHeight="true" outlineLevel="0" collapsed="false">
      <c r="A1809" s="21" t="str">
        <f aca="false">IF(B1809="","",ROW()-4)</f>
        <v/>
      </c>
      <c r="B1809" s="22"/>
      <c r="C1809" s="21" t="str">
        <f aca="false">IF(B1809="","",CHOOSE(WEEKDAY(B1809,2),"LUNES","MARTES","MIÉRCOLES","JUEVES","VIERNES","SÁBADO","DOMINGO"))</f>
        <v/>
      </c>
      <c r="M1809" s="23"/>
      <c r="Q1809" s="21" t="str">
        <f aca="false">IF(OR(K1809="",N1809=""),"",K1809-N1809)</f>
        <v/>
      </c>
      <c r="R1809" s="21" t="str">
        <f aca="false">IF(OR(J1809="",K1809=""),"",J1809*K1809)</f>
        <v/>
      </c>
      <c r="S1809" s="21" t="str">
        <f aca="false">IF(AND(ISNUMBER(J1809),ISNUMBER(K1809),F1809&lt;&gt;"Calentamiento",F1809&lt;&gt;"Bilbo"),IF(AND(K1809&gt;0,K1809&lt;=12),ROUND(J1809*(1+(K1809+IF(ISNUMBER(L1809),L1809,0))/30),1),""),"")</f>
        <v/>
      </c>
      <c r="T1809" s="21" t="str">
        <f aca="false">IF(AND(F1809="Bilbo",ISNUMBER(J1809),ISNUMBER(K1809)),ROUND(J1809*(1+K1809/30),1),"")</f>
        <v/>
      </c>
      <c r="W1809" s="22"/>
      <c r="X1809" s="21" t="str">
        <f aca="false">IF(AND(F1809="Bilbo",E1809&lt;&gt;"",G1809&lt;&gt;"",H1809&lt;&gt;""),E1809&amp;"|"&amp;G1809&amp;"|"&amp;H1809,"")</f>
        <v/>
      </c>
      <c r="Y1809" s="21" t="str">
        <f aca="false">IF(B1809="","",IF(B1809&lt;&gt;B1808,1,0))</f>
        <v/>
      </c>
    </row>
    <row r="1810" customFormat="false" ht="15" hidden="false" customHeight="true" outlineLevel="0" collapsed="false">
      <c r="A1810" s="21" t="str">
        <f aca="false">IF(B1810="","",ROW()-4)</f>
        <v/>
      </c>
      <c r="B1810" s="22"/>
      <c r="C1810" s="21" t="str">
        <f aca="false">IF(B1810="","",CHOOSE(WEEKDAY(B1810,2),"LUNES","MARTES","MIÉRCOLES","JUEVES","VIERNES","SÁBADO","DOMINGO"))</f>
        <v/>
      </c>
      <c r="M1810" s="23"/>
      <c r="Q1810" s="21" t="str">
        <f aca="false">IF(OR(K1810="",N1810=""),"",K1810-N1810)</f>
        <v/>
      </c>
      <c r="R1810" s="21" t="str">
        <f aca="false">IF(OR(J1810="",K1810=""),"",J1810*K1810)</f>
        <v/>
      </c>
      <c r="S1810" s="21" t="str">
        <f aca="false">IF(AND(ISNUMBER(J1810),ISNUMBER(K1810),F1810&lt;&gt;"Calentamiento",F1810&lt;&gt;"Bilbo"),IF(AND(K1810&gt;0,K1810&lt;=12),ROUND(J1810*(1+(K1810+IF(ISNUMBER(L1810),L1810,0))/30),1),""),"")</f>
        <v/>
      </c>
      <c r="T1810" s="21" t="str">
        <f aca="false">IF(AND(F1810="Bilbo",ISNUMBER(J1810),ISNUMBER(K1810)),ROUND(J1810*(1+K1810/30),1),"")</f>
        <v/>
      </c>
      <c r="W1810" s="22"/>
      <c r="X1810" s="21" t="str">
        <f aca="false">IF(AND(F1810="Bilbo",E1810&lt;&gt;"",G1810&lt;&gt;"",H1810&lt;&gt;""),E1810&amp;"|"&amp;G1810&amp;"|"&amp;H1810,"")</f>
        <v/>
      </c>
      <c r="Y1810" s="21" t="str">
        <f aca="false">IF(B1810="","",IF(B1810&lt;&gt;B1809,1,0))</f>
        <v/>
      </c>
    </row>
    <row r="1811" customFormat="false" ht="15" hidden="false" customHeight="true" outlineLevel="0" collapsed="false">
      <c r="A1811" s="21" t="str">
        <f aca="false">IF(B1811="","",ROW()-4)</f>
        <v/>
      </c>
      <c r="B1811" s="22"/>
      <c r="C1811" s="21" t="str">
        <f aca="false">IF(B1811="","",CHOOSE(WEEKDAY(B1811,2),"LUNES","MARTES","MIÉRCOLES","JUEVES","VIERNES","SÁBADO","DOMINGO"))</f>
        <v/>
      </c>
      <c r="M1811" s="23"/>
      <c r="Q1811" s="21" t="str">
        <f aca="false">IF(OR(K1811="",N1811=""),"",K1811-N1811)</f>
        <v/>
      </c>
      <c r="R1811" s="21" t="str">
        <f aca="false">IF(OR(J1811="",K1811=""),"",J1811*K1811)</f>
        <v/>
      </c>
      <c r="S1811" s="21" t="str">
        <f aca="false">IF(AND(ISNUMBER(J1811),ISNUMBER(K1811),F1811&lt;&gt;"Calentamiento",F1811&lt;&gt;"Bilbo"),IF(AND(K1811&gt;0,K1811&lt;=12),ROUND(J1811*(1+(K1811+IF(ISNUMBER(L1811),L1811,0))/30),1),""),"")</f>
        <v/>
      </c>
      <c r="T1811" s="21" t="str">
        <f aca="false">IF(AND(F1811="Bilbo",ISNUMBER(J1811),ISNUMBER(K1811)),ROUND(J1811*(1+K1811/30),1),"")</f>
        <v/>
      </c>
      <c r="W1811" s="22"/>
      <c r="X1811" s="21" t="str">
        <f aca="false">IF(AND(F1811="Bilbo",E1811&lt;&gt;"",G1811&lt;&gt;"",H1811&lt;&gt;""),E1811&amp;"|"&amp;G1811&amp;"|"&amp;H1811,"")</f>
        <v/>
      </c>
      <c r="Y1811" s="21" t="str">
        <f aca="false">IF(B1811="","",IF(B1811&lt;&gt;B1810,1,0))</f>
        <v/>
      </c>
    </row>
    <row r="1812" customFormat="false" ht="15" hidden="false" customHeight="true" outlineLevel="0" collapsed="false">
      <c r="A1812" s="21" t="str">
        <f aca="false">IF(B1812="","",ROW()-4)</f>
        <v/>
      </c>
      <c r="B1812" s="22"/>
      <c r="C1812" s="21" t="str">
        <f aca="false">IF(B1812="","",CHOOSE(WEEKDAY(B1812,2),"LUNES","MARTES","MIÉRCOLES","JUEVES","VIERNES","SÁBADO","DOMINGO"))</f>
        <v/>
      </c>
      <c r="M1812" s="23"/>
      <c r="Q1812" s="21" t="str">
        <f aca="false">IF(OR(K1812="",N1812=""),"",K1812-N1812)</f>
        <v/>
      </c>
      <c r="R1812" s="21" t="str">
        <f aca="false">IF(OR(J1812="",K1812=""),"",J1812*K1812)</f>
        <v/>
      </c>
      <c r="S1812" s="21" t="str">
        <f aca="false">IF(AND(ISNUMBER(J1812),ISNUMBER(K1812),F1812&lt;&gt;"Calentamiento",F1812&lt;&gt;"Bilbo"),IF(AND(K1812&gt;0,K1812&lt;=12),ROUND(J1812*(1+(K1812+IF(ISNUMBER(L1812),L1812,0))/30),1),""),"")</f>
        <v/>
      </c>
      <c r="T1812" s="21" t="str">
        <f aca="false">IF(AND(F1812="Bilbo",ISNUMBER(J1812),ISNUMBER(K1812)),ROUND(J1812*(1+K1812/30),1),"")</f>
        <v/>
      </c>
      <c r="W1812" s="22"/>
      <c r="X1812" s="21" t="str">
        <f aca="false">IF(AND(F1812="Bilbo",E1812&lt;&gt;"",G1812&lt;&gt;"",H1812&lt;&gt;""),E1812&amp;"|"&amp;G1812&amp;"|"&amp;H1812,"")</f>
        <v/>
      </c>
      <c r="Y1812" s="21" t="str">
        <f aca="false">IF(B1812="","",IF(B1812&lt;&gt;B1811,1,0))</f>
        <v/>
      </c>
    </row>
    <row r="1813" customFormat="false" ht="15" hidden="false" customHeight="true" outlineLevel="0" collapsed="false">
      <c r="A1813" s="21" t="str">
        <f aca="false">IF(B1813="","",ROW()-4)</f>
        <v/>
      </c>
      <c r="B1813" s="22"/>
      <c r="C1813" s="21" t="str">
        <f aca="false">IF(B1813="","",CHOOSE(WEEKDAY(B1813,2),"LUNES","MARTES","MIÉRCOLES","JUEVES","VIERNES","SÁBADO","DOMINGO"))</f>
        <v/>
      </c>
      <c r="M1813" s="23"/>
      <c r="Q1813" s="21" t="str">
        <f aca="false">IF(OR(K1813="",N1813=""),"",K1813-N1813)</f>
        <v/>
      </c>
      <c r="R1813" s="21" t="str">
        <f aca="false">IF(OR(J1813="",K1813=""),"",J1813*K1813)</f>
        <v/>
      </c>
      <c r="S1813" s="21" t="str">
        <f aca="false">IF(AND(ISNUMBER(J1813),ISNUMBER(K1813),F1813&lt;&gt;"Calentamiento",F1813&lt;&gt;"Bilbo"),IF(AND(K1813&gt;0,K1813&lt;=12),ROUND(J1813*(1+(K1813+IF(ISNUMBER(L1813),L1813,0))/30),1),""),"")</f>
        <v/>
      </c>
      <c r="T1813" s="21" t="str">
        <f aca="false">IF(AND(F1813="Bilbo",ISNUMBER(J1813),ISNUMBER(K1813)),ROUND(J1813*(1+K1813/30),1),"")</f>
        <v/>
      </c>
      <c r="W1813" s="22"/>
      <c r="X1813" s="21" t="str">
        <f aca="false">IF(AND(F1813="Bilbo",E1813&lt;&gt;"",G1813&lt;&gt;"",H1813&lt;&gt;""),E1813&amp;"|"&amp;G1813&amp;"|"&amp;H1813,"")</f>
        <v/>
      </c>
      <c r="Y1813" s="21" t="str">
        <f aca="false">IF(B1813="","",IF(B1813&lt;&gt;B1812,1,0))</f>
        <v/>
      </c>
    </row>
    <row r="1814" customFormat="false" ht="15" hidden="false" customHeight="true" outlineLevel="0" collapsed="false">
      <c r="A1814" s="21" t="str">
        <f aca="false">IF(B1814="","",ROW()-4)</f>
        <v/>
      </c>
      <c r="B1814" s="22"/>
      <c r="C1814" s="21" t="str">
        <f aca="false">IF(B1814="","",CHOOSE(WEEKDAY(B1814,2),"LUNES","MARTES","MIÉRCOLES","JUEVES","VIERNES","SÁBADO","DOMINGO"))</f>
        <v/>
      </c>
      <c r="M1814" s="23"/>
      <c r="Q1814" s="21" t="str">
        <f aca="false">IF(OR(K1814="",N1814=""),"",K1814-N1814)</f>
        <v/>
      </c>
      <c r="R1814" s="21" t="str">
        <f aca="false">IF(OR(J1814="",K1814=""),"",J1814*K1814)</f>
        <v/>
      </c>
      <c r="S1814" s="21" t="str">
        <f aca="false">IF(AND(ISNUMBER(J1814),ISNUMBER(K1814),F1814&lt;&gt;"Calentamiento",F1814&lt;&gt;"Bilbo"),IF(AND(K1814&gt;0,K1814&lt;=12),ROUND(J1814*(1+(K1814+IF(ISNUMBER(L1814),L1814,0))/30),1),""),"")</f>
        <v/>
      </c>
      <c r="T1814" s="21" t="str">
        <f aca="false">IF(AND(F1814="Bilbo",ISNUMBER(J1814),ISNUMBER(K1814)),ROUND(J1814*(1+K1814/30),1),"")</f>
        <v/>
      </c>
      <c r="W1814" s="22"/>
      <c r="X1814" s="21" t="str">
        <f aca="false">IF(AND(F1814="Bilbo",E1814&lt;&gt;"",G1814&lt;&gt;"",H1814&lt;&gt;""),E1814&amp;"|"&amp;G1814&amp;"|"&amp;H1814,"")</f>
        <v/>
      </c>
      <c r="Y1814" s="21" t="str">
        <f aca="false">IF(B1814="","",IF(B1814&lt;&gt;B1813,1,0))</f>
        <v/>
      </c>
    </row>
    <row r="1815" customFormat="false" ht="15" hidden="false" customHeight="true" outlineLevel="0" collapsed="false">
      <c r="A1815" s="21" t="str">
        <f aca="false">IF(B1815="","",ROW()-4)</f>
        <v/>
      </c>
      <c r="B1815" s="22"/>
      <c r="C1815" s="21" t="str">
        <f aca="false">IF(B1815="","",CHOOSE(WEEKDAY(B1815,2),"LUNES","MARTES","MIÉRCOLES","JUEVES","VIERNES","SÁBADO","DOMINGO"))</f>
        <v/>
      </c>
      <c r="M1815" s="23"/>
      <c r="Q1815" s="21" t="str">
        <f aca="false">IF(OR(K1815="",N1815=""),"",K1815-N1815)</f>
        <v/>
      </c>
      <c r="R1815" s="21" t="str">
        <f aca="false">IF(OR(J1815="",K1815=""),"",J1815*K1815)</f>
        <v/>
      </c>
      <c r="S1815" s="21" t="str">
        <f aca="false">IF(AND(ISNUMBER(J1815),ISNUMBER(K1815),F1815&lt;&gt;"Calentamiento",F1815&lt;&gt;"Bilbo"),IF(AND(K1815&gt;0,K1815&lt;=12),ROUND(J1815*(1+(K1815+IF(ISNUMBER(L1815),L1815,0))/30),1),""),"")</f>
        <v/>
      </c>
      <c r="T1815" s="21" t="str">
        <f aca="false">IF(AND(F1815="Bilbo",ISNUMBER(J1815),ISNUMBER(K1815)),ROUND(J1815*(1+K1815/30),1),"")</f>
        <v/>
      </c>
      <c r="W1815" s="22"/>
      <c r="X1815" s="21" t="str">
        <f aca="false">IF(AND(F1815="Bilbo",E1815&lt;&gt;"",G1815&lt;&gt;"",H1815&lt;&gt;""),E1815&amp;"|"&amp;G1815&amp;"|"&amp;H1815,"")</f>
        <v/>
      </c>
      <c r="Y1815" s="21" t="str">
        <f aca="false">IF(B1815="","",IF(B1815&lt;&gt;B1814,1,0))</f>
        <v/>
      </c>
    </row>
    <row r="1816" customFormat="false" ht="15" hidden="false" customHeight="true" outlineLevel="0" collapsed="false">
      <c r="A1816" s="21" t="str">
        <f aca="false">IF(B1816="","",ROW()-4)</f>
        <v/>
      </c>
      <c r="B1816" s="22"/>
      <c r="C1816" s="21" t="str">
        <f aca="false">IF(B1816="","",CHOOSE(WEEKDAY(B1816,2),"LUNES","MARTES","MIÉRCOLES","JUEVES","VIERNES","SÁBADO","DOMINGO"))</f>
        <v/>
      </c>
      <c r="M1816" s="23"/>
      <c r="Q1816" s="21" t="str">
        <f aca="false">IF(OR(K1816="",N1816=""),"",K1816-N1816)</f>
        <v/>
      </c>
      <c r="R1816" s="21" t="str">
        <f aca="false">IF(OR(J1816="",K1816=""),"",J1816*K1816)</f>
        <v/>
      </c>
      <c r="S1816" s="21" t="str">
        <f aca="false">IF(AND(ISNUMBER(J1816),ISNUMBER(K1816),F1816&lt;&gt;"Calentamiento",F1816&lt;&gt;"Bilbo"),IF(AND(K1816&gt;0,K1816&lt;=12),ROUND(J1816*(1+(K1816+IF(ISNUMBER(L1816),L1816,0))/30),1),""),"")</f>
        <v/>
      </c>
      <c r="T1816" s="21" t="str">
        <f aca="false">IF(AND(F1816="Bilbo",ISNUMBER(J1816),ISNUMBER(K1816)),ROUND(J1816*(1+K1816/30),1),"")</f>
        <v/>
      </c>
      <c r="W1816" s="22"/>
      <c r="X1816" s="21" t="str">
        <f aca="false">IF(AND(F1816="Bilbo",E1816&lt;&gt;"",G1816&lt;&gt;"",H1816&lt;&gt;""),E1816&amp;"|"&amp;G1816&amp;"|"&amp;H1816,"")</f>
        <v/>
      </c>
      <c r="Y1816" s="21" t="str">
        <f aca="false">IF(B1816="","",IF(B1816&lt;&gt;B1815,1,0))</f>
        <v/>
      </c>
    </row>
    <row r="1817" customFormat="false" ht="15" hidden="false" customHeight="true" outlineLevel="0" collapsed="false">
      <c r="A1817" s="21" t="str">
        <f aca="false">IF(B1817="","",ROW()-4)</f>
        <v/>
      </c>
      <c r="B1817" s="22"/>
      <c r="C1817" s="21" t="str">
        <f aca="false">IF(B1817="","",CHOOSE(WEEKDAY(B1817,2),"LUNES","MARTES","MIÉRCOLES","JUEVES","VIERNES","SÁBADO","DOMINGO"))</f>
        <v/>
      </c>
      <c r="M1817" s="23"/>
      <c r="Q1817" s="21" t="str">
        <f aca="false">IF(OR(K1817="",N1817=""),"",K1817-N1817)</f>
        <v/>
      </c>
      <c r="R1817" s="21" t="str">
        <f aca="false">IF(OR(J1817="",K1817=""),"",J1817*K1817)</f>
        <v/>
      </c>
      <c r="S1817" s="21" t="str">
        <f aca="false">IF(AND(ISNUMBER(J1817),ISNUMBER(K1817),F1817&lt;&gt;"Calentamiento",F1817&lt;&gt;"Bilbo"),IF(AND(K1817&gt;0,K1817&lt;=12),ROUND(J1817*(1+(K1817+IF(ISNUMBER(L1817),L1817,0))/30),1),""),"")</f>
        <v/>
      </c>
      <c r="T1817" s="21" t="str">
        <f aca="false">IF(AND(F1817="Bilbo",ISNUMBER(J1817),ISNUMBER(K1817)),ROUND(J1817*(1+K1817/30),1),"")</f>
        <v/>
      </c>
      <c r="W1817" s="22"/>
      <c r="X1817" s="21" t="str">
        <f aca="false">IF(AND(F1817="Bilbo",E1817&lt;&gt;"",G1817&lt;&gt;"",H1817&lt;&gt;""),E1817&amp;"|"&amp;G1817&amp;"|"&amp;H1817,"")</f>
        <v/>
      </c>
      <c r="Y1817" s="21" t="str">
        <f aca="false">IF(B1817="","",IF(B1817&lt;&gt;B1816,1,0))</f>
        <v/>
      </c>
    </row>
    <row r="1818" customFormat="false" ht="15" hidden="false" customHeight="true" outlineLevel="0" collapsed="false">
      <c r="A1818" s="21" t="str">
        <f aca="false">IF(B1818="","",ROW()-4)</f>
        <v/>
      </c>
      <c r="B1818" s="22"/>
      <c r="C1818" s="21" t="str">
        <f aca="false">IF(B1818="","",CHOOSE(WEEKDAY(B1818,2),"LUNES","MARTES","MIÉRCOLES","JUEVES","VIERNES","SÁBADO","DOMINGO"))</f>
        <v/>
      </c>
      <c r="M1818" s="23"/>
      <c r="Q1818" s="21" t="str">
        <f aca="false">IF(OR(K1818="",N1818=""),"",K1818-N1818)</f>
        <v/>
      </c>
      <c r="R1818" s="21" t="str">
        <f aca="false">IF(OR(J1818="",K1818=""),"",J1818*K1818)</f>
        <v/>
      </c>
      <c r="S1818" s="21" t="str">
        <f aca="false">IF(AND(ISNUMBER(J1818),ISNUMBER(K1818),F1818&lt;&gt;"Calentamiento",F1818&lt;&gt;"Bilbo"),IF(AND(K1818&gt;0,K1818&lt;=12),ROUND(J1818*(1+(K1818+IF(ISNUMBER(L1818),L1818,0))/30),1),""),"")</f>
        <v/>
      </c>
      <c r="T1818" s="21" t="str">
        <f aca="false">IF(AND(F1818="Bilbo",ISNUMBER(J1818),ISNUMBER(K1818)),ROUND(J1818*(1+K1818/30),1),"")</f>
        <v/>
      </c>
      <c r="W1818" s="22"/>
      <c r="X1818" s="21" t="str">
        <f aca="false">IF(AND(F1818="Bilbo",E1818&lt;&gt;"",G1818&lt;&gt;"",H1818&lt;&gt;""),E1818&amp;"|"&amp;G1818&amp;"|"&amp;H1818,"")</f>
        <v/>
      </c>
      <c r="Y1818" s="21" t="str">
        <f aca="false">IF(B1818="","",IF(B1818&lt;&gt;B1817,1,0))</f>
        <v/>
      </c>
    </row>
    <row r="1819" customFormat="false" ht="15" hidden="false" customHeight="true" outlineLevel="0" collapsed="false">
      <c r="A1819" s="21" t="str">
        <f aca="false">IF(B1819="","",ROW()-4)</f>
        <v/>
      </c>
      <c r="B1819" s="22"/>
      <c r="C1819" s="21" t="str">
        <f aca="false">IF(B1819="","",CHOOSE(WEEKDAY(B1819,2),"LUNES","MARTES","MIÉRCOLES","JUEVES","VIERNES","SÁBADO","DOMINGO"))</f>
        <v/>
      </c>
      <c r="M1819" s="23"/>
      <c r="Q1819" s="21" t="str">
        <f aca="false">IF(OR(K1819="",N1819=""),"",K1819-N1819)</f>
        <v/>
      </c>
      <c r="R1819" s="21" t="str">
        <f aca="false">IF(OR(J1819="",K1819=""),"",J1819*K1819)</f>
        <v/>
      </c>
      <c r="S1819" s="21" t="str">
        <f aca="false">IF(AND(ISNUMBER(J1819),ISNUMBER(K1819),F1819&lt;&gt;"Calentamiento",F1819&lt;&gt;"Bilbo"),IF(AND(K1819&gt;0,K1819&lt;=12),ROUND(J1819*(1+(K1819+IF(ISNUMBER(L1819),L1819,0))/30),1),""),"")</f>
        <v/>
      </c>
      <c r="T1819" s="21" t="str">
        <f aca="false">IF(AND(F1819="Bilbo",ISNUMBER(J1819),ISNUMBER(K1819)),ROUND(J1819*(1+K1819/30),1),"")</f>
        <v/>
      </c>
      <c r="W1819" s="22"/>
      <c r="X1819" s="21" t="str">
        <f aca="false">IF(AND(F1819="Bilbo",E1819&lt;&gt;"",G1819&lt;&gt;"",H1819&lt;&gt;""),E1819&amp;"|"&amp;G1819&amp;"|"&amp;H1819,"")</f>
        <v/>
      </c>
      <c r="Y1819" s="21" t="str">
        <f aca="false">IF(B1819="","",IF(B1819&lt;&gt;B1818,1,0))</f>
        <v/>
      </c>
    </row>
    <row r="1820" customFormat="false" ht="15" hidden="false" customHeight="true" outlineLevel="0" collapsed="false">
      <c r="A1820" s="21" t="str">
        <f aca="false">IF(B1820="","",ROW()-4)</f>
        <v/>
      </c>
      <c r="B1820" s="22"/>
      <c r="C1820" s="21" t="str">
        <f aca="false">IF(B1820="","",CHOOSE(WEEKDAY(B1820,2),"LUNES","MARTES","MIÉRCOLES","JUEVES","VIERNES","SÁBADO","DOMINGO"))</f>
        <v/>
      </c>
      <c r="M1820" s="23"/>
      <c r="Q1820" s="21" t="str">
        <f aca="false">IF(OR(K1820="",N1820=""),"",K1820-N1820)</f>
        <v/>
      </c>
      <c r="R1820" s="21" t="str">
        <f aca="false">IF(OR(J1820="",K1820=""),"",J1820*K1820)</f>
        <v/>
      </c>
      <c r="S1820" s="21" t="str">
        <f aca="false">IF(AND(ISNUMBER(J1820),ISNUMBER(K1820),F1820&lt;&gt;"Calentamiento",F1820&lt;&gt;"Bilbo"),IF(AND(K1820&gt;0,K1820&lt;=12),ROUND(J1820*(1+(K1820+IF(ISNUMBER(L1820),L1820,0))/30),1),""),"")</f>
        <v/>
      </c>
      <c r="T1820" s="21" t="str">
        <f aca="false">IF(AND(F1820="Bilbo",ISNUMBER(J1820),ISNUMBER(K1820)),ROUND(J1820*(1+K1820/30),1),"")</f>
        <v/>
      </c>
      <c r="W1820" s="22"/>
      <c r="X1820" s="21" t="str">
        <f aca="false">IF(AND(F1820="Bilbo",E1820&lt;&gt;"",G1820&lt;&gt;"",H1820&lt;&gt;""),E1820&amp;"|"&amp;G1820&amp;"|"&amp;H1820,"")</f>
        <v/>
      </c>
      <c r="Y1820" s="21" t="str">
        <f aca="false">IF(B1820="","",IF(B1820&lt;&gt;B1819,1,0))</f>
        <v/>
      </c>
    </row>
    <row r="1821" customFormat="false" ht="15" hidden="false" customHeight="true" outlineLevel="0" collapsed="false">
      <c r="A1821" s="21" t="str">
        <f aca="false">IF(B1821="","",ROW()-4)</f>
        <v/>
      </c>
      <c r="B1821" s="22"/>
      <c r="C1821" s="21" t="str">
        <f aca="false">IF(B1821="","",CHOOSE(WEEKDAY(B1821,2),"LUNES","MARTES","MIÉRCOLES","JUEVES","VIERNES","SÁBADO","DOMINGO"))</f>
        <v/>
      </c>
      <c r="M1821" s="23"/>
      <c r="Q1821" s="21" t="str">
        <f aca="false">IF(OR(K1821="",N1821=""),"",K1821-N1821)</f>
        <v/>
      </c>
      <c r="R1821" s="21" t="str">
        <f aca="false">IF(OR(J1821="",K1821=""),"",J1821*K1821)</f>
        <v/>
      </c>
      <c r="S1821" s="21" t="str">
        <f aca="false">IF(AND(ISNUMBER(J1821),ISNUMBER(K1821),F1821&lt;&gt;"Calentamiento",F1821&lt;&gt;"Bilbo"),IF(AND(K1821&gt;0,K1821&lt;=12),ROUND(J1821*(1+(K1821+IF(ISNUMBER(L1821),L1821,0))/30),1),""),"")</f>
        <v/>
      </c>
      <c r="T1821" s="21" t="str">
        <f aca="false">IF(AND(F1821="Bilbo",ISNUMBER(J1821),ISNUMBER(K1821)),ROUND(J1821*(1+K1821/30),1),"")</f>
        <v/>
      </c>
      <c r="W1821" s="22"/>
      <c r="X1821" s="21" t="str">
        <f aca="false">IF(AND(F1821="Bilbo",E1821&lt;&gt;"",G1821&lt;&gt;"",H1821&lt;&gt;""),E1821&amp;"|"&amp;G1821&amp;"|"&amp;H1821,"")</f>
        <v/>
      </c>
      <c r="Y1821" s="21" t="str">
        <f aca="false">IF(B1821="","",IF(B1821&lt;&gt;B1820,1,0))</f>
        <v/>
      </c>
    </row>
    <row r="1822" customFormat="false" ht="15" hidden="false" customHeight="true" outlineLevel="0" collapsed="false">
      <c r="A1822" s="21" t="str">
        <f aca="false">IF(B1822="","",ROW()-4)</f>
        <v/>
      </c>
      <c r="B1822" s="22"/>
      <c r="C1822" s="21" t="str">
        <f aca="false">IF(B1822="","",CHOOSE(WEEKDAY(B1822,2),"LUNES","MARTES","MIÉRCOLES","JUEVES","VIERNES","SÁBADO","DOMINGO"))</f>
        <v/>
      </c>
      <c r="M1822" s="23"/>
      <c r="Q1822" s="21" t="str">
        <f aca="false">IF(OR(K1822="",N1822=""),"",K1822-N1822)</f>
        <v/>
      </c>
      <c r="R1822" s="21" t="str">
        <f aca="false">IF(OR(J1822="",K1822=""),"",J1822*K1822)</f>
        <v/>
      </c>
      <c r="S1822" s="21" t="str">
        <f aca="false">IF(AND(ISNUMBER(J1822),ISNUMBER(K1822),F1822&lt;&gt;"Calentamiento",F1822&lt;&gt;"Bilbo"),IF(AND(K1822&gt;0,K1822&lt;=12),ROUND(J1822*(1+(K1822+IF(ISNUMBER(L1822),L1822,0))/30),1),""),"")</f>
        <v/>
      </c>
      <c r="T1822" s="21" t="str">
        <f aca="false">IF(AND(F1822="Bilbo",ISNUMBER(J1822),ISNUMBER(K1822)),ROUND(J1822*(1+K1822/30),1),"")</f>
        <v/>
      </c>
      <c r="W1822" s="22"/>
      <c r="X1822" s="21" t="str">
        <f aca="false">IF(AND(F1822="Bilbo",E1822&lt;&gt;"",G1822&lt;&gt;"",H1822&lt;&gt;""),E1822&amp;"|"&amp;G1822&amp;"|"&amp;H1822,"")</f>
        <v/>
      </c>
      <c r="Y1822" s="21" t="str">
        <f aca="false">IF(B1822="","",IF(B1822&lt;&gt;B1821,1,0))</f>
        <v/>
      </c>
    </row>
    <row r="1823" customFormat="false" ht="15" hidden="false" customHeight="true" outlineLevel="0" collapsed="false">
      <c r="A1823" s="21" t="str">
        <f aca="false">IF(B1823="","",ROW()-4)</f>
        <v/>
      </c>
      <c r="B1823" s="22"/>
      <c r="C1823" s="21" t="str">
        <f aca="false">IF(B1823="","",CHOOSE(WEEKDAY(B1823,2),"LUNES","MARTES","MIÉRCOLES","JUEVES","VIERNES","SÁBADO","DOMINGO"))</f>
        <v/>
      </c>
      <c r="M1823" s="23"/>
      <c r="Q1823" s="21" t="str">
        <f aca="false">IF(OR(K1823="",N1823=""),"",K1823-N1823)</f>
        <v/>
      </c>
      <c r="R1823" s="21" t="str">
        <f aca="false">IF(OR(J1823="",K1823=""),"",J1823*K1823)</f>
        <v/>
      </c>
      <c r="S1823" s="21" t="str">
        <f aca="false">IF(AND(ISNUMBER(J1823),ISNUMBER(K1823),F1823&lt;&gt;"Calentamiento",F1823&lt;&gt;"Bilbo"),IF(AND(K1823&gt;0,K1823&lt;=12),ROUND(J1823*(1+(K1823+IF(ISNUMBER(L1823),L1823,0))/30),1),""),"")</f>
        <v/>
      </c>
      <c r="T1823" s="21" t="str">
        <f aca="false">IF(AND(F1823="Bilbo",ISNUMBER(J1823),ISNUMBER(K1823)),ROUND(J1823*(1+K1823/30),1),"")</f>
        <v/>
      </c>
      <c r="W1823" s="22"/>
      <c r="X1823" s="21" t="str">
        <f aca="false">IF(AND(F1823="Bilbo",E1823&lt;&gt;"",G1823&lt;&gt;"",H1823&lt;&gt;""),E1823&amp;"|"&amp;G1823&amp;"|"&amp;H1823,"")</f>
        <v/>
      </c>
      <c r="Y1823" s="21" t="str">
        <f aca="false">IF(B1823="","",IF(B1823&lt;&gt;B1822,1,0))</f>
        <v/>
      </c>
    </row>
    <row r="1824" customFormat="false" ht="15" hidden="false" customHeight="true" outlineLevel="0" collapsed="false">
      <c r="A1824" s="21" t="str">
        <f aca="false">IF(B1824="","",ROW()-4)</f>
        <v/>
      </c>
      <c r="B1824" s="22"/>
      <c r="C1824" s="21" t="str">
        <f aca="false">IF(B1824="","",CHOOSE(WEEKDAY(B1824,2),"LUNES","MARTES","MIÉRCOLES","JUEVES","VIERNES","SÁBADO","DOMINGO"))</f>
        <v/>
      </c>
      <c r="M1824" s="23"/>
      <c r="Q1824" s="21" t="str">
        <f aca="false">IF(OR(K1824="",N1824=""),"",K1824-N1824)</f>
        <v/>
      </c>
      <c r="R1824" s="21" t="str">
        <f aca="false">IF(OR(J1824="",K1824=""),"",J1824*K1824)</f>
        <v/>
      </c>
      <c r="S1824" s="21" t="str">
        <f aca="false">IF(AND(ISNUMBER(J1824),ISNUMBER(K1824),F1824&lt;&gt;"Calentamiento",F1824&lt;&gt;"Bilbo"),IF(AND(K1824&gt;0,K1824&lt;=12),ROUND(J1824*(1+(K1824+IF(ISNUMBER(L1824),L1824,0))/30),1),""),"")</f>
        <v/>
      </c>
      <c r="T1824" s="21" t="str">
        <f aca="false">IF(AND(F1824="Bilbo",ISNUMBER(J1824),ISNUMBER(K1824)),ROUND(J1824*(1+K1824/30),1),"")</f>
        <v/>
      </c>
      <c r="W1824" s="22"/>
      <c r="X1824" s="21" t="str">
        <f aca="false">IF(AND(F1824="Bilbo",E1824&lt;&gt;"",G1824&lt;&gt;"",H1824&lt;&gt;""),E1824&amp;"|"&amp;G1824&amp;"|"&amp;H1824,"")</f>
        <v/>
      </c>
      <c r="Y1824" s="21" t="str">
        <f aca="false">IF(B1824="","",IF(B1824&lt;&gt;B1823,1,0))</f>
        <v/>
      </c>
    </row>
    <row r="1825" customFormat="false" ht="15" hidden="false" customHeight="true" outlineLevel="0" collapsed="false">
      <c r="A1825" s="21" t="str">
        <f aca="false">IF(B1825="","",ROW()-4)</f>
        <v/>
      </c>
      <c r="B1825" s="22"/>
      <c r="C1825" s="21" t="str">
        <f aca="false">IF(B1825="","",CHOOSE(WEEKDAY(B1825,2),"LUNES","MARTES","MIÉRCOLES","JUEVES","VIERNES","SÁBADO","DOMINGO"))</f>
        <v/>
      </c>
      <c r="M1825" s="23"/>
      <c r="Q1825" s="21" t="str">
        <f aca="false">IF(OR(K1825="",N1825=""),"",K1825-N1825)</f>
        <v/>
      </c>
      <c r="R1825" s="21" t="str">
        <f aca="false">IF(OR(J1825="",K1825=""),"",J1825*K1825)</f>
        <v/>
      </c>
      <c r="S1825" s="21" t="str">
        <f aca="false">IF(AND(ISNUMBER(J1825),ISNUMBER(K1825),F1825&lt;&gt;"Calentamiento",F1825&lt;&gt;"Bilbo"),IF(AND(K1825&gt;0,K1825&lt;=12),ROUND(J1825*(1+(K1825+IF(ISNUMBER(L1825),L1825,0))/30),1),""),"")</f>
        <v/>
      </c>
      <c r="T1825" s="21" t="str">
        <f aca="false">IF(AND(F1825="Bilbo",ISNUMBER(J1825),ISNUMBER(K1825)),ROUND(J1825*(1+K1825/30),1),"")</f>
        <v/>
      </c>
      <c r="W1825" s="22"/>
      <c r="X1825" s="21" t="str">
        <f aca="false">IF(AND(F1825="Bilbo",E1825&lt;&gt;"",G1825&lt;&gt;"",H1825&lt;&gt;""),E1825&amp;"|"&amp;G1825&amp;"|"&amp;H1825,"")</f>
        <v/>
      </c>
      <c r="Y1825" s="21" t="str">
        <f aca="false">IF(B1825="","",IF(B1825&lt;&gt;B1824,1,0))</f>
        <v/>
      </c>
    </row>
    <row r="1826" customFormat="false" ht="15" hidden="false" customHeight="true" outlineLevel="0" collapsed="false">
      <c r="A1826" s="21" t="str">
        <f aca="false">IF(B1826="","",ROW()-4)</f>
        <v/>
      </c>
      <c r="B1826" s="22"/>
      <c r="C1826" s="21" t="str">
        <f aca="false">IF(B1826="","",CHOOSE(WEEKDAY(B1826,2),"LUNES","MARTES","MIÉRCOLES","JUEVES","VIERNES","SÁBADO","DOMINGO"))</f>
        <v/>
      </c>
      <c r="M1826" s="23"/>
      <c r="Q1826" s="21" t="str">
        <f aca="false">IF(OR(K1826="",N1826=""),"",K1826-N1826)</f>
        <v/>
      </c>
      <c r="R1826" s="21" t="str">
        <f aca="false">IF(OR(J1826="",K1826=""),"",J1826*K1826)</f>
        <v/>
      </c>
      <c r="S1826" s="21" t="str">
        <f aca="false">IF(AND(ISNUMBER(J1826),ISNUMBER(K1826),F1826&lt;&gt;"Calentamiento",F1826&lt;&gt;"Bilbo"),IF(AND(K1826&gt;0,K1826&lt;=12),ROUND(J1826*(1+(K1826+IF(ISNUMBER(L1826),L1826,0))/30),1),""),"")</f>
        <v/>
      </c>
      <c r="T1826" s="21" t="str">
        <f aca="false">IF(AND(F1826="Bilbo",ISNUMBER(J1826),ISNUMBER(K1826)),ROUND(J1826*(1+K1826/30),1),"")</f>
        <v/>
      </c>
      <c r="W1826" s="22"/>
      <c r="X1826" s="21" t="str">
        <f aca="false">IF(AND(F1826="Bilbo",E1826&lt;&gt;"",G1826&lt;&gt;"",H1826&lt;&gt;""),E1826&amp;"|"&amp;G1826&amp;"|"&amp;H1826,"")</f>
        <v/>
      </c>
      <c r="Y1826" s="21" t="str">
        <f aca="false">IF(B1826="","",IF(B1826&lt;&gt;B1825,1,0))</f>
        <v/>
      </c>
    </row>
    <row r="1827" customFormat="false" ht="15" hidden="false" customHeight="true" outlineLevel="0" collapsed="false">
      <c r="A1827" s="21" t="str">
        <f aca="false">IF(B1827="","",ROW()-4)</f>
        <v/>
      </c>
      <c r="B1827" s="22"/>
      <c r="C1827" s="21" t="str">
        <f aca="false">IF(B1827="","",CHOOSE(WEEKDAY(B1827,2),"LUNES","MARTES","MIÉRCOLES","JUEVES","VIERNES","SÁBADO","DOMINGO"))</f>
        <v/>
      </c>
      <c r="M1827" s="23"/>
      <c r="Q1827" s="21" t="str">
        <f aca="false">IF(OR(K1827="",N1827=""),"",K1827-N1827)</f>
        <v/>
      </c>
      <c r="R1827" s="21" t="str">
        <f aca="false">IF(OR(J1827="",K1827=""),"",J1827*K1827)</f>
        <v/>
      </c>
      <c r="S1827" s="21" t="str">
        <f aca="false">IF(AND(ISNUMBER(J1827),ISNUMBER(K1827),F1827&lt;&gt;"Calentamiento",F1827&lt;&gt;"Bilbo"),IF(AND(K1827&gt;0,K1827&lt;=12),ROUND(J1827*(1+(K1827+IF(ISNUMBER(L1827),L1827,0))/30),1),""),"")</f>
        <v/>
      </c>
      <c r="T1827" s="21" t="str">
        <f aca="false">IF(AND(F1827="Bilbo",ISNUMBER(J1827),ISNUMBER(K1827)),ROUND(J1827*(1+K1827/30),1),"")</f>
        <v/>
      </c>
      <c r="W1827" s="22"/>
      <c r="X1827" s="21" t="str">
        <f aca="false">IF(AND(F1827="Bilbo",E1827&lt;&gt;"",G1827&lt;&gt;"",H1827&lt;&gt;""),E1827&amp;"|"&amp;G1827&amp;"|"&amp;H1827,"")</f>
        <v/>
      </c>
      <c r="Y1827" s="21" t="str">
        <f aca="false">IF(B1827="","",IF(B1827&lt;&gt;B1826,1,0))</f>
        <v/>
      </c>
    </row>
    <row r="1828" customFormat="false" ht="15" hidden="false" customHeight="true" outlineLevel="0" collapsed="false">
      <c r="A1828" s="21" t="str">
        <f aca="false">IF(B1828="","",ROW()-4)</f>
        <v/>
      </c>
      <c r="B1828" s="22"/>
      <c r="C1828" s="21" t="str">
        <f aca="false">IF(B1828="","",CHOOSE(WEEKDAY(B1828,2),"LUNES","MARTES","MIÉRCOLES","JUEVES","VIERNES","SÁBADO","DOMINGO"))</f>
        <v/>
      </c>
      <c r="M1828" s="23"/>
      <c r="Q1828" s="21" t="str">
        <f aca="false">IF(OR(K1828="",N1828=""),"",K1828-N1828)</f>
        <v/>
      </c>
      <c r="R1828" s="21" t="str">
        <f aca="false">IF(OR(J1828="",K1828=""),"",J1828*K1828)</f>
        <v/>
      </c>
      <c r="S1828" s="21" t="str">
        <f aca="false">IF(AND(ISNUMBER(J1828),ISNUMBER(K1828),F1828&lt;&gt;"Calentamiento",F1828&lt;&gt;"Bilbo"),IF(AND(K1828&gt;0,K1828&lt;=12),ROUND(J1828*(1+(K1828+IF(ISNUMBER(L1828),L1828,0))/30),1),""),"")</f>
        <v/>
      </c>
      <c r="T1828" s="21" t="str">
        <f aca="false">IF(AND(F1828="Bilbo",ISNUMBER(J1828),ISNUMBER(K1828)),ROUND(J1828*(1+K1828/30),1),"")</f>
        <v/>
      </c>
      <c r="W1828" s="22"/>
      <c r="X1828" s="21" t="str">
        <f aca="false">IF(AND(F1828="Bilbo",E1828&lt;&gt;"",G1828&lt;&gt;"",H1828&lt;&gt;""),E1828&amp;"|"&amp;G1828&amp;"|"&amp;H1828,"")</f>
        <v/>
      </c>
      <c r="Y1828" s="21" t="str">
        <f aca="false">IF(B1828="","",IF(B1828&lt;&gt;B1827,1,0))</f>
        <v/>
      </c>
    </row>
    <row r="1829" customFormat="false" ht="15" hidden="false" customHeight="true" outlineLevel="0" collapsed="false">
      <c r="A1829" s="21" t="str">
        <f aca="false">IF(B1829="","",ROW()-4)</f>
        <v/>
      </c>
      <c r="B1829" s="22"/>
      <c r="C1829" s="21" t="str">
        <f aca="false">IF(B1829="","",CHOOSE(WEEKDAY(B1829,2),"LUNES","MARTES","MIÉRCOLES","JUEVES","VIERNES","SÁBADO","DOMINGO"))</f>
        <v/>
      </c>
      <c r="M1829" s="23"/>
      <c r="Q1829" s="21" t="str">
        <f aca="false">IF(OR(K1829="",N1829=""),"",K1829-N1829)</f>
        <v/>
      </c>
      <c r="R1829" s="21" t="str">
        <f aca="false">IF(OR(J1829="",K1829=""),"",J1829*K1829)</f>
        <v/>
      </c>
      <c r="S1829" s="21" t="str">
        <f aca="false">IF(AND(ISNUMBER(J1829),ISNUMBER(K1829),F1829&lt;&gt;"Calentamiento",F1829&lt;&gt;"Bilbo"),IF(AND(K1829&gt;0,K1829&lt;=12),ROUND(J1829*(1+(K1829+IF(ISNUMBER(L1829),L1829,0))/30),1),""),"")</f>
        <v/>
      </c>
      <c r="T1829" s="21" t="str">
        <f aca="false">IF(AND(F1829="Bilbo",ISNUMBER(J1829),ISNUMBER(K1829)),ROUND(J1829*(1+K1829/30),1),"")</f>
        <v/>
      </c>
      <c r="W1829" s="22"/>
      <c r="X1829" s="21" t="str">
        <f aca="false">IF(AND(F1829="Bilbo",E1829&lt;&gt;"",G1829&lt;&gt;"",H1829&lt;&gt;""),E1829&amp;"|"&amp;G1829&amp;"|"&amp;H1829,"")</f>
        <v/>
      </c>
      <c r="Y1829" s="21" t="str">
        <f aca="false">IF(B1829="","",IF(B1829&lt;&gt;B1828,1,0))</f>
        <v/>
      </c>
    </row>
    <row r="1830" customFormat="false" ht="15" hidden="false" customHeight="true" outlineLevel="0" collapsed="false">
      <c r="A1830" s="21" t="str">
        <f aca="false">IF(B1830="","",ROW()-4)</f>
        <v/>
      </c>
      <c r="B1830" s="22"/>
      <c r="C1830" s="21" t="str">
        <f aca="false">IF(B1830="","",CHOOSE(WEEKDAY(B1830,2),"LUNES","MARTES","MIÉRCOLES","JUEVES","VIERNES","SÁBADO","DOMINGO"))</f>
        <v/>
      </c>
      <c r="M1830" s="23"/>
      <c r="Q1830" s="21" t="str">
        <f aca="false">IF(OR(K1830="",N1830=""),"",K1830-N1830)</f>
        <v/>
      </c>
      <c r="R1830" s="21" t="str">
        <f aca="false">IF(OR(J1830="",K1830=""),"",J1830*K1830)</f>
        <v/>
      </c>
      <c r="S1830" s="21" t="str">
        <f aca="false">IF(AND(ISNUMBER(J1830),ISNUMBER(K1830),F1830&lt;&gt;"Calentamiento",F1830&lt;&gt;"Bilbo"),IF(AND(K1830&gt;0,K1830&lt;=12),ROUND(J1830*(1+(K1830+IF(ISNUMBER(L1830),L1830,0))/30),1),""),"")</f>
        <v/>
      </c>
      <c r="T1830" s="21" t="str">
        <f aca="false">IF(AND(F1830="Bilbo",ISNUMBER(J1830),ISNUMBER(K1830)),ROUND(J1830*(1+K1830/30),1),"")</f>
        <v/>
      </c>
      <c r="W1830" s="22"/>
      <c r="X1830" s="21" t="str">
        <f aca="false">IF(AND(F1830="Bilbo",E1830&lt;&gt;"",G1830&lt;&gt;"",H1830&lt;&gt;""),E1830&amp;"|"&amp;G1830&amp;"|"&amp;H1830,"")</f>
        <v/>
      </c>
      <c r="Y1830" s="21" t="str">
        <f aca="false">IF(B1830="","",IF(B1830&lt;&gt;B1829,1,0))</f>
        <v/>
      </c>
    </row>
    <row r="1831" customFormat="false" ht="15" hidden="false" customHeight="true" outlineLevel="0" collapsed="false">
      <c r="A1831" s="21" t="str">
        <f aca="false">IF(B1831="","",ROW()-4)</f>
        <v/>
      </c>
      <c r="B1831" s="22"/>
      <c r="C1831" s="21" t="str">
        <f aca="false">IF(B1831="","",CHOOSE(WEEKDAY(B1831,2),"LUNES","MARTES","MIÉRCOLES","JUEVES","VIERNES","SÁBADO","DOMINGO"))</f>
        <v/>
      </c>
      <c r="M1831" s="23"/>
      <c r="Q1831" s="21" t="str">
        <f aca="false">IF(OR(K1831="",N1831=""),"",K1831-N1831)</f>
        <v/>
      </c>
      <c r="R1831" s="21" t="str">
        <f aca="false">IF(OR(J1831="",K1831=""),"",J1831*K1831)</f>
        <v/>
      </c>
      <c r="S1831" s="21" t="str">
        <f aca="false">IF(AND(ISNUMBER(J1831),ISNUMBER(K1831),F1831&lt;&gt;"Calentamiento",F1831&lt;&gt;"Bilbo"),IF(AND(K1831&gt;0,K1831&lt;=12),ROUND(J1831*(1+(K1831+IF(ISNUMBER(L1831),L1831,0))/30),1),""),"")</f>
        <v/>
      </c>
      <c r="T1831" s="21" t="str">
        <f aca="false">IF(AND(F1831="Bilbo",ISNUMBER(J1831),ISNUMBER(K1831)),ROUND(J1831*(1+K1831/30),1),"")</f>
        <v/>
      </c>
      <c r="W1831" s="22"/>
      <c r="X1831" s="21" t="str">
        <f aca="false">IF(AND(F1831="Bilbo",E1831&lt;&gt;"",G1831&lt;&gt;"",H1831&lt;&gt;""),E1831&amp;"|"&amp;G1831&amp;"|"&amp;H1831,"")</f>
        <v/>
      </c>
      <c r="Y1831" s="21" t="str">
        <f aca="false">IF(B1831="","",IF(B1831&lt;&gt;B1830,1,0))</f>
        <v/>
      </c>
    </row>
    <row r="1832" customFormat="false" ht="15" hidden="false" customHeight="true" outlineLevel="0" collapsed="false">
      <c r="A1832" s="21" t="str">
        <f aca="false">IF(B1832="","",ROW()-4)</f>
        <v/>
      </c>
      <c r="B1832" s="22"/>
      <c r="C1832" s="21" t="str">
        <f aca="false">IF(B1832="","",CHOOSE(WEEKDAY(B1832,2),"LUNES","MARTES","MIÉRCOLES","JUEVES","VIERNES","SÁBADO","DOMINGO"))</f>
        <v/>
      </c>
      <c r="M1832" s="23"/>
      <c r="Q1832" s="21" t="str">
        <f aca="false">IF(OR(K1832="",N1832=""),"",K1832-N1832)</f>
        <v/>
      </c>
      <c r="R1832" s="21" t="str">
        <f aca="false">IF(OR(J1832="",K1832=""),"",J1832*K1832)</f>
        <v/>
      </c>
      <c r="S1832" s="21" t="str">
        <f aca="false">IF(AND(ISNUMBER(J1832),ISNUMBER(K1832),F1832&lt;&gt;"Calentamiento",F1832&lt;&gt;"Bilbo"),IF(AND(K1832&gt;0,K1832&lt;=12),ROUND(J1832*(1+(K1832+IF(ISNUMBER(L1832),L1832,0))/30),1),""),"")</f>
        <v/>
      </c>
      <c r="T1832" s="21" t="str">
        <f aca="false">IF(AND(F1832="Bilbo",ISNUMBER(J1832),ISNUMBER(K1832)),ROUND(J1832*(1+K1832/30),1),"")</f>
        <v/>
      </c>
      <c r="W1832" s="22"/>
      <c r="X1832" s="21" t="str">
        <f aca="false">IF(AND(F1832="Bilbo",E1832&lt;&gt;"",G1832&lt;&gt;"",H1832&lt;&gt;""),E1832&amp;"|"&amp;G1832&amp;"|"&amp;H1832,"")</f>
        <v/>
      </c>
      <c r="Y1832" s="21" t="str">
        <f aca="false">IF(B1832="","",IF(B1832&lt;&gt;B1831,1,0))</f>
        <v/>
      </c>
    </row>
    <row r="1833" customFormat="false" ht="15" hidden="false" customHeight="true" outlineLevel="0" collapsed="false">
      <c r="A1833" s="21" t="str">
        <f aca="false">IF(B1833="","",ROW()-4)</f>
        <v/>
      </c>
      <c r="B1833" s="22"/>
      <c r="C1833" s="21" t="str">
        <f aca="false">IF(B1833="","",CHOOSE(WEEKDAY(B1833,2),"LUNES","MARTES","MIÉRCOLES","JUEVES","VIERNES","SÁBADO","DOMINGO"))</f>
        <v/>
      </c>
      <c r="M1833" s="23"/>
      <c r="Q1833" s="21" t="str">
        <f aca="false">IF(OR(K1833="",N1833=""),"",K1833-N1833)</f>
        <v/>
      </c>
      <c r="R1833" s="21" t="str">
        <f aca="false">IF(OR(J1833="",K1833=""),"",J1833*K1833)</f>
        <v/>
      </c>
      <c r="S1833" s="21" t="str">
        <f aca="false">IF(AND(ISNUMBER(J1833),ISNUMBER(K1833),F1833&lt;&gt;"Calentamiento",F1833&lt;&gt;"Bilbo"),IF(AND(K1833&gt;0,K1833&lt;=12),ROUND(J1833*(1+(K1833+IF(ISNUMBER(L1833),L1833,0))/30),1),""),"")</f>
        <v/>
      </c>
      <c r="T1833" s="21" t="str">
        <f aca="false">IF(AND(F1833="Bilbo",ISNUMBER(J1833),ISNUMBER(K1833)),ROUND(J1833*(1+K1833/30),1),"")</f>
        <v/>
      </c>
      <c r="W1833" s="22"/>
      <c r="X1833" s="21" t="str">
        <f aca="false">IF(AND(F1833="Bilbo",E1833&lt;&gt;"",G1833&lt;&gt;"",H1833&lt;&gt;""),E1833&amp;"|"&amp;G1833&amp;"|"&amp;H1833,"")</f>
        <v/>
      </c>
      <c r="Y1833" s="21" t="str">
        <f aca="false">IF(B1833="","",IF(B1833&lt;&gt;B1832,1,0))</f>
        <v/>
      </c>
    </row>
    <row r="1834" customFormat="false" ht="15" hidden="false" customHeight="true" outlineLevel="0" collapsed="false">
      <c r="A1834" s="21" t="str">
        <f aca="false">IF(B1834="","",ROW()-4)</f>
        <v/>
      </c>
      <c r="B1834" s="22"/>
      <c r="C1834" s="21" t="str">
        <f aca="false">IF(B1834="","",CHOOSE(WEEKDAY(B1834,2),"LUNES","MARTES","MIÉRCOLES","JUEVES","VIERNES","SÁBADO","DOMINGO"))</f>
        <v/>
      </c>
      <c r="M1834" s="23"/>
      <c r="Q1834" s="21" t="str">
        <f aca="false">IF(OR(K1834="",N1834=""),"",K1834-N1834)</f>
        <v/>
      </c>
      <c r="R1834" s="21" t="str">
        <f aca="false">IF(OR(J1834="",K1834=""),"",J1834*K1834)</f>
        <v/>
      </c>
      <c r="S1834" s="21" t="str">
        <f aca="false">IF(AND(ISNUMBER(J1834),ISNUMBER(K1834),F1834&lt;&gt;"Calentamiento",F1834&lt;&gt;"Bilbo"),IF(AND(K1834&gt;0,K1834&lt;=12),ROUND(J1834*(1+(K1834+IF(ISNUMBER(L1834),L1834,0))/30),1),""),"")</f>
        <v/>
      </c>
      <c r="T1834" s="21" t="str">
        <f aca="false">IF(AND(F1834="Bilbo",ISNUMBER(J1834),ISNUMBER(K1834)),ROUND(J1834*(1+K1834/30),1),"")</f>
        <v/>
      </c>
      <c r="W1834" s="22"/>
      <c r="X1834" s="21" t="str">
        <f aca="false">IF(AND(F1834="Bilbo",E1834&lt;&gt;"",G1834&lt;&gt;"",H1834&lt;&gt;""),E1834&amp;"|"&amp;G1834&amp;"|"&amp;H1834,"")</f>
        <v/>
      </c>
      <c r="Y1834" s="21" t="str">
        <f aca="false">IF(B1834="","",IF(B1834&lt;&gt;B1833,1,0))</f>
        <v/>
      </c>
    </row>
    <row r="1835" customFormat="false" ht="15" hidden="false" customHeight="true" outlineLevel="0" collapsed="false">
      <c r="A1835" s="21" t="str">
        <f aca="false">IF(B1835="","",ROW()-4)</f>
        <v/>
      </c>
      <c r="B1835" s="22"/>
      <c r="C1835" s="21" t="str">
        <f aca="false">IF(B1835="","",CHOOSE(WEEKDAY(B1835,2),"LUNES","MARTES","MIÉRCOLES","JUEVES","VIERNES","SÁBADO","DOMINGO"))</f>
        <v/>
      </c>
      <c r="M1835" s="23"/>
      <c r="Q1835" s="21" t="str">
        <f aca="false">IF(OR(K1835="",N1835=""),"",K1835-N1835)</f>
        <v/>
      </c>
      <c r="R1835" s="21" t="str">
        <f aca="false">IF(OR(J1835="",K1835=""),"",J1835*K1835)</f>
        <v/>
      </c>
      <c r="S1835" s="21" t="str">
        <f aca="false">IF(AND(ISNUMBER(J1835),ISNUMBER(K1835),F1835&lt;&gt;"Calentamiento",F1835&lt;&gt;"Bilbo"),IF(AND(K1835&gt;0,K1835&lt;=12),ROUND(J1835*(1+(K1835+IF(ISNUMBER(L1835),L1835,0))/30),1),""),"")</f>
        <v/>
      </c>
      <c r="T1835" s="21" t="str">
        <f aca="false">IF(AND(F1835="Bilbo",ISNUMBER(J1835),ISNUMBER(K1835)),ROUND(J1835*(1+K1835/30),1),"")</f>
        <v/>
      </c>
      <c r="W1835" s="22"/>
      <c r="X1835" s="21" t="str">
        <f aca="false">IF(AND(F1835="Bilbo",E1835&lt;&gt;"",G1835&lt;&gt;"",H1835&lt;&gt;""),E1835&amp;"|"&amp;G1835&amp;"|"&amp;H1835,"")</f>
        <v/>
      </c>
      <c r="Y1835" s="21" t="str">
        <f aca="false">IF(B1835="","",IF(B1835&lt;&gt;B1834,1,0))</f>
        <v/>
      </c>
    </row>
    <row r="1836" customFormat="false" ht="15" hidden="false" customHeight="true" outlineLevel="0" collapsed="false">
      <c r="A1836" s="21" t="str">
        <f aca="false">IF(B1836="","",ROW()-4)</f>
        <v/>
      </c>
      <c r="B1836" s="22"/>
      <c r="C1836" s="21" t="str">
        <f aca="false">IF(B1836="","",CHOOSE(WEEKDAY(B1836,2),"LUNES","MARTES","MIÉRCOLES","JUEVES","VIERNES","SÁBADO","DOMINGO"))</f>
        <v/>
      </c>
      <c r="M1836" s="23"/>
      <c r="Q1836" s="21" t="str">
        <f aca="false">IF(OR(K1836="",N1836=""),"",K1836-N1836)</f>
        <v/>
      </c>
      <c r="R1836" s="21" t="str">
        <f aca="false">IF(OR(J1836="",K1836=""),"",J1836*K1836)</f>
        <v/>
      </c>
      <c r="S1836" s="21" t="str">
        <f aca="false">IF(AND(ISNUMBER(J1836),ISNUMBER(K1836),F1836&lt;&gt;"Calentamiento",F1836&lt;&gt;"Bilbo"),IF(AND(K1836&gt;0,K1836&lt;=12),ROUND(J1836*(1+(K1836+IF(ISNUMBER(L1836),L1836,0))/30),1),""),"")</f>
        <v/>
      </c>
      <c r="T1836" s="21" t="str">
        <f aca="false">IF(AND(F1836="Bilbo",ISNUMBER(J1836),ISNUMBER(K1836)),ROUND(J1836*(1+K1836/30),1),"")</f>
        <v/>
      </c>
      <c r="W1836" s="22"/>
      <c r="X1836" s="21" t="str">
        <f aca="false">IF(AND(F1836="Bilbo",E1836&lt;&gt;"",G1836&lt;&gt;"",H1836&lt;&gt;""),E1836&amp;"|"&amp;G1836&amp;"|"&amp;H1836,"")</f>
        <v/>
      </c>
      <c r="Y1836" s="21" t="str">
        <f aca="false">IF(B1836="","",IF(B1836&lt;&gt;B1835,1,0))</f>
        <v/>
      </c>
    </row>
    <row r="1837" customFormat="false" ht="15" hidden="false" customHeight="true" outlineLevel="0" collapsed="false">
      <c r="A1837" s="21" t="str">
        <f aca="false">IF(B1837="","",ROW()-4)</f>
        <v/>
      </c>
      <c r="B1837" s="22"/>
      <c r="C1837" s="21" t="str">
        <f aca="false">IF(B1837="","",CHOOSE(WEEKDAY(B1837,2),"LUNES","MARTES","MIÉRCOLES","JUEVES","VIERNES","SÁBADO","DOMINGO"))</f>
        <v/>
      </c>
      <c r="M1837" s="23"/>
      <c r="Q1837" s="21" t="str">
        <f aca="false">IF(OR(K1837="",N1837=""),"",K1837-N1837)</f>
        <v/>
      </c>
      <c r="R1837" s="21" t="str">
        <f aca="false">IF(OR(J1837="",K1837=""),"",J1837*K1837)</f>
        <v/>
      </c>
      <c r="S1837" s="21" t="str">
        <f aca="false">IF(AND(ISNUMBER(J1837),ISNUMBER(K1837),F1837&lt;&gt;"Calentamiento",F1837&lt;&gt;"Bilbo"),IF(AND(K1837&gt;0,K1837&lt;=12),ROUND(J1837*(1+(K1837+IF(ISNUMBER(L1837),L1837,0))/30),1),""),"")</f>
        <v/>
      </c>
      <c r="T1837" s="21" t="str">
        <f aca="false">IF(AND(F1837="Bilbo",ISNUMBER(J1837),ISNUMBER(K1837)),ROUND(J1837*(1+K1837/30),1),"")</f>
        <v/>
      </c>
      <c r="W1837" s="22"/>
      <c r="X1837" s="21" t="str">
        <f aca="false">IF(AND(F1837="Bilbo",E1837&lt;&gt;"",G1837&lt;&gt;"",H1837&lt;&gt;""),E1837&amp;"|"&amp;G1837&amp;"|"&amp;H1837,"")</f>
        <v/>
      </c>
      <c r="Y1837" s="21" t="str">
        <f aca="false">IF(B1837="","",IF(B1837&lt;&gt;B1836,1,0))</f>
        <v/>
      </c>
    </row>
    <row r="1838" customFormat="false" ht="15" hidden="false" customHeight="true" outlineLevel="0" collapsed="false">
      <c r="A1838" s="21" t="str">
        <f aca="false">IF(B1838="","",ROW()-4)</f>
        <v/>
      </c>
      <c r="B1838" s="22"/>
      <c r="C1838" s="21" t="str">
        <f aca="false">IF(B1838="","",CHOOSE(WEEKDAY(B1838,2),"LUNES","MARTES","MIÉRCOLES","JUEVES","VIERNES","SÁBADO","DOMINGO"))</f>
        <v/>
      </c>
      <c r="M1838" s="23"/>
      <c r="Q1838" s="21" t="str">
        <f aca="false">IF(OR(K1838="",N1838=""),"",K1838-N1838)</f>
        <v/>
      </c>
      <c r="R1838" s="21" t="str">
        <f aca="false">IF(OR(J1838="",K1838=""),"",J1838*K1838)</f>
        <v/>
      </c>
      <c r="S1838" s="21" t="str">
        <f aca="false">IF(AND(ISNUMBER(J1838),ISNUMBER(K1838),F1838&lt;&gt;"Calentamiento",F1838&lt;&gt;"Bilbo"),IF(AND(K1838&gt;0,K1838&lt;=12),ROUND(J1838*(1+(K1838+IF(ISNUMBER(L1838),L1838,0))/30),1),""),"")</f>
        <v/>
      </c>
      <c r="T1838" s="21" t="str">
        <f aca="false">IF(AND(F1838="Bilbo",ISNUMBER(J1838),ISNUMBER(K1838)),ROUND(J1838*(1+K1838/30),1),"")</f>
        <v/>
      </c>
      <c r="W1838" s="22"/>
      <c r="X1838" s="21" t="str">
        <f aca="false">IF(AND(F1838="Bilbo",E1838&lt;&gt;"",G1838&lt;&gt;"",H1838&lt;&gt;""),E1838&amp;"|"&amp;G1838&amp;"|"&amp;H1838,"")</f>
        <v/>
      </c>
      <c r="Y1838" s="21" t="str">
        <f aca="false">IF(B1838="","",IF(B1838&lt;&gt;B1837,1,0))</f>
        <v/>
      </c>
    </row>
    <row r="1839" customFormat="false" ht="15" hidden="false" customHeight="true" outlineLevel="0" collapsed="false">
      <c r="A1839" s="21" t="str">
        <f aca="false">IF(B1839="","",ROW()-4)</f>
        <v/>
      </c>
      <c r="B1839" s="22"/>
      <c r="C1839" s="21" t="str">
        <f aca="false">IF(B1839="","",CHOOSE(WEEKDAY(B1839,2),"LUNES","MARTES","MIÉRCOLES","JUEVES","VIERNES","SÁBADO","DOMINGO"))</f>
        <v/>
      </c>
      <c r="M1839" s="23"/>
      <c r="Q1839" s="21" t="str">
        <f aca="false">IF(OR(K1839="",N1839=""),"",K1839-N1839)</f>
        <v/>
      </c>
      <c r="R1839" s="21" t="str">
        <f aca="false">IF(OR(J1839="",K1839=""),"",J1839*K1839)</f>
        <v/>
      </c>
      <c r="S1839" s="21" t="str">
        <f aca="false">IF(AND(ISNUMBER(J1839),ISNUMBER(K1839),F1839&lt;&gt;"Calentamiento",F1839&lt;&gt;"Bilbo"),IF(AND(K1839&gt;0,K1839&lt;=12),ROUND(J1839*(1+(K1839+IF(ISNUMBER(L1839),L1839,0))/30),1),""),"")</f>
        <v/>
      </c>
      <c r="T1839" s="21" t="str">
        <f aca="false">IF(AND(F1839="Bilbo",ISNUMBER(J1839),ISNUMBER(K1839)),ROUND(J1839*(1+K1839/30),1),"")</f>
        <v/>
      </c>
      <c r="W1839" s="22"/>
      <c r="X1839" s="21" t="str">
        <f aca="false">IF(AND(F1839="Bilbo",E1839&lt;&gt;"",G1839&lt;&gt;"",H1839&lt;&gt;""),E1839&amp;"|"&amp;G1839&amp;"|"&amp;H1839,"")</f>
        <v/>
      </c>
      <c r="Y1839" s="21" t="str">
        <f aca="false">IF(B1839="","",IF(B1839&lt;&gt;B1838,1,0))</f>
        <v/>
      </c>
    </row>
    <row r="1840" customFormat="false" ht="15" hidden="false" customHeight="true" outlineLevel="0" collapsed="false">
      <c r="A1840" s="21" t="str">
        <f aca="false">IF(B1840="","",ROW()-4)</f>
        <v/>
      </c>
      <c r="B1840" s="22"/>
      <c r="C1840" s="21" t="str">
        <f aca="false">IF(B1840="","",CHOOSE(WEEKDAY(B1840,2),"LUNES","MARTES","MIÉRCOLES","JUEVES","VIERNES","SÁBADO","DOMINGO"))</f>
        <v/>
      </c>
      <c r="M1840" s="23"/>
      <c r="Q1840" s="21" t="str">
        <f aca="false">IF(OR(K1840="",N1840=""),"",K1840-N1840)</f>
        <v/>
      </c>
      <c r="R1840" s="21" t="str">
        <f aca="false">IF(OR(J1840="",K1840=""),"",J1840*K1840)</f>
        <v/>
      </c>
      <c r="S1840" s="21" t="str">
        <f aca="false">IF(AND(ISNUMBER(J1840),ISNUMBER(K1840),F1840&lt;&gt;"Calentamiento",F1840&lt;&gt;"Bilbo"),IF(AND(K1840&gt;0,K1840&lt;=12),ROUND(J1840*(1+(K1840+IF(ISNUMBER(L1840),L1840,0))/30),1),""),"")</f>
        <v/>
      </c>
      <c r="T1840" s="21" t="str">
        <f aca="false">IF(AND(F1840="Bilbo",ISNUMBER(J1840),ISNUMBER(K1840)),ROUND(J1840*(1+K1840/30),1),"")</f>
        <v/>
      </c>
      <c r="W1840" s="22"/>
      <c r="X1840" s="21" t="str">
        <f aca="false">IF(AND(F1840="Bilbo",E1840&lt;&gt;"",G1840&lt;&gt;"",H1840&lt;&gt;""),E1840&amp;"|"&amp;G1840&amp;"|"&amp;H1840,"")</f>
        <v/>
      </c>
      <c r="Y1840" s="21" t="str">
        <f aca="false">IF(B1840="","",IF(B1840&lt;&gt;B1839,1,0))</f>
        <v/>
      </c>
    </row>
    <row r="1841" customFormat="false" ht="15" hidden="false" customHeight="true" outlineLevel="0" collapsed="false">
      <c r="A1841" s="21" t="str">
        <f aca="false">IF(B1841="","",ROW()-4)</f>
        <v/>
      </c>
      <c r="B1841" s="22"/>
      <c r="C1841" s="21" t="str">
        <f aca="false">IF(B1841="","",CHOOSE(WEEKDAY(B1841,2),"LUNES","MARTES","MIÉRCOLES","JUEVES","VIERNES","SÁBADO","DOMINGO"))</f>
        <v/>
      </c>
      <c r="M1841" s="23"/>
      <c r="Q1841" s="21" t="str">
        <f aca="false">IF(OR(K1841="",N1841=""),"",K1841-N1841)</f>
        <v/>
      </c>
      <c r="R1841" s="21" t="str">
        <f aca="false">IF(OR(J1841="",K1841=""),"",J1841*K1841)</f>
        <v/>
      </c>
      <c r="S1841" s="21" t="str">
        <f aca="false">IF(AND(ISNUMBER(J1841),ISNUMBER(K1841),F1841&lt;&gt;"Calentamiento",F1841&lt;&gt;"Bilbo"),IF(AND(K1841&gt;0,K1841&lt;=12),ROUND(J1841*(1+(K1841+IF(ISNUMBER(L1841),L1841,0))/30),1),""),"")</f>
        <v/>
      </c>
      <c r="T1841" s="21" t="str">
        <f aca="false">IF(AND(F1841="Bilbo",ISNUMBER(J1841),ISNUMBER(K1841)),ROUND(J1841*(1+K1841/30),1),"")</f>
        <v/>
      </c>
      <c r="W1841" s="22"/>
      <c r="X1841" s="21" t="str">
        <f aca="false">IF(AND(F1841="Bilbo",E1841&lt;&gt;"",G1841&lt;&gt;"",H1841&lt;&gt;""),E1841&amp;"|"&amp;G1841&amp;"|"&amp;H1841,"")</f>
        <v/>
      </c>
      <c r="Y1841" s="21" t="str">
        <f aca="false">IF(B1841="","",IF(B1841&lt;&gt;B1840,1,0))</f>
        <v/>
      </c>
    </row>
    <row r="1842" customFormat="false" ht="15" hidden="false" customHeight="true" outlineLevel="0" collapsed="false">
      <c r="A1842" s="21" t="str">
        <f aca="false">IF(B1842="","",ROW()-4)</f>
        <v/>
      </c>
      <c r="B1842" s="22"/>
      <c r="C1842" s="21" t="str">
        <f aca="false">IF(B1842="","",CHOOSE(WEEKDAY(B1842,2),"LUNES","MARTES","MIÉRCOLES","JUEVES","VIERNES","SÁBADO","DOMINGO"))</f>
        <v/>
      </c>
      <c r="M1842" s="23"/>
      <c r="Q1842" s="21" t="str">
        <f aca="false">IF(OR(K1842="",N1842=""),"",K1842-N1842)</f>
        <v/>
      </c>
      <c r="R1842" s="21" t="str">
        <f aca="false">IF(OR(J1842="",K1842=""),"",J1842*K1842)</f>
        <v/>
      </c>
      <c r="S1842" s="21" t="str">
        <f aca="false">IF(AND(ISNUMBER(J1842),ISNUMBER(K1842),F1842&lt;&gt;"Calentamiento",F1842&lt;&gt;"Bilbo"),IF(AND(K1842&gt;0,K1842&lt;=12),ROUND(J1842*(1+(K1842+IF(ISNUMBER(L1842),L1842,0))/30),1),""),"")</f>
        <v/>
      </c>
      <c r="T1842" s="21" t="str">
        <f aca="false">IF(AND(F1842="Bilbo",ISNUMBER(J1842),ISNUMBER(K1842)),ROUND(J1842*(1+K1842/30),1),"")</f>
        <v/>
      </c>
      <c r="W1842" s="22"/>
      <c r="X1842" s="21" t="str">
        <f aca="false">IF(AND(F1842="Bilbo",E1842&lt;&gt;"",G1842&lt;&gt;"",H1842&lt;&gt;""),E1842&amp;"|"&amp;G1842&amp;"|"&amp;H1842,"")</f>
        <v/>
      </c>
      <c r="Y1842" s="21" t="str">
        <f aca="false">IF(B1842="","",IF(B1842&lt;&gt;B1841,1,0))</f>
        <v/>
      </c>
    </row>
    <row r="1843" customFormat="false" ht="15" hidden="false" customHeight="true" outlineLevel="0" collapsed="false">
      <c r="A1843" s="21" t="str">
        <f aca="false">IF(B1843="","",ROW()-4)</f>
        <v/>
      </c>
      <c r="B1843" s="22"/>
      <c r="C1843" s="21" t="str">
        <f aca="false">IF(B1843="","",CHOOSE(WEEKDAY(B1843,2),"LUNES","MARTES","MIÉRCOLES","JUEVES","VIERNES","SÁBADO","DOMINGO"))</f>
        <v/>
      </c>
      <c r="M1843" s="23"/>
      <c r="Q1843" s="21" t="str">
        <f aca="false">IF(OR(K1843="",N1843=""),"",K1843-N1843)</f>
        <v/>
      </c>
      <c r="R1843" s="21" t="str">
        <f aca="false">IF(OR(J1843="",K1843=""),"",J1843*K1843)</f>
        <v/>
      </c>
      <c r="S1843" s="21" t="str">
        <f aca="false">IF(AND(ISNUMBER(J1843),ISNUMBER(K1843),F1843&lt;&gt;"Calentamiento",F1843&lt;&gt;"Bilbo"),IF(AND(K1843&gt;0,K1843&lt;=12),ROUND(J1843*(1+(K1843+IF(ISNUMBER(L1843),L1843,0))/30),1),""),"")</f>
        <v/>
      </c>
      <c r="T1843" s="21" t="str">
        <f aca="false">IF(AND(F1843="Bilbo",ISNUMBER(J1843),ISNUMBER(K1843)),ROUND(J1843*(1+K1843/30),1),"")</f>
        <v/>
      </c>
      <c r="W1843" s="22"/>
      <c r="X1843" s="21" t="str">
        <f aca="false">IF(AND(F1843="Bilbo",E1843&lt;&gt;"",G1843&lt;&gt;"",H1843&lt;&gt;""),E1843&amp;"|"&amp;G1843&amp;"|"&amp;H1843,"")</f>
        <v/>
      </c>
      <c r="Y1843" s="21" t="str">
        <f aca="false">IF(B1843="","",IF(B1843&lt;&gt;B1842,1,0))</f>
        <v/>
      </c>
    </row>
    <row r="1844" customFormat="false" ht="15" hidden="false" customHeight="true" outlineLevel="0" collapsed="false">
      <c r="A1844" s="21" t="str">
        <f aca="false">IF(B1844="","",ROW()-4)</f>
        <v/>
      </c>
      <c r="B1844" s="22"/>
      <c r="C1844" s="21" t="str">
        <f aca="false">IF(B1844="","",CHOOSE(WEEKDAY(B1844,2),"LUNES","MARTES","MIÉRCOLES","JUEVES","VIERNES","SÁBADO","DOMINGO"))</f>
        <v/>
      </c>
      <c r="M1844" s="23"/>
      <c r="Q1844" s="21" t="str">
        <f aca="false">IF(OR(K1844="",N1844=""),"",K1844-N1844)</f>
        <v/>
      </c>
      <c r="R1844" s="21" t="str">
        <f aca="false">IF(OR(J1844="",K1844=""),"",J1844*K1844)</f>
        <v/>
      </c>
      <c r="S1844" s="21" t="str">
        <f aca="false">IF(AND(ISNUMBER(J1844),ISNUMBER(K1844),F1844&lt;&gt;"Calentamiento",F1844&lt;&gt;"Bilbo"),IF(AND(K1844&gt;0,K1844&lt;=12),ROUND(J1844*(1+(K1844+IF(ISNUMBER(L1844),L1844,0))/30),1),""),"")</f>
        <v/>
      </c>
      <c r="T1844" s="21" t="str">
        <f aca="false">IF(AND(F1844="Bilbo",ISNUMBER(J1844),ISNUMBER(K1844)),ROUND(J1844*(1+K1844/30),1),"")</f>
        <v/>
      </c>
      <c r="W1844" s="22"/>
      <c r="X1844" s="21" t="str">
        <f aca="false">IF(AND(F1844="Bilbo",E1844&lt;&gt;"",G1844&lt;&gt;"",H1844&lt;&gt;""),E1844&amp;"|"&amp;G1844&amp;"|"&amp;H1844,"")</f>
        <v/>
      </c>
      <c r="Y1844" s="21" t="str">
        <f aca="false">IF(B1844="","",IF(B1844&lt;&gt;B1843,1,0))</f>
        <v/>
      </c>
    </row>
    <row r="1845" customFormat="false" ht="15" hidden="false" customHeight="true" outlineLevel="0" collapsed="false">
      <c r="A1845" s="21" t="str">
        <f aca="false">IF(B1845="","",ROW()-4)</f>
        <v/>
      </c>
      <c r="B1845" s="22"/>
      <c r="C1845" s="21" t="str">
        <f aca="false">IF(B1845="","",CHOOSE(WEEKDAY(B1845,2),"LUNES","MARTES","MIÉRCOLES","JUEVES","VIERNES","SÁBADO","DOMINGO"))</f>
        <v/>
      </c>
      <c r="M1845" s="23"/>
      <c r="Q1845" s="21" t="str">
        <f aca="false">IF(OR(K1845="",N1845=""),"",K1845-N1845)</f>
        <v/>
      </c>
      <c r="R1845" s="21" t="str">
        <f aca="false">IF(OR(J1845="",K1845=""),"",J1845*K1845)</f>
        <v/>
      </c>
      <c r="S1845" s="21" t="str">
        <f aca="false">IF(AND(ISNUMBER(J1845),ISNUMBER(K1845),F1845&lt;&gt;"Calentamiento",F1845&lt;&gt;"Bilbo"),IF(AND(K1845&gt;0,K1845&lt;=12),ROUND(J1845*(1+(K1845+IF(ISNUMBER(L1845),L1845,0))/30),1),""),"")</f>
        <v/>
      </c>
      <c r="T1845" s="21" t="str">
        <f aca="false">IF(AND(F1845="Bilbo",ISNUMBER(J1845),ISNUMBER(K1845)),ROUND(J1845*(1+K1845/30),1),"")</f>
        <v/>
      </c>
      <c r="W1845" s="22"/>
      <c r="X1845" s="21" t="str">
        <f aca="false">IF(AND(F1845="Bilbo",E1845&lt;&gt;"",G1845&lt;&gt;"",H1845&lt;&gt;""),E1845&amp;"|"&amp;G1845&amp;"|"&amp;H1845,"")</f>
        <v/>
      </c>
      <c r="Y1845" s="21" t="str">
        <f aca="false">IF(B1845="","",IF(B1845&lt;&gt;B1844,1,0))</f>
        <v/>
      </c>
    </row>
    <row r="1846" customFormat="false" ht="15" hidden="false" customHeight="true" outlineLevel="0" collapsed="false">
      <c r="A1846" s="21" t="str">
        <f aca="false">IF(B1846="","",ROW()-4)</f>
        <v/>
      </c>
      <c r="B1846" s="22"/>
      <c r="C1846" s="21" t="str">
        <f aca="false">IF(B1846="","",CHOOSE(WEEKDAY(B1846,2),"LUNES","MARTES","MIÉRCOLES","JUEVES","VIERNES","SÁBADO","DOMINGO"))</f>
        <v/>
      </c>
      <c r="M1846" s="23"/>
      <c r="Q1846" s="21" t="str">
        <f aca="false">IF(OR(K1846="",N1846=""),"",K1846-N1846)</f>
        <v/>
      </c>
      <c r="R1846" s="21" t="str">
        <f aca="false">IF(OR(J1846="",K1846=""),"",J1846*K1846)</f>
        <v/>
      </c>
      <c r="S1846" s="21" t="str">
        <f aca="false">IF(AND(ISNUMBER(J1846),ISNUMBER(K1846),F1846&lt;&gt;"Calentamiento",F1846&lt;&gt;"Bilbo"),IF(AND(K1846&gt;0,K1846&lt;=12),ROUND(J1846*(1+(K1846+IF(ISNUMBER(L1846),L1846,0))/30),1),""),"")</f>
        <v/>
      </c>
      <c r="T1846" s="21" t="str">
        <f aca="false">IF(AND(F1846="Bilbo",ISNUMBER(J1846),ISNUMBER(K1846)),ROUND(J1846*(1+K1846/30),1),"")</f>
        <v/>
      </c>
      <c r="W1846" s="22"/>
      <c r="X1846" s="21" t="str">
        <f aca="false">IF(AND(F1846="Bilbo",E1846&lt;&gt;"",G1846&lt;&gt;"",H1846&lt;&gt;""),E1846&amp;"|"&amp;G1846&amp;"|"&amp;H1846,"")</f>
        <v/>
      </c>
      <c r="Y1846" s="21" t="str">
        <f aca="false">IF(B1846="","",IF(B1846&lt;&gt;B1845,1,0))</f>
        <v/>
      </c>
    </row>
    <row r="1847" customFormat="false" ht="15" hidden="false" customHeight="true" outlineLevel="0" collapsed="false">
      <c r="A1847" s="21" t="str">
        <f aca="false">IF(B1847="","",ROW()-4)</f>
        <v/>
      </c>
      <c r="B1847" s="22"/>
      <c r="C1847" s="21" t="str">
        <f aca="false">IF(B1847="","",CHOOSE(WEEKDAY(B1847,2),"LUNES","MARTES","MIÉRCOLES","JUEVES","VIERNES","SÁBADO","DOMINGO"))</f>
        <v/>
      </c>
      <c r="M1847" s="23"/>
      <c r="Q1847" s="21" t="str">
        <f aca="false">IF(OR(K1847="",N1847=""),"",K1847-N1847)</f>
        <v/>
      </c>
      <c r="R1847" s="21" t="str">
        <f aca="false">IF(OR(J1847="",K1847=""),"",J1847*K1847)</f>
        <v/>
      </c>
      <c r="S1847" s="21" t="str">
        <f aca="false">IF(AND(ISNUMBER(J1847),ISNUMBER(K1847),F1847&lt;&gt;"Calentamiento",F1847&lt;&gt;"Bilbo"),IF(AND(K1847&gt;0,K1847&lt;=12),ROUND(J1847*(1+(K1847+IF(ISNUMBER(L1847),L1847,0))/30),1),""),"")</f>
        <v/>
      </c>
      <c r="T1847" s="21" t="str">
        <f aca="false">IF(AND(F1847="Bilbo",ISNUMBER(J1847),ISNUMBER(K1847)),ROUND(J1847*(1+K1847/30),1),"")</f>
        <v/>
      </c>
      <c r="W1847" s="22"/>
      <c r="X1847" s="21" t="str">
        <f aca="false">IF(AND(F1847="Bilbo",E1847&lt;&gt;"",G1847&lt;&gt;"",H1847&lt;&gt;""),E1847&amp;"|"&amp;G1847&amp;"|"&amp;H1847,"")</f>
        <v/>
      </c>
      <c r="Y1847" s="21" t="str">
        <f aca="false">IF(B1847="","",IF(B1847&lt;&gt;B1846,1,0))</f>
        <v/>
      </c>
    </row>
    <row r="1848" customFormat="false" ht="15" hidden="false" customHeight="true" outlineLevel="0" collapsed="false">
      <c r="A1848" s="21" t="str">
        <f aca="false">IF(B1848="","",ROW()-4)</f>
        <v/>
      </c>
      <c r="B1848" s="22"/>
      <c r="C1848" s="21" t="str">
        <f aca="false">IF(B1848="","",CHOOSE(WEEKDAY(B1848,2),"LUNES","MARTES","MIÉRCOLES","JUEVES","VIERNES","SÁBADO","DOMINGO"))</f>
        <v/>
      </c>
      <c r="M1848" s="23"/>
      <c r="Q1848" s="21" t="str">
        <f aca="false">IF(OR(K1848="",N1848=""),"",K1848-N1848)</f>
        <v/>
      </c>
      <c r="R1848" s="21" t="str">
        <f aca="false">IF(OR(J1848="",K1848=""),"",J1848*K1848)</f>
        <v/>
      </c>
      <c r="S1848" s="21" t="str">
        <f aca="false">IF(AND(ISNUMBER(J1848),ISNUMBER(K1848),F1848&lt;&gt;"Calentamiento",F1848&lt;&gt;"Bilbo"),IF(AND(K1848&gt;0,K1848&lt;=12),ROUND(J1848*(1+(K1848+IF(ISNUMBER(L1848),L1848,0))/30),1),""),"")</f>
        <v/>
      </c>
      <c r="T1848" s="21" t="str">
        <f aca="false">IF(AND(F1848="Bilbo",ISNUMBER(J1848),ISNUMBER(K1848)),ROUND(J1848*(1+K1848/30),1),"")</f>
        <v/>
      </c>
      <c r="W1848" s="22"/>
      <c r="X1848" s="21" t="str">
        <f aca="false">IF(AND(F1848="Bilbo",E1848&lt;&gt;"",G1848&lt;&gt;"",H1848&lt;&gt;""),E1848&amp;"|"&amp;G1848&amp;"|"&amp;H1848,"")</f>
        <v/>
      </c>
      <c r="Y1848" s="21" t="str">
        <f aca="false">IF(B1848="","",IF(B1848&lt;&gt;B1847,1,0))</f>
        <v/>
      </c>
    </row>
    <row r="1849" customFormat="false" ht="15" hidden="false" customHeight="true" outlineLevel="0" collapsed="false">
      <c r="A1849" s="21" t="str">
        <f aca="false">IF(B1849="","",ROW()-4)</f>
        <v/>
      </c>
      <c r="B1849" s="22"/>
      <c r="C1849" s="21" t="str">
        <f aca="false">IF(B1849="","",CHOOSE(WEEKDAY(B1849,2),"LUNES","MARTES","MIÉRCOLES","JUEVES","VIERNES","SÁBADO","DOMINGO"))</f>
        <v/>
      </c>
      <c r="M1849" s="23"/>
      <c r="Q1849" s="21" t="str">
        <f aca="false">IF(OR(K1849="",N1849=""),"",K1849-N1849)</f>
        <v/>
      </c>
      <c r="R1849" s="21" t="str">
        <f aca="false">IF(OR(J1849="",K1849=""),"",J1849*K1849)</f>
        <v/>
      </c>
      <c r="S1849" s="21" t="str">
        <f aca="false">IF(AND(ISNUMBER(J1849),ISNUMBER(K1849),F1849&lt;&gt;"Calentamiento",F1849&lt;&gt;"Bilbo"),IF(AND(K1849&gt;0,K1849&lt;=12),ROUND(J1849*(1+(K1849+IF(ISNUMBER(L1849),L1849,0))/30),1),""),"")</f>
        <v/>
      </c>
      <c r="T1849" s="21" t="str">
        <f aca="false">IF(AND(F1849="Bilbo",ISNUMBER(J1849),ISNUMBER(K1849)),ROUND(J1849*(1+K1849/30),1),"")</f>
        <v/>
      </c>
      <c r="W1849" s="22"/>
      <c r="X1849" s="21" t="str">
        <f aca="false">IF(AND(F1849="Bilbo",E1849&lt;&gt;"",G1849&lt;&gt;"",H1849&lt;&gt;""),E1849&amp;"|"&amp;G1849&amp;"|"&amp;H1849,"")</f>
        <v/>
      </c>
      <c r="Y1849" s="21" t="str">
        <f aca="false">IF(B1849="","",IF(B1849&lt;&gt;B1848,1,0))</f>
        <v/>
      </c>
    </row>
    <row r="1850" customFormat="false" ht="15" hidden="false" customHeight="true" outlineLevel="0" collapsed="false">
      <c r="A1850" s="21" t="str">
        <f aca="false">IF(B1850="","",ROW()-4)</f>
        <v/>
      </c>
      <c r="B1850" s="22"/>
      <c r="C1850" s="21" t="str">
        <f aca="false">IF(B1850="","",CHOOSE(WEEKDAY(B1850,2),"LUNES","MARTES","MIÉRCOLES","JUEVES","VIERNES","SÁBADO","DOMINGO"))</f>
        <v/>
      </c>
      <c r="M1850" s="23"/>
      <c r="Q1850" s="21" t="str">
        <f aca="false">IF(OR(K1850="",N1850=""),"",K1850-N1850)</f>
        <v/>
      </c>
      <c r="R1850" s="21" t="str">
        <f aca="false">IF(OR(J1850="",K1850=""),"",J1850*K1850)</f>
        <v/>
      </c>
      <c r="S1850" s="21" t="str">
        <f aca="false">IF(AND(ISNUMBER(J1850),ISNUMBER(K1850),F1850&lt;&gt;"Calentamiento",F1850&lt;&gt;"Bilbo"),IF(AND(K1850&gt;0,K1850&lt;=12),ROUND(J1850*(1+(K1850+IF(ISNUMBER(L1850),L1850,0))/30),1),""),"")</f>
        <v/>
      </c>
      <c r="T1850" s="21" t="str">
        <f aca="false">IF(AND(F1850="Bilbo",ISNUMBER(J1850),ISNUMBER(K1850)),ROUND(J1850*(1+K1850/30),1),"")</f>
        <v/>
      </c>
      <c r="W1850" s="22"/>
      <c r="X1850" s="21" t="str">
        <f aca="false">IF(AND(F1850="Bilbo",E1850&lt;&gt;"",G1850&lt;&gt;"",H1850&lt;&gt;""),E1850&amp;"|"&amp;G1850&amp;"|"&amp;H1850,"")</f>
        <v/>
      </c>
      <c r="Y1850" s="21" t="str">
        <f aca="false">IF(B1850="","",IF(B1850&lt;&gt;B1849,1,0))</f>
        <v/>
      </c>
    </row>
    <row r="1851" customFormat="false" ht="15" hidden="false" customHeight="true" outlineLevel="0" collapsed="false">
      <c r="A1851" s="21" t="str">
        <f aca="false">IF(B1851="","",ROW()-4)</f>
        <v/>
      </c>
      <c r="B1851" s="22"/>
      <c r="C1851" s="21" t="str">
        <f aca="false">IF(B1851="","",CHOOSE(WEEKDAY(B1851,2),"LUNES","MARTES","MIÉRCOLES","JUEVES","VIERNES","SÁBADO","DOMINGO"))</f>
        <v/>
      </c>
      <c r="M1851" s="23"/>
      <c r="Q1851" s="21" t="str">
        <f aca="false">IF(OR(K1851="",N1851=""),"",K1851-N1851)</f>
        <v/>
      </c>
      <c r="R1851" s="21" t="str">
        <f aca="false">IF(OR(J1851="",K1851=""),"",J1851*K1851)</f>
        <v/>
      </c>
      <c r="S1851" s="21" t="str">
        <f aca="false">IF(AND(ISNUMBER(J1851),ISNUMBER(K1851),F1851&lt;&gt;"Calentamiento",F1851&lt;&gt;"Bilbo"),IF(AND(K1851&gt;0,K1851&lt;=12),ROUND(J1851*(1+(K1851+IF(ISNUMBER(L1851),L1851,0))/30),1),""),"")</f>
        <v/>
      </c>
      <c r="T1851" s="21" t="str">
        <f aca="false">IF(AND(F1851="Bilbo",ISNUMBER(J1851),ISNUMBER(K1851)),ROUND(J1851*(1+K1851/30),1),"")</f>
        <v/>
      </c>
      <c r="W1851" s="22"/>
      <c r="X1851" s="21" t="str">
        <f aca="false">IF(AND(F1851="Bilbo",E1851&lt;&gt;"",G1851&lt;&gt;"",H1851&lt;&gt;""),E1851&amp;"|"&amp;G1851&amp;"|"&amp;H1851,"")</f>
        <v/>
      </c>
      <c r="Y1851" s="21" t="str">
        <f aca="false">IF(B1851="","",IF(B1851&lt;&gt;B1850,1,0))</f>
        <v/>
      </c>
    </row>
    <row r="1852" customFormat="false" ht="15" hidden="false" customHeight="true" outlineLevel="0" collapsed="false">
      <c r="A1852" s="21" t="str">
        <f aca="false">IF(B1852="","",ROW()-4)</f>
        <v/>
      </c>
      <c r="B1852" s="22"/>
      <c r="C1852" s="21" t="str">
        <f aca="false">IF(B1852="","",CHOOSE(WEEKDAY(B1852,2),"LUNES","MARTES","MIÉRCOLES","JUEVES","VIERNES","SÁBADO","DOMINGO"))</f>
        <v/>
      </c>
      <c r="M1852" s="23"/>
      <c r="Q1852" s="21" t="str">
        <f aca="false">IF(OR(K1852="",N1852=""),"",K1852-N1852)</f>
        <v/>
      </c>
      <c r="R1852" s="21" t="str">
        <f aca="false">IF(OR(J1852="",K1852=""),"",J1852*K1852)</f>
        <v/>
      </c>
      <c r="S1852" s="21" t="str">
        <f aca="false">IF(AND(ISNUMBER(J1852),ISNUMBER(K1852),F1852&lt;&gt;"Calentamiento",F1852&lt;&gt;"Bilbo"),IF(AND(K1852&gt;0,K1852&lt;=12),ROUND(J1852*(1+(K1852+IF(ISNUMBER(L1852),L1852,0))/30),1),""),"")</f>
        <v/>
      </c>
      <c r="T1852" s="21" t="str">
        <f aca="false">IF(AND(F1852="Bilbo",ISNUMBER(J1852),ISNUMBER(K1852)),ROUND(J1852*(1+K1852/30),1),"")</f>
        <v/>
      </c>
      <c r="W1852" s="22"/>
      <c r="X1852" s="21" t="str">
        <f aca="false">IF(AND(F1852="Bilbo",E1852&lt;&gt;"",G1852&lt;&gt;"",H1852&lt;&gt;""),E1852&amp;"|"&amp;G1852&amp;"|"&amp;H1852,"")</f>
        <v/>
      </c>
      <c r="Y1852" s="21" t="str">
        <f aca="false">IF(B1852="","",IF(B1852&lt;&gt;B1851,1,0))</f>
        <v/>
      </c>
    </row>
    <row r="1853" customFormat="false" ht="15" hidden="false" customHeight="true" outlineLevel="0" collapsed="false">
      <c r="A1853" s="21" t="str">
        <f aca="false">IF(B1853="","",ROW()-4)</f>
        <v/>
      </c>
      <c r="B1853" s="22"/>
      <c r="C1853" s="21" t="str">
        <f aca="false">IF(B1853="","",CHOOSE(WEEKDAY(B1853,2),"LUNES","MARTES","MIÉRCOLES","JUEVES","VIERNES","SÁBADO","DOMINGO"))</f>
        <v/>
      </c>
      <c r="M1853" s="23"/>
      <c r="Q1853" s="21" t="str">
        <f aca="false">IF(OR(K1853="",N1853=""),"",K1853-N1853)</f>
        <v/>
      </c>
      <c r="R1853" s="21" t="str">
        <f aca="false">IF(OR(J1853="",K1853=""),"",J1853*K1853)</f>
        <v/>
      </c>
      <c r="S1853" s="21" t="str">
        <f aca="false">IF(AND(ISNUMBER(J1853),ISNUMBER(K1853),F1853&lt;&gt;"Calentamiento",F1853&lt;&gt;"Bilbo"),IF(AND(K1853&gt;0,K1853&lt;=12),ROUND(J1853*(1+(K1853+IF(ISNUMBER(L1853),L1853,0))/30),1),""),"")</f>
        <v/>
      </c>
      <c r="T1853" s="21" t="str">
        <f aca="false">IF(AND(F1853="Bilbo",ISNUMBER(J1853),ISNUMBER(K1853)),ROUND(J1853*(1+K1853/30),1),"")</f>
        <v/>
      </c>
      <c r="W1853" s="22"/>
      <c r="X1853" s="21" t="str">
        <f aca="false">IF(AND(F1853="Bilbo",E1853&lt;&gt;"",G1853&lt;&gt;"",H1853&lt;&gt;""),E1853&amp;"|"&amp;G1853&amp;"|"&amp;H1853,"")</f>
        <v/>
      </c>
      <c r="Y1853" s="21" t="str">
        <f aca="false">IF(B1853="","",IF(B1853&lt;&gt;B1852,1,0))</f>
        <v/>
      </c>
    </row>
    <row r="1854" customFormat="false" ht="15" hidden="false" customHeight="true" outlineLevel="0" collapsed="false">
      <c r="A1854" s="21" t="str">
        <f aca="false">IF(B1854="","",ROW()-4)</f>
        <v/>
      </c>
      <c r="B1854" s="22"/>
      <c r="C1854" s="21" t="str">
        <f aca="false">IF(B1854="","",CHOOSE(WEEKDAY(B1854,2),"LUNES","MARTES","MIÉRCOLES","JUEVES","VIERNES","SÁBADO","DOMINGO"))</f>
        <v/>
      </c>
      <c r="M1854" s="23"/>
      <c r="Q1854" s="21" t="str">
        <f aca="false">IF(OR(K1854="",N1854=""),"",K1854-N1854)</f>
        <v/>
      </c>
      <c r="R1854" s="21" t="str">
        <f aca="false">IF(OR(J1854="",K1854=""),"",J1854*K1854)</f>
        <v/>
      </c>
      <c r="S1854" s="21" t="str">
        <f aca="false">IF(AND(ISNUMBER(J1854),ISNUMBER(K1854),F1854&lt;&gt;"Calentamiento",F1854&lt;&gt;"Bilbo"),IF(AND(K1854&gt;0,K1854&lt;=12),ROUND(J1854*(1+(K1854+IF(ISNUMBER(L1854),L1854,0))/30),1),""),"")</f>
        <v/>
      </c>
      <c r="T1854" s="21" t="str">
        <f aca="false">IF(AND(F1854="Bilbo",ISNUMBER(J1854),ISNUMBER(K1854)),ROUND(J1854*(1+K1854/30),1),"")</f>
        <v/>
      </c>
      <c r="W1854" s="22"/>
      <c r="X1854" s="21" t="str">
        <f aca="false">IF(AND(F1854="Bilbo",E1854&lt;&gt;"",G1854&lt;&gt;"",H1854&lt;&gt;""),E1854&amp;"|"&amp;G1854&amp;"|"&amp;H1854,"")</f>
        <v/>
      </c>
      <c r="Y1854" s="21" t="str">
        <f aca="false">IF(B1854="","",IF(B1854&lt;&gt;B1853,1,0))</f>
        <v/>
      </c>
    </row>
    <row r="1855" customFormat="false" ht="15" hidden="false" customHeight="true" outlineLevel="0" collapsed="false">
      <c r="A1855" s="21" t="str">
        <f aca="false">IF(B1855="","",ROW()-4)</f>
        <v/>
      </c>
      <c r="B1855" s="22"/>
      <c r="C1855" s="21" t="str">
        <f aca="false">IF(B1855="","",CHOOSE(WEEKDAY(B1855,2),"LUNES","MARTES","MIÉRCOLES","JUEVES","VIERNES","SÁBADO","DOMINGO"))</f>
        <v/>
      </c>
      <c r="M1855" s="23"/>
      <c r="Q1855" s="21" t="str">
        <f aca="false">IF(OR(K1855="",N1855=""),"",K1855-N1855)</f>
        <v/>
      </c>
      <c r="R1855" s="21" t="str">
        <f aca="false">IF(OR(J1855="",K1855=""),"",J1855*K1855)</f>
        <v/>
      </c>
      <c r="S1855" s="21" t="str">
        <f aca="false">IF(AND(ISNUMBER(J1855),ISNUMBER(K1855),F1855&lt;&gt;"Calentamiento",F1855&lt;&gt;"Bilbo"),IF(AND(K1855&gt;0,K1855&lt;=12),ROUND(J1855*(1+(K1855+IF(ISNUMBER(L1855),L1855,0))/30),1),""),"")</f>
        <v/>
      </c>
      <c r="T1855" s="21" t="str">
        <f aca="false">IF(AND(F1855="Bilbo",ISNUMBER(J1855),ISNUMBER(K1855)),ROUND(J1855*(1+K1855/30),1),"")</f>
        <v/>
      </c>
      <c r="W1855" s="22"/>
      <c r="X1855" s="21" t="str">
        <f aca="false">IF(AND(F1855="Bilbo",E1855&lt;&gt;"",G1855&lt;&gt;"",H1855&lt;&gt;""),E1855&amp;"|"&amp;G1855&amp;"|"&amp;H1855,"")</f>
        <v/>
      </c>
      <c r="Y1855" s="21" t="str">
        <f aca="false">IF(B1855="","",IF(B1855&lt;&gt;B1854,1,0))</f>
        <v/>
      </c>
    </row>
    <row r="1856" customFormat="false" ht="15" hidden="false" customHeight="true" outlineLevel="0" collapsed="false">
      <c r="A1856" s="21" t="str">
        <f aca="false">IF(B1856="","",ROW()-4)</f>
        <v/>
      </c>
      <c r="B1856" s="22"/>
      <c r="C1856" s="21" t="str">
        <f aca="false">IF(B1856="","",CHOOSE(WEEKDAY(B1856,2),"LUNES","MARTES","MIÉRCOLES","JUEVES","VIERNES","SÁBADO","DOMINGO"))</f>
        <v/>
      </c>
      <c r="M1856" s="23"/>
      <c r="Q1856" s="21" t="str">
        <f aca="false">IF(OR(K1856="",N1856=""),"",K1856-N1856)</f>
        <v/>
      </c>
      <c r="R1856" s="21" t="str">
        <f aca="false">IF(OR(J1856="",K1856=""),"",J1856*K1856)</f>
        <v/>
      </c>
      <c r="S1856" s="21" t="str">
        <f aca="false">IF(AND(ISNUMBER(J1856),ISNUMBER(K1856),F1856&lt;&gt;"Calentamiento",F1856&lt;&gt;"Bilbo"),IF(AND(K1856&gt;0,K1856&lt;=12),ROUND(J1856*(1+(K1856+IF(ISNUMBER(L1856),L1856,0))/30),1),""),"")</f>
        <v/>
      </c>
      <c r="T1856" s="21" t="str">
        <f aca="false">IF(AND(F1856="Bilbo",ISNUMBER(J1856),ISNUMBER(K1856)),ROUND(J1856*(1+K1856/30),1),"")</f>
        <v/>
      </c>
      <c r="W1856" s="22"/>
      <c r="X1856" s="21" t="str">
        <f aca="false">IF(AND(F1856="Bilbo",E1856&lt;&gt;"",G1856&lt;&gt;"",H1856&lt;&gt;""),E1856&amp;"|"&amp;G1856&amp;"|"&amp;H1856,"")</f>
        <v/>
      </c>
      <c r="Y1856" s="21" t="str">
        <f aca="false">IF(B1856="","",IF(B1856&lt;&gt;B1855,1,0))</f>
        <v/>
      </c>
    </row>
    <row r="1857" customFormat="false" ht="15" hidden="false" customHeight="true" outlineLevel="0" collapsed="false">
      <c r="A1857" s="21" t="str">
        <f aca="false">IF(B1857="","",ROW()-4)</f>
        <v/>
      </c>
      <c r="B1857" s="22"/>
      <c r="C1857" s="21" t="str">
        <f aca="false">IF(B1857="","",CHOOSE(WEEKDAY(B1857,2),"LUNES","MARTES","MIÉRCOLES","JUEVES","VIERNES","SÁBADO","DOMINGO"))</f>
        <v/>
      </c>
      <c r="M1857" s="23"/>
      <c r="Q1857" s="21" t="str">
        <f aca="false">IF(OR(K1857="",N1857=""),"",K1857-N1857)</f>
        <v/>
      </c>
      <c r="R1857" s="21" t="str">
        <f aca="false">IF(OR(J1857="",K1857=""),"",J1857*K1857)</f>
        <v/>
      </c>
      <c r="S1857" s="21" t="str">
        <f aca="false">IF(AND(ISNUMBER(J1857),ISNUMBER(K1857),F1857&lt;&gt;"Calentamiento",F1857&lt;&gt;"Bilbo"),IF(AND(K1857&gt;0,K1857&lt;=12),ROUND(J1857*(1+(K1857+IF(ISNUMBER(L1857),L1857,0))/30),1),""),"")</f>
        <v/>
      </c>
      <c r="T1857" s="21" t="str">
        <f aca="false">IF(AND(F1857="Bilbo",ISNUMBER(J1857),ISNUMBER(K1857)),ROUND(J1857*(1+K1857/30),1),"")</f>
        <v/>
      </c>
      <c r="W1857" s="22"/>
      <c r="X1857" s="21" t="str">
        <f aca="false">IF(AND(F1857="Bilbo",E1857&lt;&gt;"",G1857&lt;&gt;"",H1857&lt;&gt;""),E1857&amp;"|"&amp;G1857&amp;"|"&amp;H1857,"")</f>
        <v/>
      </c>
      <c r="Y1857" s="21" t="str">
        <f aca="false">IF(B1857="","",IF(B1857&lt;&gt;B1856,1,0))</f>
        <v/>
      </c>
    </row>
    <row r="1858" customFormat="false" ht="15" hidden="false" customHeight="true" outlineLevel="0" collapsed="false">
      <c r="A1858" s="21" t="str">
        <f aca="false">IF(B1858="","",ROW()-4)</f>
        <v/>
      </c>
      <c r="B1858" s="22"/>
      <c r="C1858" s="21" t="str">
        <f aca="false">IF(B1858="","",CHOOSE(WEEKDAY(B1858,2),"LUNES","MARTES","MIÉRCOLES","JUEVES","VIERNES","SÁBADO","DOMINGO"))</f>
        <v/>
      </c>
      <c r="M1858" s="23"/>
      <c r="Q1858" s="21" t="str">
        <f aca="false">IF(OR(K1858="",N1858=""),"",K1858-N1858)</f>
        <v/>
      </c>
      <c r="R1858" s="21" t="str">
        <f aca="false">IF(OR(J1858="",K1858=""),"",J1858*K1858)</f>
        <v/>
      </c>
      <c r="S1858" s="21" t="str">
        <f aca="false">IF(AND(ISNUMBER(J1858),ISNUMBER(K1858),F1858&lt;&gt;"Calentamiento",F1858&lt;&gt;"Bilbo"),IF(AND(K1858&gt;0,K1858&lt;=12),ROUND(J1858*(1+(K1858+IF(ISNUMBER(L1858),L1858,0))/30),1),""),"")</f>
        <v/>
      </c>
      <c r="T1858" s="21" t="str">
        <f aca="false">IF(AND(F1858="Bilbo",ISNUMBER(J1858),ISNUMBER(K1858)),ROUND(J1858*(1+K1858/30),1),"")</f>
        <v/>
      </c>
      <c r="W1858" s="22"/>
      <c r="X1858" s="21" t="str">
        <f aca="false">IF(AND(F1858="Bilbo",E1858&lt;&gt;"",G1858&lt;&gt;"",H1858&lt;&gt;""),E1858&amp;"|"&amp;G1858&amp;"|"&amp;H1858,"")</f>
        <v/>
      </c>
      <c r="Y1858" s="21" t="str">
        <f aca="false">IF(B1858="","",IF(B1858&lt;&gt;B1857,1,0))</f>
        <v/>
      </c>
    </row>
    <row r="1859" customFormat="false" ht="15" hidden="false" customHeight="true" outlineLevel="0" collapsed="false">
      <c r="A1859" s="21" t="str">
        <f aca="false">IF(B1859="","",ROW()-4)</f>
        <v/>
      </c>
      <c r="B1859" s="22"/>
      <c r="C1859" s="21" t="str">
        <f aca="false">IF(B1859="","",CHOOSE(WEEKDAY(B1859,2),"LUNES","MARTES","MIÉRCOLES","JUEVES","VIERNES","SÁBADO","DOMINGO"))</f>
        <v/>
      </c>
      <c r="M1859" s="23"/>
      <c r="Q1859" s="21" t="str">
        <f aca="false">IF(OR(K1859="",N1859=""),"",K1859-N1859)</f>
        <v/>
      </c>
      <c r="R1859" s="21" t="str">
        <f aca="false">IF(OR(J1859="",K1859=""),"",J1859*K1859)</f>
        <v/>
      </c>
      <c r="S1859" s="21" t="str">
        <f aca="false">IF(AND(ISNUMBER(J1859),ISNUMBER(K1859),F1859&lt;&gt;"Calentamiento",F1859&lt;&gt;"Bilbo"),IF(AND(K1859&gt;0,K1859&lt;=12),ROUND(J1859*(1+(K1859+IF(ISNUMBER(L1859),L1859,0))/30),1),""),"")</f>
        <v/>
      </c>
      <c r="T1859" s="21" t="str">
        <f aca="false">IF(AND(F1859="Bilbo",ISNUMBER(J1859),ISNUMBER(K1859)),ROUND(J1859*(1+K1859/30),1),"")</f>
        <v/>
      </c>
      <c r="W1859" s="22"/>
      <c r="X1859" s="21" t="str">
        <f aca="false">IF(AND(F1859="Bilbo",E1859&lt;&gt;"",G1859&lt;&gt;"",H1859&lt;&gt;""),E1859&amp;"|"&amp;G1859&amp;"|"&amp;H1859,"")</f>
        <v/>
      </c>
      <c r="Y1859" s="21" t="str">
        <f aca="false">IF(B1859="","",IF(B1859&lt;&gt;B1858,1,0))</f>
        <v/>
      </c>
    </row>
    <row r="1860" customFormat="false" ht="15" hidden="false" customHeight="true" outlineLevel="0" collapsed="false">
      <c r="A1860" s="21" t="str">
        <f aca="false">IF(B1860="","",ROW()-4)</f>
        <v/>
      </c>
      <c r="B1860" s="22"/>
      <c r="C1860" s="21" t="str">
        <f aca="false">IF(B1860="","",CHOOSE(WEEKDAY(B1860,2),"LUNES","MARTES","MIÉRCOLES","JUEVES","VIERNES","SÁBADO","DOMINGO"))</f>
        <v/>
      </c>
      <c r="M1860" s="23"/>
      <c r="Q1860" s="21" t="str">
        <f aca="false">IF(OR(K1860="",N1860=""),"",K1860-N1860)</f>
        <v/>
      </c>
      <c r="R1860" s="21" t="str">
        <f aca="false">IF(OR(J1860="",K1860=""),"",J1860*K1860)</f>
        <v/>
      </c>
      <c r="S1860" s="21" t="str">
        <f aca="false">IF(AND(ISNUMBER(J1860),ISNUMBER(K1860),F1860&lt;&gt;"Calentamiento",F1860&lt;&gt;"Bilbo"),IF(AND(K1860&gt;0,K1860&lt;=12),ROUND(J1860*(1+(K1860+IF(ISNUMBER(L1860),L1860,0))/30),1),""),"")</f>
        <v/>
      </c>
      <c r="T1860" s="21" t="str">
        <f aca="false">IF(AND(F1860="Bilbo",ISNUMBER(J1860),ISNUMBER(K1860)),ROUND(J1860*(1+K1860/30),1),"")</f>
        <v/>
      </c>
      <c r="W1860" s="22"/>
      <c r="X1860" s="21" t="str">
        <f aca="false">IF(AND(F1860="Bilbo",E1860&lt;&gt;"",G1860&lt;&gt;"",H1860&lt;&gt;""),E1860&amp;"|"&amp;G1860&amp;"|"&amp;H1860,"")</f>
        <v/>
      </c>
      <c r="Y1860" s="21" t="str">
        <f aca="false">IF(B1860="","",IF(B1860&lt;&gt;B1859,1,0))</f>
        <v/>
      </c>
    </row>
    <row r="1861" customFormat="false" ht="15" hidden="false" customHeight="true" outlineLevel="0" collapsed="false">
      <c r="A1861" s="21" t="str">
        <f aca="false">IF(B1861="","",ROW()-4)</f>
        <v/>
      </c>
      <c r="B1861" s="22"/>
      <c r="C1861" s="21" t="str">
        <f aca="false">IF(B1861="","",CHOOSE(WEEKDAY(B1861,2),"LUNES","MARTES","MIÉRCOLES","JUEVES","VIERNES","SÁBADO","DOMINGO"))</f>
        <v/>
      </c>
      <c r="M1861" s="23"/>
      <c r="Q1861" s="21" t="str">
        <f aca="false">IF(OR(K1861="",N1861=""),"",K1861-N1861)</f>
        <v/>
      </c>
      <c r="R1861" s="21" t="str">
        <f aca="false">IF(OR(J1861="",K1861=""),"",J1861*K1861)</f>
        <v/>
      </c>
      <c r="S1861" s="21" t="str">
        <f aca="false">IF(AND(ISNUMBER(J1861),ISNUMBER(K1861),F1861&lt;&gt;"Calentamiento",F1861&lt;&gt;"Bilbo"),IF(AND(K1861&gt;0,K1861&lt;=12),ROUND(J1861*(1+(K1861+IF(ISNUMBER(L1861),L1861,0))/30),1),""),"")</f>
        <v/>
      </c>
      <c r="T1861" s="21" t="str">
        <f aca="false">IF(AND(F1861="Bilbo",ISNUMBER(J1861),ISNUMBER(K1861)),ROUND(J1861*(1+K1861/30),1),"")</f>
        <v/>
      </c>
      <c r="W1861" s="22"/>
      <c r="X1861" s="21" t="str">
        <f aca="false">IF(AND(F1861="Bilbo",E1861&lt;&gt;"",G1861&lt;&gt;"",H1861&lt;&gt;""),E1861&amp;"|"&amp;G1861&amp;"|"&amp;H1861,"")</f>
        <v/>
      </c>
      <c r="Y1861" s="21" t="str">
        <f aca="false">IF(B1861="","",IF(B1861&lt;&gt;B1860,1,0))</f>
        <v/>
      </c>
    </row>
    <row r="1862" customFormat="false" ht="15" hidden="false" customHeight="true" outlineLevel="0" collapsed="false">
      <c r="A1862" s="21" t="str">
        <f aca="false">IF(B1862="","",ROW()-4)</f>
        <v/>
      </c>
      <c r="B1862" s="22"/>
      <c r="C1862" s="21" t="str">
        <f aca="false">IF(B1862="","",CHOOSE(WEEKDAY(B1862,2),"LUNES","MARTES","MIÉRCOLES","JUEVES","VIERNES","SÁBADO","DOMINGO"))</f>
        <v/>
      </c>
      <c r="M1862" s="23"/>
      <c r="Q1862" s="21" t="str">
        <f aca="false">IF(OR(K1862="",N1862=""),"",K1862-N1862)</f>
        <v/>
      </c>
      <c r="R1862" s="21" t="str">
        <f aca="false">IF(OR(J1862="",K1862=""),"",J1862*K1862)</f>
        <v/>
      </c>
      <c r="S1862" s="21" t="str">
        <f aca="false">IF(AND(ISNUMBER(J1862),ISNUMBER(K1862),F1862&lt;&gt;"Calentamiento",F1862&lt;&gt;"Bilbo"),IF(AND(K1862&gt;0,K1862&lt;=12),ROUND(J1862*(1+(K1862+IF(ISNUMBER(L1862),L1862,0))/30),1),""),"")</f>
        <v/>
      </c>
      <c r="T1862" s="21" t="str">
        <f aca="false">IF(AND(F1862="Bilbo",ISNUMBER(J1862),ISNUMBER(K1862)),ROUND(J1862*(1+K1862/30),1),"")</f>
        <v/>
      </c>
      <c r="W1862" s="22"/>
      <c r="X1862" s="21" t="str">
        <f aca="false">IF(AND(F1862="Bilbo",E1862&lt;&gt;"",G1862&lt;&gt;"",H1862&lt;&gt;""),E1862&amp;"|"&amp;G1862&amp;"|"&amp;H1862,"")</f>
        <v/>
      </c>
      <c r="Y1862" s="21" t="str">
        <f aca="false">IF(B1862="","",IF(B1862&lt;&gt;B1861,1,0))</f>
        <v/>
      </c>
    </row>
    <row r="1863" customFormat="false" ht="15" hidden="false" customHeight="true" outlineLevel="0" collapsed="false">
      <c r="A1863" s="21" t="str">
        <f aca="false">IF(B1863="","",ROW()-4)</f>
        <v/>
      </c>
      <c r="B1863" s="22"/>
      <c r="C1863" s="21" t="str">
        <f aca="false">IF(B1863="","",CHOOSE(WEEKDAY(B1863,2),"LUNES","MARTES","MIÉRCOLES","JUEVES","VIERNES","SÁBADO","DOMINGO"))</f>
        <v/>
      </c>
      <c r="M1863" s="23"/>
      <c r="Q1863" s="21" t="str">
        <f aca="false">IF(OR(K1863="",N1863=""),"",K1863-N1863)</f>
        <v/>
      </c>
      <c r="R1863" s="21" t="str">
        <f aca="false">IF(OR(J1863="",K1863=""),"",J1863*K1863)</f>
        <v/>
      </c>
      <c r="S1863" s="21" t="str">
        <f aca="false">IF(AND(ISNUMBER(J1863),ISNUMBER(K1863),F1863&lt;&gt;"Calentamiento",F1863&lt;&gt;"Bilbo"),IF(AND(K1863&gt;0,K1863&lt;=12),ROUND(J1863*(1+(K1863+IF(ISNUMBER(L1863),L1863,0))/30),1),""),"")</f>
        <v/>
      </c>
      <c r="T1863" s="21" t="str">
        <f aca="false">IF(AND(F1863="Bilbo",ISNUMBER(J1863),ISNUMBER(K1863)),ROUND(J1863*(1+K1863/30),1),"")</f>
        <v/>
      </c>
      <c r="W1863" s="22"/>
      <c r="X1863" s="21" t="str">
        <f aca="false">IF(AND(F1863="Bilbo",E1863&lt;&gt;"",G1863&lt;&gt;"",H1863&lt;&gt;""),E1863&amp;"|"&amp;G1863&amp;"|"&amp;H1863,"")</f>
        <v/>
      </c>
      <c r="Y1863" s="21" t="str">
        <f aca="false">IF(B1863="","",IF(B1863&lt;&gt;B1862,1,0))</f>
        <v/>
      </c>
    </row>
    <row r="1864" customFormat="false" ht="15" hidden="false" customHeight="true" outlineLevel="0" collapsed="false">
      <c r="A1864" s="21" t="str">
        <f aca="false">IF(B1864="","",ROW()-4)</f>
        <v/>
      </c>
      <c r="B1864" s="22"/>
      <c r="C1864" s="21" t="str">
        <f aca="false">IF(B1864="","",CHOOSE(WEEKDAY(B1864,2),"LUNES","MARTES","MIÉRCOLES","JUEVES","VIERNES","SÁBADO","DOMINGO"))</f>
        <v/>
      </c>
      <c r="M1864" s="23"/>
      <c r="Q1864" s="21" t="str">
        <f aca="false">IF(OR(K1864="",N1864=""),"",K1864-N1864)</f>
        <v/>
      </c>
      <c r="R1864" s="21" t="str">
        <f aca="false">IF(OR(J1864="",K1864=""),"",J1864*K1864)</f>
        <v/>
      </c>
      <c r="S1864" s="21" t="str">
        <f aca="false">IF(AND(ISNUMBER(J1864),ISNUMBER(K1864),F1864&lt;&gt;"Calentamiento",F1864&lt;&gt;"Bilbo"),IF(AND(K1864&gt;0,K1864&lt;=12),ROUND(J1864*(1+(K1864+IF(ISNUMBER(L1864),L1864,0))/30),1),""),"")</f>
        <v/>
      </c>
      <c r="T1864" s="21" t="str">
        <f aca="false">IF(AND(F1864="Bilbo",ISNUMBER(J1864),ISNUMBER(K1864)),ROUND(J1864*(1+K1864/30),1),"")</f>
        <v/>
      </c>
      <c r="W1864" s="22"/>
      <c r="X1864" s="21" t="str">
        <f aca="false">IF(AND(F1864="Bilbo",E1864&lt;&gt;"",G1864&lt;&gt;"",H1864&lt;&gt;""),E1864&amp;"|"&amp;G1864&amp;"|"&amp;H1864,"")</f>
        <v/>
      </c>
      <c r="Y1864" s="21" t="str">
        <f aca="false">IF(B1864="","",IF(B1864&lt;&gt;B1863,1,0))</f>
        <v/>
      </c>
    </row>
    <row r="1865" customFormat="false" ht="15" hidden="false" customHeight="true" outlineLevel="0" collapsed="false">
      <c r="A1865" s="21" t="str">
        <f aca="false">IF(B1865="","",ROW()-4)</f>
        <v/>
      </c>
      <c r="B1865" s="22"/>
      <c r="C1865" s="21" t="str">
        <f aca="false">IF(B1865="","",CHOOSE(WEEKDAY(B1865,2),"LUNES","MARTES","MIÉRCOLES","JUEVES","VIERNES","SÁBADO","DOMINGO"))</f>
        <v/>
      </c>
      <c r="M1865" s="23"/>
      <c r="Q1865" s="21" t="str">
        <f aca="false">IF(OR(K1865="",N1865=""),"",K1865-N1865)</f>
        <v/>
      </c>
      <c r="R1865" s="21" t="str">
        <f aca="false">IF(OR(J1865="",K1865=""),"",J1865*K1865)</f>
        <v/>
      </c>
      <c r="S1865" s="21" t="str">
        <f aca="false">IF(AND(ISNUMBER(J1865),ISNUMBER(K1865),F1865&lt;&gt;"Calentamiento",F1865&lt;&gt;"Bilbo"),IF(AND(K1865&gt;0,K1865&lt;=12),ROUND(J1865*(1+(K1865+IF(ISNUMBER(L1865),L1865,0))/30),1),""),"")</f>
        <v/>
      </c>
      <c r="T1865" s="21" t="str">
        <f aca="false">IF(AND(F1865="Bilbo",ISNUMBER(J1865),ISNUMBER(K1865)),ROUND(J1865*(1+K1865/30),1),"")</f>
        <v/>
      </c>
      <c r="W1865" s="22"/>
      <c r="X1865" s="21" t="str">
        <f aca="false">IF(AND(F1865="Bilbo",E1865&lt;&gt;"",G1865&lt;&gt;"",H1865&lt;&gt;""),E1865&amp;"|"&amp;G1865&amp;"|"&amp;H1865,"")</f>
        <v/>
      </c>
      <c r="Y1865" s="21" t="str">
        <f aca="false">IF(B1865="","",IF(B1865&lt;&gt;B1864,1,0))</f>
        <v/>
      </c>
    </row>
    <row r="1866" customFormat="false" ht="15" hidden="false" customHeight="true" outlineLevel="0" collapsed="false">
      <c r="A1866" s="21" t="str">
        <f aca="false">IF(B1866="","",ROW()-4)</f>
        <v/>
      </c>
      <c r="B1866" s="22"/>
      <c r="C1866" s="21" t="str">
        <f aca="false">IF(B1866="","",CHOOSE(WEEKDAY(B1866,2),"LUNES","MARTES","MIÉRCOLES","JUEVES","VIERNES","SÁBADO","DOMINGO"))</f>
        <v/>
      </c>
      <c r="M1866" s="23"/>
      <c r="Q1866" s="21" t="str">
        <f aca="false">IF(OR(K1866="",N1866=""),"",K1866-N1866)</f>
        <v/>
      </c>
      <c r="R1866" s="21" t="str">
        <f aca="false">IF(OR(J1866="",K1866=""),"",J1866*K1866)</f>
        <v/>
      </c>
      <c r="S1866" s="21" t="str">
        <f aca="false">IF(AND(ISNUMBER(J1866),ISNUMBER(K1866),F1866&lt;&gt;"Calentamiento",F1866&lt;&gt;"Bilbo"),IF(AND(K1866&gt;0,K1866&lt;=12),ROUND(J1866*(1+(K1866+IF(ISNUMBER(L1866),L1866,0))/30),1),""),"")</f>
        <v/>
      </c>
      <c r="T1866" s="21" t="str">
        <f aca="false">IF(AND(F1866="Bilbo",ISNUMBER(J1866),ISNUMBER(K1866)),ROUND(J1866*(1+K1866/30),1),"")</f>
        <v/>
      </c>
      <c r="W1866" s="22"/>
      <c r="X1866" s="21" t="str">
        <f aca="false">IF(AND(F1866="Bilbo",E1866&lt;&gt;"",G1866&lt;&gt;"",H1866&lt;&gt;""),E1866&amp;"|"&amp;G1866&amp;"|"&amp;H1866,"")</f>
        <v/>
      </c>
      <c r="Y1866" s="21" t="str">
        <f aca="false">IF(B1866="","",IF(B1866&lt;&gt;B1865,1,0))</f>
        <v/>
      </c>
    </row>
    <row r="1867" customFormat="false" ht="15" hidden="false" customHeight="true" outlineLevel="0" collapsed="false">
      <c r="A1867" s="21" t="str">
        <f aca="false">IF(B1867="","",ROW()-4)</f>
        <v/>
      </c>
      <c r="B1867" s="22"/>
      <c r="C1867" s="21" t="str">
        <f aca="false">IF(B1867="","",CHOOSE(WEEKDAY(B1867,2),"LUNES","MARTES","MIÉRCOLES","JUEVES","VIERNES","SÁBADO","DOMINGO"))</f>
        <v/>
      </c>
      <c r="M1867" s="23"/>
      <c r="Q1867" s="21" t="str">
        <f aca="false">IF(OR(K1867="",N1867=""),"",K1867-N1867)</f>
        <v/>
      </c>
      <c r="R1867" s="21" t="str">
        <f aca="false">IF(OR(J1867="",K1867=""),"",J1867*K1867)</f>
        <v/>
      </c>
      <c r="S1867" s="21" t="str">
        <f aca="false">IF(AND(ISNUMBER(J1867),ISNUMBER(K1867),F1867&lt;&gt;"Calentamiento",F1867&lt;&gt;"Bilbo"),IF(AND(K1867&gt;0,K1867&lt;=12),ROUND(J1867*(1+(K1867+IF(ISNUMBER(L1867),L1867,0))/30),1),""),"")</f>
        <v/>
      </c>
      <c r="T1867" s="21" t="str">
        <f aca="false">IF(AND(F1867="Bilbo",ISNUMBER(J1867),ISNUMBER(K1867)),ROUND(J1867*(1+K1867/30),1),"")</f>
        <v/>
      </c>
      <c r="W1867" s="22"/>
      <c r="X1867" s="21" t="str">
        <f aca="false">IF(AND(F1867="Bilbo",E1867&lt;&gt;"",G1867&lt;&gt;"",H1867&lt;&gt;""),E1867&amp;"|"&amp;G1867&amp;"|"&amp;H1867,"")</f>
        <v/>
      </c>
      <c r="Y1867" s="21" t="str">
        <f aca="false">IF(B1867="","",IF(B1867&lt;&gt;B1866,1,0))</f>
        <v/>
      </c>
    </row>
    <row r="1868" customFormat="false" ht="15" hidden="false" customHeight="true" outlineLevel="0" collapsed="false">
      <c r="A1868" s="21" t="str">
        <f aca="false">IF(B1868="","",ROW()-4)</f>
        <v/>
      </c>
      <c r="B1868" s="22"/>
      <c r="C1868" s="21" t="str">
        <f aca="false">IF(B1868="","",CHOOSE(WEEKDAY(B1868,2),"LUNES","MARTES","MIÉRCOLES","JUEVES","VIERNES","SÁBADO","DOMINGO"))</f>
        <v/>
      </c>
      <c r="M1868" s="23"/>
      <c r="Q1868" s="21" t="str">
        <f aca="false">IF(OR(K1868="",N1868=""),"",K1868-N1868)</f>
        <v/>
      </c>
      <c r="R1868" s="21" t="str">
        <f aca="false">IF(OR(J1868="",K1868=""),"",J1868*K1868)</f>
        <v/>
      </c>
      <c r="S1868" s="21" t="str">
        <f aca="false">IF(AND(ISNUMBER(J1868),ISNUMBER(K1868),F1868&lt;&gt;"Calentamiento",F1868&lt;&gt;"Bilbo"),IF(AND(K1868&gt;0,K1868&lt;=12),ROUND(J1868*(1+(K1868+IF(ISNUMBER(L1868),L1868,0))/30),1),""),"")</f>
        <v/>
      </c>
      <c r="T1868" s="21" t="str">
        <f aca="false">IF(AND(F1868="Bilbo",ISNUMBER(J1868),ISNUMBER(K1868)),ROUND(J1868*(1+K1868/30),1),"")</f>
        <v/>
      </c>
      <c r="W1868" s="22"/>
      <c r="X1868" s="21" t="str">
        <f aca="false">IF(AND(F1868="Bilbo",E1868&lt;&gt;"",G1868&lt;&gt;"",H1868&lt;&gt;""),E1868&amp;"|"&amp;G1868&amp;"|"&amp;H1868,"")</f>
        <v/>
      </c>
      <c r="Y1868" s="21" t="str">
        <f aca="false">IF(B1868="","",IF(B1868&lt;&gt;B1867,1,0))</f>
        <v/>
      </c>
    </row>
    <row r="1869" customFormat="false" ht="15" hidden="false" customHeight="true" outlineLevel="0" collapsed="false">
      <c r="A1869" s="21" t="str">
        <f aca="false">IF(B1869="","",ROW()-4)</f>
        <v/>
      </c>
      <c r="B1869" s="22"/>
      <c r="C1869" s="21" t="str">
        <f aca="false">IF(B1869="","",CHOOSE(WEEKDAY(B1869,2),"LUNES","MARTES","MIÉRCOLES","JUEVES","VIERNES","SÁBADO","DOMINGO"))</f>
        <v/>
      </c>
      <c r="M1869" s="23"/>
      <c r="Q1869" s="21" t="str">
        <f aca="false">IF(OR(K1869="",N1869=""),"",K1869-N1869)</f>
        <v/>
      </c>
      <c r="R1869" s="21" t="str">
        <f aca="false">IF(OR(J1869="",K1869=""),"",J1869*K1869)</f>
        <v/>
      </c>
      <c r="S1869" s="21" t="str">
        <f aca="false">IF(AND(ISNUMBER(J1869),ISNUMBER(K1869),F1869&lt;&gt;"Calentamiento",F1869&lt;&gt;"Bilbo"),IF(AND(K1869&gt;0,K1869&lt;=12),ROUND(J1869*(1+(K1869+IF(ISNUMBER(L1869),L1869,0))/30),1),""),"")</f>
        <v/>
      </c>
      <c r="T1869" s="21" t="str">
        <f aca="false">IF(AND(F1869="Bilbo",ISNUMBER(J1869),ISNUMBER(K1869)),ROUND(J1869*(1+K1869/30),1),"")</f>
        <v/>
      </c>
      <c r="W1869" s="22"/>
      <c r="X1869" s="21" t="str">
        <f aca="false">IF(AND(F1869="Bilbo",E1869&lt;&gt;"",G1869&lt;&gt;"",H1869&lt;&gt;""),E1869&amp;"|"&amp;G1869&amp;"|"&amp;H1869,"")</f>
        <v/>
      </c>
      <c r="Y1869" s="21" t="str">
        <f aca="false">IF(B1869="","",IF(B1869&lt;&gt;B1868,1,0))</f>
        <v/>
      </c>
    </row>
    <row r="1870" customFormat="false" ht="15" hidden="false" customHeight="true" outlineLevel="0" collapsed="false">
      <c r="A1870" s="21" t="str">
        <f aca="false">IF(B1870="","",ROW()-4)</f>
        <v/>
      </c>
      <c r="B1870" s="22"/>
      <c r="C1870" s="21" t="str">
        <f aca="false">IF(B1870="","",CHOOSE(WEEKDAY(B1870,2),"LUNES","MARTES","MIÉRCOLES","JUEVES","VIERNES","SÁBADO","DOMINGO"))</f>
        <v/>
      </c>
      <c r="M1870" s="23"/>
      <c r="Q1870" s="21" t="str">
        <f aca="false">IF(OR(K1870="",N1870=""),"",K1870-N1870)</f>
        <v/>
      </c>
      <c r="R1870" s="21" t="str">
        <f aca="false">IF(OR(J1870="",K1870=""),"",J1870*K1870)</f>
        <v/>
      </c>
      <c r="S1870" s="21" t="str">
        <f aca="false">IF(AND(ISNUMBER(J1870),ISNUMBER(K1870),F1870&lt;&gt;"Calentamiento",F1870&lt;&gt;"Bilbo"),IF(AND(K1870&gt;0,K1870&lt;=12),ROUND(J1870*(1+(K1870+IF(ISNUMBER(L1870),L1870,0))/30),1),""),"")</f>
        <v/>
      </c>
      <c r="T1870" s="21" t="str">
        <f aca="false">IF(AND(F1870="Bilbo",ISNUMBER(J1870),ISNUMBER(K1870)),ROUND(J1870*(1+K1870/30),1),"")</f>
        <v/>
      </c>
      <c r="W1870" s="22"/>
      <c r="X1870" s="21" t="str">
        <f aca="false">IF(AND(F1870="Bilbo",E1870&lt;&gt;"",G1870&lt;&gt;"",H1870&lt;&gt;""),E1870&amp;"|"&amp;G1870&amp;"|"&amp;H1870,"")</f>
        <v/>
      </c>
      <c r="Y1870" s="21" t="str">
        <f aca="false">IF(B1870="","",IF(B1870&lt;&gt;B1869,1,0))</f>
        <v/>
      </c>
    </row>
    <row r="1871" customFormat="false" ht="15" hidden="false" customHeight="true" outlineLevel="0" collapsed="false">
      <c r="A1871" s="21" t="str">
        <f aca="false">IF(B1871="","",ROW()-4)</f>
        <v/>
      </c>
      <c r="B1871" s="22"/>
      <c r="C1871" s="21" t="str">
        <f aca="false">IF(B1871="","",CHOOSE(WEEKDAY(B1871,2),"LUNES","MARTES","MIÉRCOLES","JUEVES","VIERNES","SÁBADO","DOMINGO"))</f>
        <v/>
      </c>
      <c r="M1871" s="23"/>
      <c r="Q1871" s="21" t="str">
        <f aca="false">IF(OR(K1871="",N1871=""),"",K1871-N1871)</f>
        <v/>
      </c>
      <c r="R1871" s="21" t="str">
        <f aca="false">IF(OR(J1871="",K1871=""),"",J1871*K1871)</f>
        <v/>
      </c>
      <c r="S1871" s="21" t="str">
        <f aca="false">IF(AND(ISNUMBER(J1871),ISNUMBER(K1871),F1871&lt;&gt;"Calentamiento",F1871&lt;&gt;"Bilbo"),IF(AND(K1871&gt;0,K1871&lt;=12),ROUND(J1871*(1+(K1871+IF(ISNUMBER(L1871),L1871,0))/30),1),""),"")</f>
        <v/>
      </c>
      <c r="T1871" s="21" t="str">
        <f aca="false">IF(AND(F1871="Bilbo",ISNUMBER(J1871),ISNUMBER(K1871)),ROUND(J1871*(1+K1871/30),1),"")</f>
        <v/>
      </c>
      <c r="W1871" s="22"/>
      <c r="X1871" s="21" t="str">
        <f aca="false">IF(AND(F1871="Bilbo",E1871&lt;&gt;"",G1871&lt;&gt;"",H1871&lt;&gt;""),E1871&amp;"|"&amp;G1871&amp;"|"&amp;H1871,"")</f>
        <v/>
      </c>
      <c r="Y1871" s="21" t="str">
        <f aca="false">IF(B1871="","",IF(B1871&lt;&gt;B1870,1,0))</f>
        <v/>
      </c>
    </row>
    <row r="1872" customFormat="false" ht="15" hidden="false" customHeight="true" outlineLevel="0" collapsed="false">
      <c r="A1872" s="21" t="str">
        <f aca="false">IF(B1872="","",ROW()-4)</f>
        <v/>
      </c>
      <c r="B1872" s="22"/>
      <c r="C1872" s="21" t="str">
        <f aca="false">IF(B1872="","",CHOOSE(WEEKDAY(B1872,2),"LUNES","MARTES","MIÉRCOLES","JUEVES","VIERNES","SÁBADO","DOMINGO"))</f>
        <v/>
      </c>
      <c r="M1872" s="23"/>
      <c r="Q1872" s="21" t="str">
        <f aca="false">IF(OR(K1872="",N1872=""),"",K1872-N1872)</f>
        <v/>
      </c>
      <c r="R1872" s="21" t="str">
        <f aca="false">IF(OR(J1872="",K1872=""),"",J1872*K1872)</f>
        <v/>
      </c>
      <c r="S1872" s="21" t="str">
        <f aca="false">IF(AND(ISNUMBER(J1872),ISNUMBER(K1872),F1872&lt;&gt;"Calentamiento",F1872&lt;&gt;"Bilbo"),IF(AND(K1872&gt;0,K1872&lt;=12),ROUND(J1872*(1+(K1872+IF(ISNUMBER(L1872),L1872,0))/30),1),""),"")</f>
        <v/>
      </c>
      <c r="T1872" s="21" t="str">
        <f aca="false">IF(AND(F1872="Bilbo",ISNUMBER(J1872),ISNUMBER(K1872)),ROUND(J1872*(1+K1872/30),1),"")</f>
        <v/>
      </c>
      <c r="W1872" s="22"/>
      <c r="X1872" s="21" t="str">
        <f aca="false">IF(AND(F1872="Bilbo",E1872&lt;&gt;"",G1872&lt;&gt;"",H1872&lt;&gt;""),E1872&amp;"|"&amp;G1872&amp;"|"&amp;H1872,"")</f>
        <v/>
      </c>
      <c r="Y1872" s="21" t="str">
        <f aca="false">IF(B1872="","",IF(B1872&lt;&gt;B1871,1,0))</f>
        <v/>
      </c>
    </row>
    <row r="1873" customFormat="false" ht="15" hidden="false" customHeight="true" outlineLevel="0" collapsed="false">
      <c r="A1873" s="21" t="str">
        <f aca="false">IF(B1873="","",ROW()-4)</f>
        <v/>
      </c>
      <c r="B1873" s="22"/>
      <c r="C1873" s="21" t="str">
        <f aca="false">IF(B1873="","",CHOOSE(WEEKDAY(B1873,2),"LUNES","MARTES","MIÉRCOLES","JUEVES","VIERNES","SÁBADO","DOMINGO"))</f>
        <v/>
      </c>
      <c r="M1873" s="23"/>
      <c r="Q1873" s="21" t="str">
        <f aca="false">IF(OR(K1873="",N1873=""),"",K1873-N1873)</f>
        <v/>
      </c>
      <c r="R1873" s="21" t="str">
        <f aca="false">IF(OR(J1873="",K1873=""),"",J1873*K1873)</f>
        <v/>
      </c>
      <c r="S1873" s="21" t="str">
        <f aca="false">IF(AND(ISNUMBER(J1873),ISNUMBER(K1873),F1873&lt;&gt;"Calentamiento",F1873&lt;&gt;"Bilbo"),IF(AND(K1873&gt;0,K1873&lt;=12),ROUND(J1873*(1+(K1873+IF(ISNUMBER(L1873),L1873,0))/30),1),""),"")</f>
        <v/>
      </c>
      <c r="T1873" s="21" t="str">
        <f aca="false">IF(AND(F1873="Bilbo",ISNUMBER(J1873),ISNUMBER(K1873)),ROUND(J1873*(1+K1873/30),1),"")</f>
        <v/>
      </c>
      <c r="W1873" s="22"/>
      <c r="X1873" s="21" t="str">
        <f aca="false">IF(AND(F1873="Bilbo",E1873&lt;&gt;"",G1873&lt;&gt;"",H1873&lt;&gt;""),E1873&amp;"|"&amp;G1873&amp;"|"&amp;H1873,"")</f>
        <v/>
      </c>
      <c r="Y1873" s="21" t="str">
        <f aca="false">IF(B1873="","",IF(B1873&lt;&gt;B1872,1,0))</f>
        <v/>
      </c>
    </row>
    <row r="1874" customFormat="false" ht="15" hidden="false" customHeight="true" outlineLevel="0" collapsed="false">
      <c r="A1874" s="21" t="str">
        <f aca="false">IF(B1874="","",ROW()-4)</f>
        <v/>
      </c>
      <c r="B1874" s="22"/>
      <c r="C1874" s="21" t="str">
        <f aca="false">IF(B1874="","",CHOOSE(WEEKDAY(B1874,2),"LUNES","MARTES","MIÉRCOLES","JUEVES","VIERNES","SÁBADO","DOMINGO"))</f>
        <v/>
      </c>
      <c r="M1874" s="23"/>
      <c r="Q1874" s="21" t="str">
        <f aca="false">IF(OR(K1874="",N1874=""),"",K1874-N1874)</f>
        <v/>
      </c>
      <c r="R1874" s="21" t="str">
        <f aca="false">IF(OR(J1874="",K1874=""),"",J1874*K1874)</f>
        <v/>
      </c>
      <c r="S1874" s="21" t="str">
        <f aca="false">IF(AND(ISNUMBER(J1874),ISNUMBER(K1874),F1874&lt;&gt;"Calentamiento",F1874&lt;&gt;"Bilbo"),IF(AND(K1874&gt;0,K1874&lt;=12),ROUND(J1874*(1+(K1874+IF(ISNUMBER(L1874),L1874,0))/30),1),""),"")</f>
        <v/>
      </c>
      <c r="T1874" s="21" t="str">
        <f aca="false">IF(AND(F1874="Bilbo",ISNUMBER(J1874),ISNUMBER(K1874)),ROUND(J1874*(1+K1874/30),1),"")</f>
        <v/>
      </c>
      <c r="W1874" s="22"/>
      <c r="X1874" s="21" t="str">
        <f aca="false">IF(AND(F1874="Bilbo",E1874&lt;&gt;"",G1874&lt;&gt;"",H1874&lt;&gt;""),E1874&amp;"|"&amp;G1874&amp;"|"&amp;H1874,"")</f>
        <v/>
      </c>
      <c r="Y1874" s="21" t="str">
        <f aca="false">IF(B1874="","",IF(B1874&lt;&gt;B1873,1,0))</f>
        <v/>
      </c>
    </row>
    <row r="1875" customFormat="false" ht="15" hidden="false" customHeight="true" outlineLevel="0" collapsed="false">
      <c r="A1875" s="21" t="str">
        <f aca="false">IF(B1875="","",ROW()-4)</f>
        <v/>
      </c>
      <c r="B1875" s="22"/>
      <c r="C1875" s="21" t="str">
        <f aca="false">IF(B1875="","",CHOOSE(WEEKDAY(B1875,2),"LUNES","MARTES","MIÉRCOLES","JUEVES","VIERNES","SÁBADO","DOMINGO"))</f>
        <v/>
      </c>
      <c r="M1875" s="23"/>
      <c r="Q1875" s="21" t="str">
        <f aca="false">IF(OR(K1875="",N1875=""),"",K1875-N1875)</f>
        <v/>
      </c>
      <c r="R1875" s="21" t="str">
        <f aca="false">IF(OR(J1875="",K1875=""),"",J1875*K1875)</f>
        <v/>
      </c>
      <c r="S1875" s="21" t="str">
        <f aca="false">IF(AND(ISNUMBER(J1875),ISNUMBER(K1875),F1875&lt;&gt;"Calentamiento",F1875&lt;&gt;"Bilbo"),IF(AND(K1875&gt;0,K1875&lt;=12),ROUND(J1875*(1+(K1875+IF(ISNUMBER(L1875),L1875,0))/30),1),""),"")</f>
        <v/>
      </c>
      <c r="T1875" s="21" t="str">
        <f aca="false">IF(AND(F1875="Bilbo",ISNUMBER(J1875),ISNUMBER(K1875)),ROUND(J1875*(1+K1875/30),1),"")</f>
        <v/>
      </c>
      <c r="W1875" s="22"/>
      <c r="X1875" s="21" t="str">
        <f aca="false">IF(AND(F1875="Bilbo",E1875&lt;&gt;"",G1875&lt;&gt;"",H1875&lt;&gt;""),E1875&amp;"|"&amp;G1875&amp;"|"&amp;H1875,"")</f>
        <v/>
      </c>
      <c r="Y1875" s="21" t="str">
        <f aca="false">IF(B1875="","",IF(B1875&lt;&gt;B1874,1,0))</f>
        <v/>
      </c>
    </row>
    <row r="1876" customFormat="false" ht="15" hidden="false" customHeight="true" outlineLevel="0" collapsed="false">
      <c r="A1876" s="21" t="str">
        <f aca="false">IF(B1876="","",ROW()-4)</f>
        <v/>
      </c>
      <c r="B1876" s="22"/>
      <c r="C1876" s="21" t="str">
        <f aca="false">IF(B1876="","",CHOOSE(WEEKDAY(B1876,2),"LUNES","MARTES","MIÉRCOLES","JUEVES","VIERNES","SÁBADO","DOMINGO"))</f>
        <v/>
      </c>
      <c r="M1876" s="23"/>
      <c r="Q1876" s="21" t="str">
        <f aca="false">IF(OR(K1876="",N1876=""),"",K1876-N1876)</f>
        <v/>
      </c>
      <c r="R1876" s="21" t="str">
        <f aca="false">IF(OR(J1876="",K1876=""),"",J1876*K1876)</f>
        <v/>
      </c>
      <c r="S1876" s="21" t="str">
        <f aca="false">IF(AND(ISNUMBER(J1876),ISNUMBER(K1876),F1876&lt;&gt;"Calentamiento",F1876&lt;&gt;"Bilbo"),IF(AND(K1876&gt;0,K1876&lt;=12),ROUND(J1876*(1+(K1876+IF(ISNUMBER(L1876),L1876,0))/30),1),""),"")</f>
        <v/>
      </c>
      <c r="T1876" s="21" t="str">
        <f aca="false">IF(AND(F1876="Bilbo",ISNUMBER(J1876),ISNUMBER(K1876)),ROUND(J1876*(1+K1876/30),1),"")</f>
        <v/>
      </c>
      <c r="W1876" s="22"/>
      <c r="X1876" s="21" t="str">
        <f aca="false">IF(AND(F1876="Bilbo",E1876&lt;&gt;"",G1876&lt;&gt;"",H1876&lt;&gt;""),E1876&amp;"|"&amp;G1876&amp;"|"&amp;H1876,"")</f>
        <v/>
      </c>
      <c r="Y1876" s="21" t="str">
        <f aca="false">IF(B1876="","",IF(B1876&lt;&gt;B1875,1,0))</f>
        <v/>
      </c>
    </row>
    <row r="1877" customFormat="false" ht="15" hidden="false" customHeight="true" outlineLevel="0" collapsed="false">
      <c r="A1877" s="21" t="str">
        <f aca="false">IF(B1877="","",ROW()-4)</f>
        <v/>
      </c>
      <c r="B1877" s="22"/>
      <c r="C1877" s="21" t="str">
        <f aca="false">IF(B1877="","",CHOOSE(WEEKDAY(B1877,2),"LUNES","MARTES","MIÉRCOLES","JUEVES","VIERNES","SÁBADO","DOMINGO"))</f>
        <v/>
      </c>
      <c r="M1877" s="23"/>
      <c r="Q1877" s="21" t="str">
        <f aca="false">IF(OR(K1877="",N1877=""),"",K1877-N1877)</f>
        <v/>
      </c>
      <c r="R1877" s="21" t="str">
        <f aca="false">IF(OR(J1877="",K1877=""),"",J1877*K1877)</f>
        <v/>
      </c>
      <c r="S1877" s="21" t="str">
        <f aca="false">IF(AND(ISNUMBER(J1877),ISNUMBER(K1877),F1877&lt;&gt;"Calentamiento",F1877&lt;&gt;"Bilbo"),IF(AND(K1877&gt;0,K1877&lt;=12),ROUND(J1877*(1+(K1877+IF(ISNUMBER(L1877),L1877,0))/30),1),""),"")</f>
        <v/>
      </c>
      <c r="T1877" s="21" t="str">
        <f aca="false">IF(AND(F1877="Bilbo",ISNUMBER(J1877),ISNUMBER(K1877)),ROUND(J1877*(1+K1877/30),1),"")</f>
        <v/>
      </c>
      <c r="W1877" s="22"/>
      <c r="X1877" s="21" t="str">
        <f aca="false">IF(AND(F1877="Bilbo",E1877&lt;&gt;"",G1877&lt;&gt;"",H1877&lt;&gt;""),E1877&amp;"|"&amp;G1877&amp;"|"&amp;H1877,"")</f>
        <v/>
      </c>
      <c r="Y1877" s="21" t="str">
        <f aca="false">IF(B1877="","",IF(B1877&lt;&gt;B1876,1,0))</f>
        <v/>
      </c>
    </row>
    <row r="1878" customFormat="false" ht="15" hidden="false" customHeight="true" outlineLevel="0" collapsed="false">
      <c r="A1878" s="21" t="str">
        <f aca="false">IF(B1878="","",ROW()-4)</f>
        <v/>
      </c>
      <c r="B1878" s="22"/>
      <c r="C1878" s="21" t="str">
        <f aca="false">IF(B1878="","",CHOOSE(WEEKDAY(B1878,2),"LUNES","MARTES","MIÉRCOLES","JUEVES","VIERNES","SÁBADO","DOMINGO"))</f>
        <v/>
      </c>
      <c r="M1878" s="23"/>
      <c r="Q1878" s="21" t="str">
        <f aca="false">IF(OR(K1878="",N1878=""),"",K1878-N1878)</f>
        <v/>
      </c>
      <c r="R1878" s="21" t="str">
        <f aca="false">IF(OR(J1878="",K1878=""),"",J1878*K1878)</f>
        <v/>
      </c>
      <c r="S1878" s="21" t="str">
        <f aca="false">IF(AND(ISNUMBER(J1878),ISNUMBER(K1878),F1878&lt;&gt;"Calentamiento",F1878&lt;&gt;"Bilbo"),IF(AND(K1878&gt;0,K1878&lt;=12),ROUND(J1878*(1+(K1878+IF(ISNUMBER(L1878),L1878,0))/30),1),""),"")</f>
        <v/>
      </c>
      <c r="T1878" s="21" t="str">
        <f aca="false">IF(AND(F1878="Bilbo",ISNUMBER(J1878),ISNUMBER(K1878)),ROUND(J1878*(1+K1878/30),1),"")</f>
        <v/>
      </c>
      <c r="W1878" s="22"/>
      <c r="X1878" s="21" t="str">
        <f aca="false">IF(AND(F1878="Bilbo",E1878&lt;&gt;"",G1878&lt;&gt;"",H1878&lt;&gt;""),E1878&amp;"|"&amp;G1878&amp;"|"&amp;H1878,"")</f>
        <v/>
      </c>
      <c r="Y1878" s="21" t="str">
        <f aca="false">IF(B1878="","",IF(B1878&lt;&gt;B1877,1,0))</f>
        <v/>
      </c>
    </row>
    <row r="1879" customFormat="false" ht="15" hidden="false" customHeight="true" outlineLevel="0" collapsed="false">
      <c r="A1879" s="21" t="str">
        <f aca="false">IF(B1879="","",ROW()-4)</f>
        <v/>
      </c>
      <c r="B1879" s="22"/>
      <c r="C1879" s="21" t="str">
        <f aca="false">IF(B1879="","",CHOOSE(WEEKDAY(B1879,2),"LUNES","MARTES","MIÉRCOLES","JUEVES","VIERNES","SÁBADO","DOMINGO"))</f>
        <v/>
      </c>
      <c r="M1879" s="23"/>
      <c r="Q1879" s="21" t="str">
        <f aca="false">IF(OR(K1879="",N1879=""),"",K1879-N1879)</f>
        <v/>
      </c>
      <c r="R1879" s="21" t="str">
        <f aca="false">IF(OR(J1879="",K1879=""),"",J1879*K1879)</f>
        <v/>
      </c>
      <c r="S1879" s="21" t="str">
        <f aca="false">IF(AND(ISNUMBER(J1879),ISNUMBER(K1879),F1879&lt;&gt;"Calentamiento",F1879&lt;&gt;"Bilbo"),IF(AND(K1879&gt;0,K1879&lt;=12),ROUND(J1879*(1+(K1879+IF(ISNUMBER(L1879),L1879,0))/30),1),""),"")</f>
        <v/>
      </c>
      <c r="T1879" s="21" t="str">
        <f aca="false">IF(AND(F1879="Bilbo",ISNUMBER(J1879),ISNUMBER(K1879)),ROUND(J1879*(1+K1879/30),1),"")</f>
        <v/>
      </c>
      <c r="W1879" s="22"/>
      <c r="X1879" s="21" t="str">
        <f aca="false">IF(AND(F1879="Bilbo",E1879&lt;&gt;"",G1879&lt;&gt;"",H1879&lt;&gt;""),E1879&amp;"|"&amp;G1879&amp;"|"&amp;H1879,"")</f>
        <v/>
      </c>
      <c r="Y1879" s="21" t="str">
        <f aca="false">IF(B1879="","",IF(B1879&lt;&gt;B1878,1,0))</f>
        <v/>
      </c>
    </row>
    <row r="1880" customFormat="false" ht="15" hidden="false" customHeight="true" outlineLevel="0" collapsed="false">
      <c r="A1880" s="21" t="str">
        <f aca="false">IF(B1880="","",ROW()-4)</f>
        <v/>
      </c>
      <c r="B1880" s="22"/>
      <c r="C1880" s="21" t="str">
        <f aca="false">IF(B1880="","",CHOOSE(WEEKDAY(B1880,2),"LUNES","MARTES","MIÉRCOLES","JUEVES","VIERNES","SÁBADO","DOMINGO"))</f>
        <v/>
      </c>
      <c r="M1880" s="23"/>
      <c r="Q1880" s="21" t="str">
        <f aca="false">IF(OR(K1880="",N1880=""),"",K1880-N1880)</f>
        <v/>
      </c>
      <c r="R1880" s="21" t="str">
        <f aca="false">IF(OR(J1880="",K1880=""),"",J1880*K1880)</f>
        <v/>
      </c>
      <c r="S1880" s="21" t="str">
        <f aca="false">IF(AND(ISNUMBER(J1880),ISNUMBER(K1880),F1880&lt;&gt;"Calentamiento",F1880&lt;&gt;"Bilbo"),IF(AND(K1880&gt;0,K1880&lt;=12),ROUND(J1880*(1+(K1880+IF(ISNUMBER(L1880),L1880,0))/30),1),""),"")</f>
        <v/>
      </c>
      <c r="T1880" s="21" t="str">
        <f aca="false">IF(AND(F1880="Bilbo",ISNUMBER(J1880),ISNUMBER(K1880)),ROUND(J1880*(1+K1880/30),1),"")</f>
        <v/>
      </c>
      <c r="W1880" s="22"/>
      <c r="X1880" s="21" t="str">
        <f aca="false">IF(AND(F1880="Bilbo",E1880&lt;&gt;"",G1880&lt;&gt;"",H1880&lt;&gt;""),E1880&amp;"|"&amp;G1880&amp;"|"&amp;H1880,"")</f>
        <v/>
      </c>
      <c r="Y1880" s="21" t="str">
        <f aca="false">IF(B1880="","",IF(B1880&lt;&gt;B1879,1,0))</f>
        <v/>
      </c>
    </row>
    <row r="1881" customFormat="false" ht="15" hidden="false" customHeight="true" outlineLevel="0" collapsed="false">
      <c r="A1881" s="21" t="str">
        <f aca="false">IF(B1881="","",ROW()-4)</f>
        <v/>
      </c>
      <c r="B1881" s="22"/>
      <c r="C1881" s="21" t="str">
        <f aca="false">IF(B1881="","",CHOOSE(WEEKDAY(B1881,2),"LUNES","MARTES","MIÉRCOLES","JUEVES","VIERNES","SÁBADO","DOMINGO"))</f>
        <v/>
      </c>
      <c r="M1881" s="23"/>
      <c r="Q1881" s="21" t="str">
        <f aca="false">IF(OR(K1881="",N1881=""),"",K1881-N1881)</f>
        <v/>
      </c>
      <c r="R1881" s="21" t="str">
        <f aca="false">IF(OR(J1881="",K1881=""),"",J1881*K1881)</f>
        <v/>
      </c>
      <c r="S1881" s="21" t="str">
        <f aca="false">IF(AND(ISNUMBER(J1881),ISNUMBER(K1881),F1881&lt;&gt;"Calentamiento",F1881&lt;&gt;"Bilbo"),IF(AND(K1881&gt;0,K1881&lt;=12),ROUND(J1881*(1+(K1881+IF(ISNUMBER(L1881),L1881,0))/30),1),""),"")</f>
        <v/>
      </c>
      <c r="T1881" s="21" t="str">
        <f aca="false">IF(AND(F1881="Bilbo",ISNUMBER(J1881),ISNUMBER(K1881)),ROUND(J1881*(1+K1881/30),1),"")</f>
        <v/>
      </c>
      <c r="W1881" s="22"/>
      <c r="X1881" s="21" t="str">
        <f aca="false">IF(AND(F1881="Bilbo",E1881&lt;&gt;"",G1881&lt;&gt;"",H1881&lt;&gt;""),E1881&amp;"|"&amp;G1881&amp;"|"&amp;H1881,"")</f>
        <v/>
      </c>
      <c r="Y1881" s="21" t="str">
        <f aca="false">IF(B1881="","",IF(B1881&lt;&gt;B1880,1,0))</f>
        <v/>
      </c>
    </row>
    <row r="1882" customFormat="false" ht="15" hidden="false" customHeight="true" outlineLevel="0" collapsed="false">
      <c r="A1882" s="21" t="str">
        <f aca="false">IF(B1882="","",ROW()-4)</f>
        <v/>
      </c>
      <c r="B1882" s="22"/>
      <c r="C1882" s="21" t="str">
        <f aca="false">IF(B1882="","",CHOOSE(WEEKDAY(B1882,2),"LUNES","MARTES","MIÉRCOLES","JUEVES","VIERNES","SÁBADO","DOMINGO"))</f>
        <v/>
      </c>
      <c r="M1882" s="23"/>
      <c r="Q1882" s="21" t="str">
        <f aca="false">IF(OR(K1882="",N1882=""),"",K1882-N1882)</f>
        <v/>
      </c>
      <c r="R1882" s="21" t="str">
        <f aca="false">IF(OR(J1882="",K1882=""),"",J1882*K1882)</f>
        <v/>
      </c>
      <c r="S1882" s="21" t="str">
        <f aca="false">IF(AND(ISNUMBER(J1882),ISNUMBER(K1882),F1882&lt;&gt;"Calentamiento",F1882&lt;&gt;"Bilbo"),IF(AND(K1882&gt;0,K1882&lt;=12),ROUND(J1882*(1+(K1882+IF(ISNUMBER(L1882),L1882,0))/30),1),""),"")</f>
        <v/>
      </c>
      <c r="T1882" s="21" t="str">
        <f aca="false">IF(AND(F1882="Bilbo",ISNUMBER(J1882),ISNUMBER(K1882)),ROUND(J1882*(1+K1882/30),1),"")</f>
        <v/>
      </c>
      <c r="W1882" s="22"/>
      <c r="X1882" s="21" t="str">
        <f aca="false">IF(AND(F1882="Bilbo",E1882&lt;&gt;"",G1882&lt;&gt;"",H1882&lt;&gt;""),E1882&amp;"|"&amp;G1882&amp;"|"&amp;H1882,"")</f>
        <v/>
      </c>
      <c r="Y1882" s="21" t="str">
        <f aca="false">IF(B1882="","",IF(B1882&lt;&gt;B1881,1,0))</f>
        <v/>
      </c>
    </row>
    <row r="1883" customFormat="false" ht="15" hidden="false" customHeight="true" outlineLevel="0" collapsed="false">
      <c r="A1883" s="21" t="str">
        <f aca="false">IF(B1883="","",ROW()-4)</f>
        <v/>
      </c>
      <c r="B1883" s="22"/>
      <c r="C1883" s="21" t="str">
        <f aca="false">IF(B1883="","",CHOOSE(WEEKDAY(B1883,2),"LUNES","MARTES","MIÉRCOLES","JUEVES","VIERNES","SÁBADO","DOMINGO"))</f>
        <v/>
      </c>
      <c r="M1883" s="23"/>
      <c r="Q1883" s="21" t="str">
        <f aca="false">IF(OR(K1883="",N1883=""),"",K1883-N1883)</f>
        <v/>
      </c>
      <c r="R1883" s="21" t="str">
        <f aca="false">IF(OR(J1883="",K1883=""),"",J1883*K1883)</f>
        <v/>
      </c>
      <c r="S1883" s="21" t="str">
        <f aca="false">IF(AND(ISNUMBER(J1883),ISNUMBER(K1883),F1883&lt;&gt;"Calentamiento",F1883&lt;&gt;"Bilbo"),IF(AND(K1883&gt;0,K1883&lt;=12),ROUND(J1883*(1+(K1883+IF(ISNUMBER(L1883),L1883,0))/30),1),""),"")</f>
        <v/>
      </c>
      <c r="T1883" s="21" t="str">
        <f aca="false">IF(AND(F1883="Bilbo",ISNUMBER(J1883),ISNUMBER(K1883)),ROUND(J1883*(1+K1883/30),1),"")</f>
        <v/>
      </c>
      <c r="W1883" s="22"/>
      <c r="X1883" s="21" t="str">
        <f aca="false">IF(AND(F1883="Bilbo",E1883&lt;&gt;"",G1883&lt;&gt;"",H1883&lt;&gt;""),E1883&amp;"|"&amp;G1883&amp;"|"&amp;H1883,"")</f>
        <v/>
      </c>
      <c r="Y1883" s="21" t="str">
        <f aca="false">IF(B1883="","",IF(B1883&lt;&gt;B1882,1,0))</f>
        <v/>
      </c>
    </row>
    <row r="1884" customFormat="false" ht="15" hidden="false" customHeight="true" outlineLevel="0" collapsed="false">
      <c r="A1884" s="21" t="str">
        <f aca="false">IF(B1884="","",ROW()-4)</f>
        <v/>
      </c>
      <c r="B1884" s="22"/>
      <c r="C1884" s="21" t="str">
        <f aca="false">IF(B1884="","",CHOOSE(WEEKDAY(B1884,2),"LUNES","MARTES","MIÉRCOLES","JUEVES","VIERNES","SÁBADO","DOMINGO"))</f>
        <v/>
      </c>
      <c r="M1884" s="23"/>
      <c r="Q1884" s="21" t="str">
        <f aca="false">IF(OR(K1884="",N1884=""),"",K1884-N1884)</f>
        <v/>
      </c>
      <c r="R1884" s="21" t="str">
        <f aca="false">IF(OR(J1884="",K1884=""),"",J1884*K1884)</f>
        <v/>
      </c>
      <c r="S1884" s="21" t="str">
        <f aca="false">IF(AND(ISNUMBER(J1884),ISNUMBER(K1884),F1884&lt;&gt;"Calentamiento",F1884&lt;&gt;"Bilbo"),IF(AND(K1884&gt;0,K1884&lt;=12),ROUND(J1884*(1+(K1884+IF(ISNUMBER(L1884),L1884,0))/30),1),""),"")</f>
        <v/>
      </c>
      <c r="T1884" s="21" t="str">
        <f aca="false">IF(AND(F1884="Bilbo",ISNUMBER(J1884),ISNUMBER(K1884)),ROUND(J1884*(1+K1884/30),1),"")</f>
        <v/>
      </c>
      <c r="W1884" s="22"/>
      <c r="X1884" s="21" t="str">
        <f aca="false">IF(AND(F1884="Bilbo",E1884&lt;&gt;"",G1884&lt;&gt;"",H1884&lt;&gt;""),E1884&amp;"|"&amp;G1884&amp;"|"&amp;H1884,"")</f>
        <v/>
      </c>
      <c r="Y1884" s="21" t="str">
        <f aca="false">IF(B1884="","",IF(B1884&lt;&gt;B1883,1,0))</f>
        <v/>
      </c>
    </row>
    <row r="1885" customFormat="false" ht="15" hidden="false" customHeight="true" outlineLevel="0" collapsed="false">
      <c r="A1885" s="21" t="str">
        <f aca="false">IF(B1885="","",ROW()-4)</f>
        <v/>
      </c>
      <c r="B1885" s="22"/>
      <c r="C1885" s="21" t="str">
        <f aca="false">IF(B1885="","",CHOOSE(WEEKDAY(B1885,2),"LUNES","MARTES","MIÉRCOLES","JUEVES","VIERNES","SÁBADO","DOMINGO"))</f>
        <v/>
      </c>
      <c r="M1885" s="23"/>
      <c r="Q1885" s="21" t="str">
        <f aca="false">IF(OR(K1885="",N1885=""),"",K1885-N1885)</f>
        <v/>
      </c>
      <c r="R1885" s="21" t="str">
        <f aca="false">IF(OR(J1885="",K1885=""),"",J1885*K1885)</f>
        <v/>
      </c>
      <c r="S1885" s="21" t="str">
        <f aca="false">IF(AND(ISNUMBER(J1885),ISNUMBER(K1885),F1885&lt;&gt;"Calentamiento",F1885&lt;&gt;"Bilbo"),IF(AND(K1885&gt;0,K1885&lt;=12),ROUND(J1885*(1+(K1885+IF(ISNUMBER(L1885),L1885,0))/30),1),""),"")</f>
        <v/>
      </c>
      <c r="T1885" s="21" t="str">
        <f aca="false">IF(AND(F1885="Bilbo",ISNUMBER(J1885),ISNUMBER(K1885)),ROUND(J1885*(1+K1885/30),1),"")</f>
        <v/>
      </c>
      <c r="W1885" s="22"/>
      <c r="X1885" s="21" t="str">
        <f aca="false">IF(AND(F1885="Bilbo",E1885&lt;&gt;"",G1885&lt;&gt;"",H1885&lt;&gt;""),E1885&amp;"|"&amp;G1885&amp;"|"&amp;H1885,"")</f>
        <v/>
      </c>
      <c r="Y1885" s="21" t="str">
        <f aca="false">IF(B1885="","",IF(B1885&lt;&gt;B1884,1,0))</f>
        <v/>
      </c>
    </row>
    <row r="1886" customFormat="false" ht="15" hidden="false" customHeight="true" outlineLevel="0" collapsed="false">
      <c r="A1886" s="21" t="str">
        <f aca="false">IF(B1886="","",ROW()-4)</f>
        <v/>
      </c>
      <c r="B1886" s="22"/>
      <c r="C1886" s="21" t="str">
        <f aca="false">IF(B1886="","",CHOOSE(WEEKDAY(B1886,2),"LUNES","MARTES","MIÉRCOLES","JUEVES","VIERNES","SÁBADO","DOMINGO"))</f>
        <v/>
      </c>
      <c r="M1886" s="23"/>
      <c r="Q1886" s="21" t="str">
        <f aca="false">IF(OR(K1886="",N1886=""),"",K1886-N1886)</f>
        <v/>
      </c>
      <c r="R1886" s="21" t="str">
        <f aca="false">IF(OR(J1886="",K1886=""),"",J1886*K1886)</f>
        <v/>
      </c>
      <c r="S1886" s="21" t="str">
        <f aca="false">IF(AND(ISNUMBER(J1886),ISNUMBER(K1886),F1886&lt;&gt;"Calentamiento",F1886&lt;&gt;"Bilbo"),IF(AND(K1886&gt;0,K1886&lt;=12),ROUND(J1886*(1+(K1886+IF(ISNUMBER(L1886),L1886,0))/30),1),""),"")</f>
        <v/>
      </c>
      <c r="T1886" s="21" t="str">
        <f aca="false">IF(AND(F1886="Bilbo",ISNUMBER(J1886),ISNUMBER(K1886)),ROUND(J1886*(1+K1886/30),1),"")</f>
        <v/>
      </c>
      <c r="W1886" s="22"/>
      <c r="X1886" s="21" t="str">
        <f aca="false">IF(AND(F1886="Bilbo",E1886&lt;&gt;"",G1886&lt;&gt;"",H1886&lt;&gt;""),E1886&amp;"|"&amp;G1886&amp;"|"&amp;H1886,"")</f>
        <v/>
      </c>
      <c r="Y1886" s="21" t="str">
        <f aca="false">IF(B1886="","",IF(B1886&lt;&gt;B1885,1,0))</f>
        <v/>
      </c>
    </row>
    <row r="1887" customFormat="false" ht="15" hidden="false" customHeight="true" outlineLevel="0" collapsed="false">
      <c r="A1887" s="21" t="str">
        <f aca="false">IF(B1887="","",ROW()-4)</f>
        <v/>
      </c>
      <c r="B1887" s="22"/>
      <c r="C1887" s="21" t="str">
        <f aca="false">IF(B1887="","",CHOOSE(WEEKDAY(B1887,2),"LUNES","MARTES","MIÉRCOLES","JUEVES","VIERNES","SÁBADO","DOMINGO"))</f>
        <v/>
      </c>
      <c r="M1887" s="23"/>
      <c r="Q1887" s="21" t="str">
        <f aca="false">IF(OR(K1887="",N1887=""),"",K1887-N1887)</f>
        <v/>
      </c>
      <c r="R1887" s="21" t="str">
        <f aca="false">IF(OR(J1887="",K1887=""),"",J1887*K1887)</f>
        <v/>
      </c>
      <c r="S1887" s="21" t="str">
        <f aca="false">IF(AND(ISNUMBER(J1887),ISNUMBER(K1887),F1887&lt;&gt;"Calentamiento",F1887&lt;&gt;"Bilbo"),IF(AND(K1887&gt;0,K1887&lt;=12),ROUND(J1887*(1+(K1887+IF(ISNUMBER(L1887),L1887,0))/30),1),""),"")</f>
        <v/>
      </c>
      <c r="T1887" s="21" t="str">
        <f aca="false">IF(AND(F1887="Bilbo",ISNUMBER(J1887),ISNUMBER(K1887)),ROUND(J1887*(1+K1887/30),1),"")</f>
        <v/>
      </c>
      <c r="W1887" s="22"/>
      <c r="X1887" s="21" t="str">
        <f aca="false">IF(AND(F1887="Bilbo",E1887&lt;&gt;"",G1887&lt;&gt;"",H1887&lt;&gt;""),E1887&amp;"|"&amp;G1887&amp;"|"&amp;H1887,"")</f>
        <v/>
      </c>
      <c r="Y1887" s="21" t="str">
        <f aca="false">IF(B1887="","",IF(B1887&lt;&gt;B1886,1,0))</f>
        <v/>
      </c>
    </row>
    <row r="1888" customFormat="false" ht="15" hidden="false" customHeight="true" outlineLevel="0" collapsed="false">
      <c r="A1888" s="21" t="str">
        <f aca="false">IF(B1888="","",ROW()-4)</f>
        <v/>
      </c>
      <c r="B1888" s="22"/>
      <c r="C1888" s="21" t="str">
        <f aca="false">IF(B1888="","",CHOOSE(WEEKDAY(B1888,2),"LUNES","MARTES","MIÉRCOLES","JUEVES","VIERNES","SÁBADO","DOMINGO"))</f>
        <v/>
      </c>
      <c r="M1888" s="23"/>
      <c r="Q1888" s="21" t="str">
        <f aca="false">IF(OR(K1888="",N1888=""),"",K1888-N1888)</f>
        <v/>
      </c>
      <c r="R1888" s="21" t="str">
        <f aca="false">IF(OR(J1888="",K1888=""),"",J1888*K1888)</f>
        <v/>
      </c>
      <c r="S1888" s="21" t="str">
        <f aca="false">IF(AND(ISNUMBER(J1888),ISNUMBER(K1888),F1888&lt;&gt;"Calentamiento",F1888&lt;&gt;"Bilbo"),IF(AND(K1888&gt;0,K1888&lt;=12),ROUND(J1888*(1+(K1888+IF(ISNUMBER(L1888),L1888,0))/30),1),""),"")</f>
        <v/>
      </c>
      <c r="T1888" s="21" t="str">
        <f aca="false">IF(AND(F1888="Bilbo",ISNUMBER(J1888),ISNUMBER(K1888)),ROUND(J1888*(1+K1888/30),1),"")</f>
        <v/>
      </c>
      <c r="W1888" s="22"/>
      <c r="X1888" s="21" t="str">
        <f aca="false">IF(AND(F1888="Bilbo",E1888&lt;&gt;"",G1888&lt;&gt;"",H1888&lt;&gt;""),E1888&amp;"|"&amp;G1888&amp;"|"&amp;H1888,"")</f>
        <v/>
      </c>
      <c r="Y1888" s="21" t="str">
        <f aca="false">IF(B1888="","",IF(B1888&lt;&gt;B1887,1,0))</f>
        <v/>
      </c>
    </row>
    <row r="1889" customFormat="false" ht="15" hidden="false" customHeight="true" outlineLevel="0" collapsed="false">
      <c r="A1889" s="21" t="str">
        <f aca="false">IF(B1889="","",ROW()-4)</f>
        <v/>
      </c>
      <c r="B1889" s="22"/>
      <c r="C1889" s="21" t="str">
        <f aca="false">IF(B1889="","",CHOOSE(WEEKDAY(B1889,2),"LUNES","MARTES","MIÉRCOLES","JUEVES","VIERNES","SÁBADO","DOMINGO"))</f>
        <v/>
      </c>
      <c r="M1889" s="23"/>
      <c r="Q1889" s="21" t="str">
        <f aca="false">IF(OR(K1889="",N1889=""),"",K1889-N1889)</f>
        <v/>
      </c>
      <c r="R1889" s="21" t="str">
        <f aca="false">IF(OR(J1889="",K1889=""),"",J1889*K1889)</f>
        <v/>
      </c>
      <c r="S1889" s="21" t="str">
        <f aca="false">IF(AND(ISNUMBER(J1889),ISNUMBER(K1889),F1889&lt;&gt;"Calentamiento",F1889&lt;&gt;"Bilbo"),IF(AND(K1889&gt;0,K1889&lt;=12),ROUND(J1889*(1+(K1889+IF(ISNUMBER(L1889),L1889,0))/30),1),""),"")</f>
        <v/>
      </c>
      <c r="T1889" s="21" t="str">
        <f aca="false">IF(AND(F1889="Bilbo",ISNUMBER(J1889),ISNUMBER(K1889)),ROUND(J1889*(1+K1889/30),1),"")</f>
        <v/>
      </c>
      <c r="W1889" s="22"/>
      <c r="X1889" s="21" t="str">
        <f aca="false">IF(AND(F1889="Bilbo",E1889&lt;&gt;"",G1889&lt;&gt;"",H1889&lt;&gt;""),E1889&amp;"|"&amp;G1889&amp;"|"&amp;H1889,"")</f>
        <v/>
      </c>
      <c r="Y1889" s="21" t="str">
        <f aca="false">IF(B1889="","",IF(B1889&lt;&gt;B1888,1,0))</f>
        <v/>
      </c>
    </row>
    <row r="1890" customFormat="false" ht="15" hidden="false" customHeight="true" outlineLevel="0" collapsed="false">
      <c r="A1890" s="21" t="str">
        <f aca="false">IF(B1890="","",ROW()-4)</f>
        <v/>
      </c>
      <c r="B1890" s="22"/>
      <c r="C1890" s="21" t="str">
        <f aca="false">IF(B1890="","",CHOOSE(WEEKDAY(B1890,2),"LUNES","MARTES","MIÉRCOLES","JUEVES","VIERNES","SÁBADO","DOMINGO"))</f>
        <v/>
      </c>
      <c r="M1890" s="23"/>
      <c r="Q1890" s="21" t="str">
        <f aca="false">IF(OR(K1890="",N1890=""),"",K1890-N1890)</f>
        <v/>
      </c>
      <c r="R1890" s="21" t="str">
        <f aca="false">IF(OR(J1890="",K1890=""),"",J1890*K1890)</f>
        <v/>
      </c>
      <c r="S1890" s="21" t="str">
        <f aca="false">IF(AND(ISNUMBER(J1890),ISNUMBER(K1890),F1890&lt;&gt;"Calentamiento",F1890&lt;&gt;"Bilbo"),IF(AND(K1890&gt;0,K1890&lt;=12),ROUND(J1890*(1+(K1890+IF(ISNUMBER(L1890),L1890,0))/30),1),""),"")</f>
        <v/>
      </c>
      <c r="T1890" s="21" t="str">
        <f aca="false">IF(AND(F1890="Bilbo",ISNUMBER(J1890),ISNUMBER(K1890)),ROUND(J1890*(1+K1890/30),1),"")</f>
        <v/>
      </c>
      <c r="W1890" s="22"/>
      <c r="X1890" s="21" t="str">
        <f aca="false">IF(AND(F1890="Bilbo",E1890&lt;&gt;"",G1890&lt;&gt;"",H1890&lt;&gt;""),E1890&amp;"|"&amp;G1890&amp;"|"&amp;H1890,"")</f>
        <v/>
      </c>
      <c r="Y1890" s="21" t="str">
        <f aca="false">IF(B1890="","",IF(B1890&lt;&gt;B1889,1,0))</f>
        <v/>
      </c>
    </row>
    <row r="1891" customFormat="false" ht="15" hidden="false" customHeight="true" outlineLevel="0" collapsed="false">
      <c r="A1891" s="21" t="str">
        <f aca="false">IF(B1891="","",ROW()-4)</f>
        <v/>
      </c>
      <c r="B1891" s="22"/>
      <c r="C1891" s="21" t="str">
        <f aca="false">IF(B1891="","",CHOOSE(WEEKDAY(B1891,2),"LUNES","MARTES","MIÉRCOLES","JUEVES","VIERNES","SÁBADO","DOMINGO"))</f>
        <v/>
      </c>
      <c r="M1891" s="23"/>
      <c r="Q1891" s="21" t="str">
        <f aca="false">IF(OR(K1891="",N1891=""),"",K1891-N1891)</f>
        <v/>
      </c>
      <c r="R1891" s="21" t="str">
        <f aca="false">IF(OR(J1891="",K1891=""),"",J1891*K1891)</f>
        <v/>
      </c>
      <c r="S1891" s="21" t="str">
        <f aca="false">IF(AND(ISNUMBER(J1891),ISNUMBER(K1891),F1891&lt;&gt;"Calentamiento",F1891&lt;&gt;"Bilbo"),IF(AND(K1891&gt;0,K1891&lt;=12),ROUND(J1891*(1+(K1891+IF(ISNUMBER(L1891),L1891,0))/30),1),""),"")</f>
        <v/>
      </c>
      <c r="T1891" s="21" t="str">
        <f aca="false">IF(AND(F1891="Bilbo",ISNUMBER(J1891),ISNUMBER(K1891)),ROUND(J1891*(1+K1891/30),1),"")</f>
        <v/>
      </c>
      <c r="W1891" s="22"/>
      <c r="X1891" s="21" t="str">
        <f aca="false">IF(AND(F1891="Bilbo",E1891&lt;&gt;"",G1891&lt;&gt;"",H1891&lt;&gt;""),E1891&amp;"|"&amp;G1891&amp;"|"&amp;H1891,"")</f>
        <v/>
      </c>
      <c r="Y1891" s="21" t="str">
        <f aca="false">IF(B1891="","",IF(B1891&lt;&gt;B1890,1,0))</f>
        <v/>
      </c>
    </row>
    <row r="1892" customFormat="false" ht="15" hidden="false" customHeight="true" outlineLevel="0" collapsed="false">
      <c r="A1892" s="21" t="str">
        <f aca="false">IF(B1892="","",ROW()-4)</f>
        <v/>
      </c>
      <c r="B1892" s="22"/>
      <c r="C1892" s="21" t="str">
        <f aca="false">IF(B1892="","",CHOOSE(WEEKDAY(B1892,2),"LUNES","MARTES","MIÉRCOLES","JUEVES","VIERNES","SÁBADO","DOMINGO"))</f>
        <v/>
      </c>
      <c r="M1892" s="23"/>
      <c r="Q1892" s="21" t="str">
        <f aca="false">IF(OR(K1892="",N1892=""),"",K1892-N1892)</f>
        <v/>
      </c>
      <c r="R1892" s="21" t="str">
        <f aca="false">IF(OR(J1892="",K1892=""),"",J1892*K1892)</f>
        <v/>
      </c>
      <c r="S1892" s="21" t="str">
        <f aca="false">IF(AND(ISNUMBER(J1892),ISNUMBER(K1892),F1892&lt;&gt;"Calentamiento",F1892&lt;&gt;"Bilbo"),IF(AND(K1892&gt;0,K1892&lt;=12),ROUND(J1892*(1+(K1892+IF(ISNUMBER(L1892),L1892,0))/30),1),""),"")</f>
        <v/>
      </c>
      <c r="T1892" s="21" t="str">
        <f aca="false">IF(AND(F1892="Bilbo",ISNUMBER(J1892),ISNUMBER(K1892)),ROUND(J1892*(1+K1892/30),1),"")</f>
        <v/>
      </c>
      <c r="W1892" s="22"/>
      <c r="X1892" s="21" t="str">
        <f aca="false">IF(AND(F1892="Bilbo",E1892&lt;&gt;"",G1892&lt;&gt;"",H1892&lt;&gt;""),E1892&amp;"|"&amp;G1892&amp;"|"&amp;H1892,"")</f>
        <v/>
      </c>
      <c r="Y1892" s="21" t="str">
        <f aca="false">IF(B1892="","",IF(B1892&lt;&gt;B1891,1,0))</f>
        <v/>
      </c>
    </row>
    <row r="1893" customFormat="false" ht="15" hidden="false" customHeight="true" outlineLevel="0" collapsed="false">
      <c r="A1893" s="21" t="str">
        <f aca="false">IF(B1893="","",ROW()-4)</f>
        <v/>
      </c>
      <c r="B1893" s="22"/>
      <c r="C1893" s="21" t="str">
        <f aca="false">IF(B1893="","",CHOOSE(WEEKDAY(B1893,2),"LUNES","MARTES","MIÉRCOLES","JUEVES","VIERNES","SÁBADO","DOMINGO"))</f>
        <v/>
      </c>
      <c r="M1893" s="23"/>
      <c r="Q1893" s="21" t="str">
        <f aca="false">IF(OR(K1893="",N1893=""),"",K1893-N1893)</f>
        <v/>
      </c>
      <c r="R1893" s="21" t="str">
        <f aca="false">IF(OR(J1893="",K1893=""),"",J1893*K1893)</f>
        <v/>
      </c>
      <c r="S1893" s="21" t="str">
        <f aca="false">IF(AND(ISNUMBER(J1893),ISNUMBER(K1893),F1893&lt;&gt;"Calentamiento",F1893&lt;&gt;"Bilbo"),IF(AND(K1893&gt;0,K1893&lt;=12),ROUND(J1893*(1+(K1893+IF(ISNUMBER(L1893),L1893,0))/30),1),""),"")</f>
        <v/>
      </c>
      <c r="T1893" s="21" t="str">
        <f aca="false">IF(AND(F1893="Bilbo",ISNUMBER(J1893),ISNUMBER(K1893)),ROUND(J1893*(1+K1893/30),1),"")</f>
        <v/>
      </c>
      <c r="W1893" s="22"/>
      <c r="X1893" s="21" t="str">
        <f aca="false">IF(AND(F1893="Bilbo",E1893&lt;&gt;"",G1893&lt;&gt;"",H1893&lt;&gt;""),E1893&amp;"|"&amp;G1893&amp;"|"&amp;H1893,"")</f>
        <v/>
      </c>
      <c r="Y1893" s="21" t="str">
        <f aca="false">IF(B1893="","",IF(B1893&lt;&gt;B1892,1,0))</f>
        <v/>
      </c>
    </row>
    <row r="1894" customFormat="false" ht="15" hidden="false" customHeight="true" outlineLevel="0" collapsed="false">
      <c r="A1894" s="21" t="str">
        <f aca="false">IF(B1894="","",ROW()-4)</f>
        <v/>
      </c>
      <c r="B1894" s="22"/>
      <c r="C1894" s="21" t="str">
        <f aca="false">IF(B1894="","",CHOOSE(WEEKDAY(B1894,2),"LUNES","MARTES","MIÉRCOLES","JUEVES","VIERNES","SÁBADO","DOMINGO"))</f>
        <v/>
      </c>
      <c r="M1894" s="23"/>
      <c r="Q1894" s="21" t="str">
        <f aca="false">IF(OR(K1894="",N1894=""),"",K1894-N1894)</f>
        <v/>
      </c>
      <c r="R1894" s="21" t="str">
        <f aca="false">IF(OR(J1894="",K1894=""),"",J1894*K1894)</f>
        <v/>
      </c>
      <c r="S1894" s="21" t="str">
        <f aca="false">IF(AND(ISNUMBER(J1894),ISNUMBER(K1894),F1894&lt;&gt;"Calentamiento",F1894&lt;&gt;"Bilbo"),IF(AND(K1894&gt;0,K1894&lt;=12),ROUND(J1894*(1+(K1894+IF(ISNUMBER(L1894),L1894,0))/30),1),""),"")</f>
        <v/>
      </c>
      <c r="T1894" s="21" t="str">
        <f aca="false">IF(AND(F1894="Bilbo",ISNUMBER(J1894),ISNUMBER(K1894)),ROUND(J1894*(1+K1894/30),1),"")</f>
        <v/>
      </c>
      <c r="W1894" s="22"/>
      <c r="X1894" s="21" t="str">
        <f aca="false">IF(AND(F1894="Bilbo",E1894&lt;&gt;"",G1894&lt;&gt;"",H1894&lt;&gt;""),E1894&amp;"|"&amp;G1894&amp;"|"&amp;H1894,"")</f>
        <v/>
      </c>
      <c r="Y1894" s="21" t="str">
        <f aca="false">IF(B1894="","",IF(B1894&lt;&gt;B1893,1,0))</f>
        <v/>
      </c>
    </row>
    <row r="1895" customFormat="false" ht="15" hidden="false" customHeight="true" outlineLevel="0" collapsed="false">
      <c r="A1895" s="21" t="str">
        <f aca="false">IF(B1895="","",ROW()-4)</f>
        <v/>
      </c>
      <c r="B1895" s="22"/>
      <c r="C1895" s="21" t="str">
        <f aca="false">IF(B1895="","",CHOOSE(WEEKDAY(B1895,2),"LUNES","MARTES","MIÉRCOLES","JUEVES","VIERNES","SÁBADO","DOMINGO"))</f>
        <v/>
      </c>
      <c r="M1895" s="23"/>
      <c r="Q1895" s="21" t="str">
        <f aca="false">IF(OR(K1895="",N1895=""),"",K1895-N1895)</f>
        <v/>
      </c>
      <c r="R1895" s="21" t="str">
        <f aca="false">IF(OR(J1895="",K1895=""),"",J1895*K1895)</f>
        <v/>
      </c>
      <c r="S1895" s="21" t="str">
        <f aca="false">IF(AND(ISNUMBER(J1895),ISNUMBER(K1895),F1895&lt;&gt;"Calentamiento",F1895&lt;&gt;"Bilbo"),IF(AND(K1895&gt;0,K1895&lt;=12),ROUND(J1895*(1+(K1895+IF(ISNUMBER(L1895),L1895,0))/30),1),""),"")</f>
        <v/>
      </c>
      <c r="T1895" s="21" t="str">
        <f aca="false">IF(AND(F1895="Bilbo",ISNUMBER(J1895),ISNUMBER(K1895)),ROUND(J1895*(1+K1895/30),1),"")</f>
        <v/>
      </c>
      <c r="W1895" s="22"/>
      <c r="X1895" s="21" t="str">
        <f aca="false">IF(AND(F1895="Bilbo",E1895&lt;&gt;"",G1895&lt;&gt;"",H1895&lt;&gt;""),E1895&amp;"|"&amp;G1895&amp;"|"&amp;H1895,"")</f>
        <v/>
      </c>
      <c r="Y1895" s="21" t="str">
        <f aca="false">IF(B1895="","",IF(B1895&lt;&gt;B1894,1,0))</f>
        <v/>
      </c>
    </row>
    <row r="1896" customFormat="false" ht="15" hidden="false" customHeight="true" outlineLevel="0" collapsed="false">
      <c r="A1896" s="21" t="str">
        <f aca="false">IF(B1896="","",ROW()-4)</f>
        <v/>
      </c>
      <c r="B1896" s="22"/>
      <c r="C1896" s="21" t="str">
        <f aca="false">IF(B1896="","",CHOOSE(WEEKDAY(B1896,2),"LUNES","MARTES","MIÉRCOLES","JUEVES","VIERNES","SÁBADO","DOMINGO"))</f>
        <v/>
      </c>
      <c r="M1896" s="23"/>
      <c r="Q1896" s="21" t="str">
        <f aca="false">IF(OR(K1896="",N1896=""),"",K1896-N1896)</f>
        <v/>
      </c>
      <c r="R1896" s="21" t="str">
        <f aca="false">IF(OR(J1896="",K1896=""),"",J1896*K1896)</f>
        <v/>
      </c>
      <c r="S1896" s="21" t="str">
        <f aca="false">IF(AND(ISNUMBER(J1896),ISNUMBER(K1896),F1896&lt;&gt;"Calentamiento",F1896&lt;&gt;"Bilbo"),IF(AND(K1896&gt;0,K1896&lt;=12),ROUND(J1896*(1+(K1896+IF(ISNUMBER(L1896),L1896,0))/30),1),""),"")</f>
        <v/>
      </c>
      <c r="T1896" s="21" t="str">
        <f aca="false">IF(AND(F1896="Bilbo",ISNUMBER(J1896),ISNUMBER(K1896)),ROUND(J1896*(1+K1896/30),1),"")</f>
        <v/>
      </c>
      <c r="W1896" s="22"/>
      <c r="X1896" s="21" t="str">
        <f aca="false">IF(AND(F1896="Bilbo",E1896&lt;&gt;"",G1896&lt;&gt;"",H1896&lt;&gt;""),E1896&amp;"|"&amp;G1896&amp;"|"&amp;H1896,"")</f>
        <v/>
      </c>
      <c r="Y1896" s="21" t="str">
        <f aca="false">IF(B1896="","",IF(B1896&lt;&gt;B1895,1,0))</f>
        <v/>
      </c>
    </row>
    <row r="1897" customFormat="false" ht="15" hidden="false" customHeight="true" outlineLevel="0" collapsed="false">
      <c r="A1897" s="21" t="str">
        <f aca="false">IF(B1897="","",ROW()-4)</f>
        <v/>
      </c>
      <c r="B1897" s="22"/>
      <c r="C1897" s="21" t="str">
        <f aca="false">IF(B1897="","",CHOOSE(WEEKDAY(B1897,2),"LUNES","MARTES","MIÉRCOLES","JUEVES","VIERNES","SÁBADO","DOMINGO"))</f>
        <v/>
      </c>
      <c r="M1897" s="23"/>
      <c r="Q1897" s="21" t="str">
        <f aca="false">IF(OR(K1897="",N1897=""),"",K1897-N1897)</f>
        <v/>
      </c>
      <c r="R1897" s="21" t="str">
        <f aca="false">IF(OR(J1897="",K1897=""),"",J1897*K1897)</f>
        <v/>
      </c>
      <c r="S1897" s="21" t="str">
        <f aca="false">IF(AND(ISNUMBER(J1897),ISNUMBER(K1897),F1897&lt;&gt;"Calentamiento",F1897&lt;&gt;"Bilbo"),IF(AND(K1897&gt;0,K1897&lt;=12),ROUND(J1897*(1+(K1897+IF(ISNUMBER(L1897),L1897,0))/30),1),""),"")</f>
        <v/>
      </c>
      <c r="T1897" s="21" t="str">
        <f aca="false">IF(AND(F1897="Bilbo",ISNUMBER(J1897),ISNUMBER(K1897)),ROUND(J1897*(1+K1897/30),1),"")</f>
        <v/>
      </c>
      <c r="W1897" s="22"/>
      <c r="X1897" s="21" t="str">
        <f aca="false">IF(AND(F1897="Bilbo",E1897&lt;&gt;"",G1897&lt;&gt;"",H1897&lt;&gt;""),E1897&amp;"|"&amp;G1897&amp;"|"&amp;H1897,"")</f>
        <v/>
      </c>
      <c r="Y1897" s="21" t="str">
        <f aca="false">IF(B1897="","",IF(B1897&lt;&gt;B1896,1,0))</f>
        <v/>
      </c>
    </row>
    <row r="1898" customFormat="false" ht="15" hidden="false" customHeight="true" outlineLevel="0" collapsed="false">
      <c r="A1898" s="21" t="str">
        <f aca="false">IF(B1898="","",ROW()-4)</f>
        <v/>
      </c>
      <c r="B1898" s="22"/>
      <c r="C1898" s="21" t="str">
        <f aca="false">IF(B1898="","",CHOOSE(WEEKDAY(B1898,2),"LUNES","MARTES","MIÉRCOLES","JUEVES","VIERNES","SÁBADO","DOMINGO"))</f>
        <v/>
      </c>
      <c r="M1898" s="23"/>
      <c r="Q1898" s="21" t="str">
        <f aca="false">IF(OR(K1898="",N1898=""),"",K1898-N1898)</f>
        <v/>
      </c>
      <c r="R1898" s="21" t="str">
        <f aca="false">IF(OR(J1898="",K1898=""),"",J1898*K1898)</f>
        <v/>
      </c>
      <c r="S1898" s="21" t="str">
        <f aca="false">IF(AND(ISNUMBER(J1898),ISNUMBER(K1898),F1898&lt;&gt;"Calentamiento",F1898&lt;&gt;"Bilbo"),IF(AND(K1898&gt;0,K1898&lt;=12),ROUND(J1898*(1+(K1898+IF(ISNUMBER(L1898),L1898,0))/30),1),""),"")</f>
        <v/>
      </c>
      <c r="T1898" s="21" t="str">
        <f aca="false">IF(AND(F1898="Bilbo",ISNUMBER(J1898),ISNUMBER(K1898)),ROUND(J1898*(1+K1898/30),1),"")</f>
        <v/>
      </c>
      <c r="W1898" s="22"/>
      <c r="X1898" s="21" t="str">
        <f aca="false">IF(AND(F1898="Bilbo",E1898&lt;&gt;"",G1898&lt;&gt;"",H1898&lt;&gt;""),E1898&amp;"|"&amp;G1898&amp;"|"&amp;H1898,"")</f>
        <v/>
      </c>
      <c r="Y1898" s="21" t="str">
        <f aca="false">IF(B1898="","",IF(B1898&lt;&gt;B1897,1,0))</f>
        <v/>
      </c>
    </row>
    <row r="1899" customFormat="false" ht="15" hidden="false" customHeight="true" outlineLevel="0" collapsed="false">
      <c r="A1899" s="21" t="str">
        <f aca="false">IF(B1899="","",ROW()-4)</f>
        <v/>
      </c>
      <c r="B1899" s="22"/>
      <c r="C1899" s="21" t="str">
        <f aca="false">IF(B1899="","",CHOOSE(WEEKDAY(B1899,2),"LUNES","MARTES","MIÉRCOLES","JUEVES","VIERNES","SÁBADO","DOMINGO"))</f>
        <v/>
      </c>
      <c r="M1899" s="23"/>
      <c r="Q1899" s="21" t="str">
        <f aca="false">IF(OR(K1899="",N1899=""),"",K1899-N1899)</f>
        <v/>
      </c>
      <c r="R1899" s="21" t="str">
        <f aca="false">IF(OR(J1899="",K1899=""),"",J1899*K1899)</f>
        <v/>
      </c>
      <c r="S1899" s="21" t="str">
        <f aca="false">IF(AND(ISNUMBER(J1899),ISNUMBER(K1899),F1899&lt;&gt;"Calentamiento",F1899&lt;&gt;"Bilbo"),IF(AND(K1899&gt;0,K1899&lt;=12),ROUND(J1899*(1+(K1899+IF(ISNUMBER(L1899),L1899,0))/30),1),""),"")</f>
        <v/>
      </c>
      <c r="T1899" s="21" t="str">
        <f aca="false">IF(AND(F1899="Bilbo",ISNUMBER(J1899),ISNUMBER(K1899)),ROUND(J1899*(1+K1899/30),1),"")</f>
        <v/>
      </c>
      <c r="W1899" s="22"/>
      <c r="X1899" s="21" t="str">
        <f aca="false">IF(AND(F1899="Bilbo",E1899&lt;&gt;"",G1899&lt;&gt;"",H1899&lt;&gt;""),E1899&amp;"|"&amp;G1899&amp;"|"&amp;H1899,"")</f>
        <v/>
      </c>
      <c r="Y1899" s="21" t="str">
        <f aca="false">IF(B1899="","",IF(B1899&lt;&gt;B1898,1,0))</f>
        <v/>
      </c>
    </row>
    <row r="1900" customFormat="false" ht="15" hidden="false" customHeight="true" outlineLevel="0" collapsed="false">
      <c r="A1900" s="21" t="str">
        <f aca="false">IF(B1900="","",ROW()-4)</f>
        <v/>
      </c>
      <c r="B1900" s="22"/>
      <c r="C1900" s="21" t="str">
        <f aca="false">IF(B1900="","",CHOOSE(WEEKDAY(B1900,2),"LUNES","MARTES","MIÉRCOLES","JUEVES","VIERNES","SÁBADO","DOMINGO"))</f>
        <v/>
      </c>
      <c r="M1900" s="23"/>
      <c r="Q1900" s="21" t="str">
        <f aca="false">IF(OR(K1900="",N1900=""),"",K1900-N1900)</f>
        <v/>
      </c>
      <c r="R1900" s="21" t="str">
        <f aca="false">IF(OR(J1900="",K1900=""),"",J1900*K1900)</f>
        <v/>
      </c>
      <c r="S1900" s="21" t="str">
        <f aca="false">IF(AND(ISNUMBER(J1900),ISNUMBER(K1900),F1900&lt;&gt;"Calentamiento",F1900&lt;&gt;"Bilbo"),IF(AND(K1900&gt;0,K1900&lt;=12),ROUND(J1900*(1+(K1900+IF(ISNUMBER(L1900),L1900,0))/30),1),""),"")</f>
        <v/>
      </c>
      <c r="T1900" s="21" t="str">
        <f aca="false">IF(AND(F1900="Bilbo",ISNUMBER(J1900),ISNUMBER(K1900)),ROUND(J1900*(1+K1900/30),1),"")</f>
        <v/>
      </c>
      <c r="W1900" s="22"/>
      <c r="X1900" s="21" t="str">
        <f aca="false">IF(AND(F1900="Bilbo",E1900&lt;&gt;"",G1900&lt;&gt;"",H1900&lt;&gt;""),E1900&amp;"|"&amp;G1900&amp;"|"&amp;H1900,"")</f>
        <v/>
      </c>
      <c r="Y1900" s="21" t="str">
        <f aca="false">IF(B1900="","",IF(B1900&lt;&gt;B1899,1,0))</f>
        <v/>
      </c>
    </row>
    <row r="1901" customFormat="false" ht="15" hidden="false" customHeight="true" outlineLevel="0" collapsed="false">
      <c r="A1901" s="21" t="str">
        <f aca="false">IF(B1901="","",ROW()-4)</f>
        <v/>
      </c>
      <c r="B1901" s="22"/>
      <c r="C1901" s="21" t="str">
        <f aca="false">IF(B1901="","",CHOOSE(WEEKDAY(B1901,2),"LUNES","MARTES","MIÉRCOLES","JUEVES","VIERNES","SÁBADO","DOMINGO"))</f>
        <v/>
      </c>
      <c r="M1901" s="23"/>
      <c r="Q1901" s="21" t="str">
        <f aca="false">IF(OR(K1901="",N1901=""),"",K1901-N1901)</f>
        <v/>
      </c>
      <c r="R1901" s="21" t="str">
        <f aca="false">IF(OR(J1901="",K1901=""),"",J1901*K1901)</f>
        <v/>
      </c>
      <c r="S1901" s="21" t="str">
        <f aca="false">IF(AND(ISNUMBER(J1901),ISNUMBER(K1901),F1901&lt;&gt;"Calentamiento",F1901&lt;&gt;"Bilbo"),IF(AND(K1901&gt;0,K1901&lt;=12),ROUND(J1901*(1+(K1901+IF(ISNUMBER(L1901),L1901,0))/30),1),""),"")</f>
        <v/>
      </c>
      <c r="T1901" s="21" t="str">
        <f aca="false">IF(AND(F1901="Bilbo",ISNUMBER(J1901),ISNUMBER(K1901)),ROUND(J1901*(1+K1901/30),1),"")</f>
        <v/>
      </c>
      <c r="W1901" s="22"/>
      <c r="X1901" s="21" t="str">
        <f aca="false">IF(AND(F1901="Bilbo",E1901&lt;&gt;"",G1901&lt;&gt;"",H1901&lt;&gt;""),E1901&amp;"|"&amp;G1901&amp;"|"&amp;H1901,"")</f>
        <v/>
      </c>
      <c r="Y1901" s="21" t="str">
        <f aca="false">IF(B1901="","",IF(B1901&lt;&gt;B1900,1,0))</f>
        <v/>
      </c>
    </row>
    <row r="1902" customFormat="false" ht="15" hidden="false" customHeight="true" outlineLevel="0" collapsed="false">
      <c r="A1902" s="21" t="str">
        <f aca="false">IF(B1902="","",ROW()-4)</f>
        <v/>
      </c>
      <c r="B1902" s="22"/>
      <c r="C1902" s="21" t="str">
        <f aca="false">IF(B1902="","",CHOOSE(WEEKDAY(B1902,2),"LUNES","MARTES","MIÉRCOLES","JUEVES","VIERNES","SÁBADO","DOMINGO"))</f>
        <v/>
      </c>
      <c r="M1902" s="23"/>
      <c r="Q1902" s="21" t="str">
        <f aca="false">IF(OR(K1902="",N1902=""),"",K1902-N1902)</f>
        <v/>
      </c>
      <c r="R1902" s="21" t="str">
        <f aca="false">IF(OR(J1902="",K1902=""),"",J1902*K1902)</f>
        <v/>
      </c>
      <c r="S1902" s="21" t="str">
        <f aca="false">IF(AND(ISNUMBER(J1902),ISNUMBER(K1902),F1902&lt;&gt;"Calentamiento",F1902&lt;&gt;"Bilbo"),IF(AND(K1902&gt;0,K1902&lt;=12),ROUND(J1902*(1+(K1902+IF(ISNUMBER(L1902),L1902,0))/30),1),""),"")</f>
        <v/>
      </c>
      <c r="T1902" s="21" t="str">
        <f aca="false">IF(AND(F1902="Bilbo",ISNUMBER(J1902),ISNUMBER(K1902)),ROUND(J1902*(1+K1902/30),1),"")</f>
        <v/>
      </c>
      <c r="W1902" s="22"/>
      <c r="X1902" s="21" t="str">
        <f aca="false">IF(AND(F1902="Bilbo",E1902&lt;&gt;"",G1902&lt;&gt;"",H1902&lt;&gt;""),E1902&amp;"|"&amp;G1902&amp;"|"&amp;H1902,"")</f>
        <v/>
      </c>
      <c r="Y1902" s="21" t="str">
        <f aca="false">IF(B1902="","",IF(B1902&lt;&gt;B1901,1,0))</f>
        <v/>
      </c>
    </row>
    <row r="1903" customFormat="false" ht="15" hidden="false" customHeight="true" outlineLevel="0" collapsed="false">
      <c r="A1903" s="21" t="str">
        <f aca="false">IF(B1903="","",ROW()-4)</f>
        <v/>
      </c>
      <c r="B1903" s="22"/>
      <c r="C1903" s="21" t="str">
        <f aca="false">IF(B1903="","",CHOOSE(WEEKDAY(B1903,2),"LUNES","MARTES","MIÉRCOLES","JUEVES","VIERNES","SÁBADO","DOMINGO"))</f>
        <v/>
      </c>
      <c r="M1903" s="23"/>
      <c r="Q1903" s="21" t="str">
        <f aca="false">IF(OR(K1903="",N1903=""),"",K1903-N1903)</f>
        <v/>
      </c>
      <c r="R1903" s="21" t="str">
        <f aca="false">IF(OR(J1903="",K1903=""),"",J1903*K1903)</f>
        <v/>
      </c>
      <c r="S1903" s="21" t="str">
        <f aca="false">IF(AND(ISNUMBER(J1903),ISNUMBER(K1903),F1903&lt;&gt;"Calentamiento",F1903&lt;&gt;"Bilbo"),IF(AND(K1903&gt;0,K1903&lt;=12),ROUND(J1903*(1+(K1903+IF(ISNUMBER(L1903),L1903,0))/30),1),""),"")</f>
        <v/>
      </c>
      <c r="T1903" s="21" t="str">
        <f aca="false">IF(AND(F1903="Bilbo",ISNUMBER(J1903),ISNUMBER(K1903)),ROUND(J1903*(1+K1903/30),1),"")</f>
        <v/>
      </c>
      <c r="W1903" s="22"/>
      <c r="X1903" s="21" t="str">
        <f aca="false">IF(AND(F1903="Bilbo",E1903&lt;&gt;"",G1903&lt;&gt;"",H1903&lt;&gt;""),E1903&amp;"|"&amp;G1903&amp;"|"&amp;H1903,"")</f>
        <v/>
      </c>
      <c r="Y1903" s="21" t="str">
        <f aca="false">IF(B1903="","",IF(B1903&lt;&gt;B1902,1,0))</f>
        <v/>
      </c>
    </row>
    <row r="1904" customFormat="false" ht="15" hidden="false" customHeight="true" outlineLevel="0" collapsed="false">
      <c r="A1904" s="21" t="str">
        <f aca="false">IF(B1904="","",ROW()-4)</f>
        <v/>
      </c>
      <c r="B1904" s="22"/>
      <c r="C1904" s="21" t="str">
        <f aca="false">IF(B1904="","",CHOOSE(WEEKDAY(B1904,2),"LUNES","MARTES","MIÉRCOLES","JUEVES","VIERNES","SÁBADO","DOMINGO"))</f>
        <v/>
      </c>
      <c r="M1904" s="23"/>
      <c r="Q1904" s="21" t="str">
        <f aca="false">IF(OR(K1904="",N1904=""),"",K1904-N1904)</f>
        <v/>
      </c>
      <c r="R1904" s="21" t="str">
        <f aca="false">IF(OR(J1904="",K1904=""),"",J1904*K1904)</f>
        <v/>
      </c>
      <c r="S1904" s="21" t="str">
        <f aca="false">IF(AND(ISNUMBER(J1904),ISNUMBER(K1904),F1904&lt;&gt;"Calentamiento",F1904&lt;&gt;"Bilbo"),IF(AND(K1904&gt;0,K1904&lt;=12),ROUND(J1904*(1+(K1904+IF(ISNUMBER(L1904),L1904,0))/30),1),""),"")</f>
        <v/>
      </c>
      <c r="T1904" s="21" t="str">
        <f aca="false">IF(AND(F1904="Bilbo",ISNUMBER(J1904),ISNUMBER(K1904)),ROUND(J1904*(1+K1904/30),1),"")</f>
        <v/>
      </c>
      <c r="W1904" s="22"/>
      <c r="X1904" s="21" t="str">
        <f aca="false">IF(AND(F1904="Bilbo",E1904&lt;&gt;"",G1904&lt;&gt;"",H1904&lt;&gt;""),E1904&amp;"|"&amp;G1904&amp;"|"&amp;H1904,"")</f>
        <v/>
      </c>
      <c r="Y1904" s="21" t="str">
        <f aca="false">IF(B1904="","",IF(B1904&lt;&gt;B1903,1,0))</f>
        <v/>
      </c>
    </row>
    <row r="1905" customFormat="false" ht="15" hidden="false" customHeight="true" outlineLevel="0" collapsed="false">
      <c r="A1905" s="21" t="str">
        <f aca="false">IF(B1905="","",ROW()-4)</f>
        <v/>
      </c>
      <c r="B1905" s="22"/>
      <c r="C1905" s="21" t="str">
        <f aca="false">IF(B1905="","",CHOOSE(WEEKDAY(B1905,2),"LUNES","MARTES","MIÉRCOLES","JUEVES","VIERNES","SÁBADO","DOMINGO"))</f>
        <v/>
      </c>
      <c r="M1905" s="23"/>
      <c r="Q1905" s="21" t="str">
        <f aca="false">IF(OR(K1905="",N1905=""),"",K1905-N1905)</f>
        <v/>
      </c>
      <c r="R1905" s="21" t="str">
        <f aca="false">IF(OR(J1905="",K1905=""),"",J1905*K1905)</f>
        <v/>
      </c>
      <c r="S1905" s="21" t="str">
        <f aca="false">IF(AND(ISNUMBER(J1905),ISNUMBER(K1905),F1905&lt;&gt;"Calentamiento",F1905&lt;&gt;"Bilbo"),IF(AND(K1905&gt;0,K1905&lt;=12),ROUND(J1905*(1+(K1905+IF(ISNUMBER(L1905),L1905,0))/30),1),""),"")</f>
        <v/>
      </c>
      <c r="T1905" s="21" t="str">
        <f aca="false">IF(AND(F1905="Bilbo",ISNUMBER(J1905),ISNUMBER(K1905)),ROUND(J1905*(1+K1905/30),1),"")</f>
        <v/>
      </c>
      <c r="W1905" s="22"/>
      <c r="X1905" s="21" t="str">
        <f aca="false">IF(AND(F1905="Bilbo",E1905&lt;&gt;"",G1905&lt;&gt;"",H1905&lt;&gt;""),E1905&amp;"|"&amp;G1905&amp;"|"&amp;H1905,"")</f>
        <v/>
      </c>
      <c r="Y1905" s="21" t="str">
        <f aca="false">IF(B1905="","",IF(B1905&lt;&gt;B1904,1,0))</f>
        <v/>
      </c>
    </row>
    <row r="1906" customFormat="false" ht="15" hidden="false" customHeight="true" outlineLevel="0" collapsed="false">
      <c r="A1906" s="21" t="str">
        <f aca="false">IF(B1906="","",ROW()-4)</f>
        <v/>
      </c>
      <c r="B1906" s="22"/>
      <c r="C1906" s="21" t="str">
        <f aca="false">IF(B1906="","",CHOOSE(WEEKDAY(B1906,2),"LUNES","MARTES","MIÉRCOLES","JUEVES","VIERNES","SÁBADO","DOMINGO"))</f>
        <v/>
      </c>
      <c r="M1906" s="23"/>
      <c r="Q1906" s="21" t="str">
        <f aca="false">IF(OR(K1906="",N1906=""),"",K1906-N1906)</f>
        <v/>
      </c>
      <c r="R1906" s="21" t="str">
        <f aca="false">IF(OR(J1906="",K1906=""),"",J1906*K1906)</f>
        <v/>
      </c>
      <c r="S1906" s="21" t="str">
        <f aca="false">IF(AND(ISNUMBER(J1906),ISNUMBER(K1906),F1906&lt;&gt;"Calentamiento",F1906&lt;&gt;"Bilbo"),IF(AND(K1906&gt;0,K1906&lt;=12),ROUND(J1906*(1+(K1906+IF(ISNUMBER(L1906),L1906,0))/30),1),""),"")</f>
        <v/>
      </c>
      <c r="T1906" s="21" t="str">
        <f aca="false">IF(AND(F1906="Bilbo",ISNUMBER(J1906),ISNUMBER(K1906)),ROUND(J1906*(1+K1906/30),1),"")</f>
        <v/>
      </c>
      <c r="W1906" s="22"/>
      <c r="X1906" s="21" t="str">
        <f aca="false">IF(AND(F1906="Bilbo",E1906&lt;&gt;"",G1906&lt;&gt;"",H1906&lt;&gt;""),E1906&amp;"|"&amp;G1906&amp;"|"&amp;H1906,"")</f>
        <v/>
      </c>
      <c r="Y1906" s="21" t="str">
        <f aca="false">IF(B1906="","",IF(B1906&lt;&gt;B1905,1,0))</f>
        <v/>
      </c>
    </row>
    <row r="1907" customFormat="false" ht="15" hidden="false" customHeight="true" outlineLevel="0" collapsed="false">
      <c r="A1907" s="21" t="str">
        <f aca="false">IF(B1907="","",ROW()-4)</f>
        <v/>
      </c>
      <c r="B1907" s="22"/>
      <c r="C1907" s="21" t="str">
        <f aca="false">IF(B1907="","",CHOOSE(WEEKDAY(B1907,2),"LUNES","MARTES","MIÉRCOLES","JUEVES","VIERNES","SÁBADO","DOMINGO"))</f>
        <v/>
      </c>
      <c r="M1907" s="23"/>
      <c r="Q1907" s="21" t="str">
        <f aca="false">IF(OR(K1907="",N1907=""),"",K1907-N1907)</f>
        <v/>
      </c>
      <c r="R1907" s="21" t="str">
        <f aca="false">IF(OR(J1907="",K1907=""),"",J1907*K1907)</f>
        <v/>
      </c>
      <c r="S1907" s="21" t="str">
        <f aca="false">IF(AND(ISNUMBER(J1907),ISNUMBER(K1907),F1907&lt;&gt;"Calentamiento",F1907&lt;&gt;"Bilbo"),IF(AND(K1907&gt;0,K1907&lt;=12),ROUND(J1907*(1+(K1907+IF(ISNUMBER(L1907),L1907,0))/30),1),""),"")</f>
        <v/>
      </c>
      <c r="T1907" s="21" t="str">
        <f aca="false">IF(AND(F1907="Bilbo",ISNUMBER(J1907),ISNUMBER(K1907)),ROUND(J1907*(1+K1907/30),1),"")</f>
        <v/>
      </c>
      <c r="W1907" s="22"/>
      <c r="X1907" s="21" t="str">
        <f aca="false">IF(AND(F1907="Bilbo",E1907&lt;&gt;"",G1907&lt;&gt;"",H1907&lt;&gt;""),E1907&amp;"|"&amp;G1907&amp;"|"&amp;H1907,"")</f>
        <v/>
      </c>
      <c r="Y1907" s="21" t="str">
        <f aca="false">IF(B1907="","",IF(B1907&lt;&gt;B1906,1,0))</f>
        <v/>
      </c>
    </row>
    <row r="1908" customFormat="false" ht="15" hidden="false" customHeight="true" outlineLevel="0" collapsed="false">
      <c r="A1908" s="21" t="str">
        <f aca="false">IF(B1908="","",ROW()-4)</f>
        <v/>
      </c>
      <c r="B1908" s="22"/>
      <c r="C1908" s="21" t="str">
        <f aca="false">IF(B1908="","",CHOOSE(WEEKDAY(B1908,2),"LUNES","MARTES","MIÉRCOLES","JUEVES","VIERNES","SÁBADO","DOMINGO"))</f>
        <v/>
      </c>
      <c r="M1908" s="23"/>
      <c r="Q1908" s="21" t="str">
        <f aca="false">IF(OR(K1908="",N1908=""),"",K1908-N1908)</f>
        <v/>
      </c>
      <c r="R1908" s="21" t="str">
        <f aca="false">IF(OR(J1908="",K1908=""),"",J1908*K1908)</f>
        <v/>
      </c>
      <c r="S1908" s="21" t="str">
        <f aca="false">IF(AND(ISNUMBER(J1908),ISNUMBER(K1908),F1908&lt;&gt;"Calentamiento",F1908&lt;&gt;"Bilbo"),IF(AND(K1908&gt;0,K1908&lt;=12),ROUND(J1908*(1+(K1908+IF(ISNUMBER(L1908),L1908,0))/30),1),""),"")</f>
        <v/>
      </c>
      <c r="T1908" s="21" t="str">
        <f aca="false">IF(AND(F1908="Bilbo",ISNUMBER(J1908),ISNUMBER(K1908)),ROUND(J1908*(1+K1908/30),1),"")</f>
        <v/>
      </c>
      <c r="W1908" s="22"/>
      <c r="X1908" s="21" t="str">
        <f aca="false">IF(AND(F1908="Bilbo",E1908&lt;&gt;"",G1908&lt;&gt;"",H1908&lt;&gt;""),E1908&amp;"|"&amp;G1908&amp;"|"&amp;H1908,"")</f>
        <v/>
      </c>
      <c r="Y1908" s="21" t="str">
        <f aca="false">IF(B1908="","",IF(B1908&lt;&gt;B1907,1,0))</f>
        <v/>
      </c>
    </row>
    <row r="1909" customFormat="false" ht="15" hidden="false" customHeight="true" outlineLevel="0" collapsed="false">
      <c r="A1909" s="21" t="str">
        <f aca="false">IF(B1909="","",ROW()-4)</f>
        <v/>
      </c>
      <c r="B1909" s="22"/>
      <c r="C1909" s="21" t="str">
        <f aca="false">IF(B1909="","",CHOOSE(WEEKDAY(B1909,2),"LUNES","MARTES","MIÉRCOLES","JUEVES","VIERNES","SÁBADO","DOMINGO"))</f>
        <v/>
      </c>
      <c r="M1909" s="23"/>
      <c r="Q1909" s="21" t="str">
        <f aca="false">IF(OR(K1909="",N1909=""),"",K1909-N1909)</f>
        <v/>
      </c>
      <c r="R1909" s="21" t="str">
        <f aca="false">IF(OR(J1909="",K1909=""),"",J1909*K1909)</f>
        <v/>
      </c>
      <c r="S1909" s="21" t="str">
        <f aca="false">IF(AND(ISNUMBER(J1909),ISNUMBER(K1909),F1909&lt;&gt;"Calentamiento",F1909&lt;&gt;"Bilbo"),IF(AND(K1909&gt;0,K1909&lt;=12),ROUND(J1909*(1+(K1909+IF(ISNUMBER(L1909),L1909,0))/30),1),""),"")</f>
        <v/>
      </c>
      <c r="T1909" s="21" t="str">
        <f aca="false">IF(AND(F1909="Bilbo",ISNUMBER(J1909),ISNUMBER(K1909)),ROUND(J1909*(1+K1909/30),1),"")</f>
        <v/>
      </c>
      <c r="W1909" s="22"/>
      <c r="X1909" s="21" t="str">
        <f aca="false">IF(AND(F1909="Bilbo",E1909&lt;&gt;"",G1909&lt;&gt;"",H1909&lt;&gt;""),E1909&amp;"|"&amp;G1909&amp;"|"&amp;H1909,"")</f>
        <v/>
      </c>
      <c r="Y1909" s="21" t="str">
        <f aca="false">IF(B1909="","",IF(B1909&lt;&gt;B1908,1,0))</f>
        <v/>
      </c>
    </row>
    <row r="1910" customFormat="false" ht="15" hidden="false" customHeight="true" outlineLevel="0" collapsed="false">
      <c r="A1910" s="21" t="str">
        <f aca="false">IF(B1910="","",ROW()-4)</f>
        <v/>
      </c>
      <c r="B1910" s="22"/>
      <c r="C1910" s="21" t="str">
        <f aca="false">IF(B1910="","",CHOOSE(WEEKDAY(B1910,2),"LUNES","MARTES","MIÉRCOLES","JUEVES","VIERNES","SÁBADO","DOMINGO"))</f>
        <v/>
      </c>
      <c r="M1910" s="23"/>
      <c r="Q1910" s="21" t="str">
        <f aca="false">IF(OR(K1910="",N1910=""),"",K1910-N1910)</f>
        <v/>
      </c>
      <c r="R1910" s="21" t="str">
        <f aca="false">IF(OR(J1910="",K1910=""),"",J1910*K1910)</f>
        <v/>
      </c>
      <c r="S1910" s="21" t="str">
        <f aca="false">IF(AND(ISNUMBER(J1910),ISNUMBER(K1910),F1910&lt;&gt;"Calentamiento",F1910&lt;&gt;"Bilbo"),IF(AND(K1910&gt;0,K1910&lt;=12),ROUND(J1910*(1+(K1910+IF(ISNUMBER(L1910),L1910,0))/30),1),""),"")</f>
        <v/>
      </c>
      <c r="T1910" s="21" t="str">
        <f aca="false">IF(AND(F1910="Bilbo",ISNUMBER(J1910),ISNUMBER(K1910)),ROUND(J1910*(1+K1910/30),1),"")</f>
        <v/>
      </c>
      <c r="W1910" s="22"/>
      <c r="X1910" s="21" t="str">
        <f aca="false">IF(AND(F1910="Bilbo",E1910&lt;&gt;"",G1910&lt;&gt;"",H1910&lt;&gt;""),E1910&amp;"|"&amp;G1910&amp;"|"&amp;H1910,"")</f>
        <v/>
      </c>
      <c r="Y1910" s="21" t="str">
        <f aca="false">IF(B1910="","",IF(B1910&lt;&gt;B1909,1,0))</f>
        <v/>
      </c>
    </row>
    <row r="1911" customFormat="false" ht="15" hidden="false" customHeight="true" outlineLevel="0" collapsed="false">
      <c r="A1911" s="21" t="str">
        <f aca="false">IF(B1911="","",ROW()-4)</f>
        <v/>
      </c>
      <c r="B1911" s="22"/>
      <c r="C1911" s="21" t="str">
        <f aca="false">IF(B1911="","",CHOOSE(WEEKDAY(B1911,2),"LUNES","MARTES","MIÉRCOLES","JUEVES","VIERNES","SÁBADO","DOMINGO"))</f>
        <v/>
      </c>
      <c r="M1911" s="23"/>
      <c r="Q1911" s="21" t="str">
        <f aca="false">IF(OR(K1911="",N1911=""),"",K1911-N1911)</f>
        <v/>
      </c>
      <c r="R1911" s="21" t="str">
        <f aca="false">IF(OR(J1911="",K1911=""),"",J1911*K1911)</f>
        <v/>
      </c>
      <c r="S1911" s="21" t="str">
        <f aca="false">IF(AND(ISNUMBER(J1911),ISNUMBER(K1911),F1911&lt;&gt;"Calentamiento",F1911&lt;&gt;"Bilbo"),IF(AND(K1911&gt;0,K1911&lt;=12),ROUND(J1911*(1+(K1911+IF(ISNUMBER(L1911),L1911,0))/30),1),""),"")</f>
        <v/>
      </c>
      <c r="T1911" s="21" t="str">
        <f aca="false">IF(AND(F1911="Bilbo",ISNUMBER(J1911),ISNUMBER(K1911)),ROUND(J1911*(1+K1911/30),1),"")</f>
        <v/>
      </c>
      <c r="W1911" s="22"/>
      <c r="X1911" s="21" t="str">
        <f aca="false">IF(AND(F1911="Bilbo",E1911&lt;&gt;"",G1911&lt;&gt;"",H1911&lt;&gt;""),E1911&amp;"|"&amp;G1911&amp;"|"&amp;H1911,"")</f>
        <v/>
      </c>
      <c r="Y1911" s="21" t="str">
        <f aca="false">IF(B1911="","",IF(B1911&lt;&gt;B1910,1,0))</f>
        <v/>
      </c>
    </row>
    <row r="1912" customFormat="false" ht="15" hidden="false" customHeight="true" outlineLevel="0" collapsed="false">
      <c r="A1912" s="21" t="str">
        <f aca="false">IF(B1912="","",ROW()-4)</f>
        <v/>
      </c>
      <c r="B1912" s="22"/>
      <c r="C1912" s="21" t="str">
        <f aca="false">IF(B1912="","",CHOOSE(WEEKDAY(B1912,2),"LUNES","MARTES","MIÉRCOLES","JUEVES","VIERNES","SÁBADO","DOMINGO"))</f>
        <v/>
      </c>
      <c r="M1912" s="23"/>
      <c r="Q1912" s="21" t="str">
        <f aca="false">IF(OR(K1912="",N1912=""),"",K1912-N1912)</f>
        <v/>
      </c>
      <c r="R1912" s="21" t="str">
        <f aca="false">IF(OR(J1912="",K1912=""),"",J1912*K1912)</f>
        <v/>
      </c>
      <c r="S1912" s="21" t="str">
        <f aca="false">IF(AND(ISNUMBER(J1912),ISNUMBER(K1912),F1912&lt;&gt;"Calentamiento",F1912&lt;&gt;"Bilbo"),IF(AND(K1912&gt;0,K1912&lt;=12),ROUND(J1912*(1+(K1912+IF(ISNUMBER(L1912),L1912,0))/30),1),""),"")</f>
        <v/>
      </c>
      <c r="T1912" s="21" t="str">
        <f aca="false">IF(AND(F1912="Bilbo",ISNUMBER(J1912),ISNUMBER(K1912)),ROUND(J1912*(1+K1912/30),1),"")</f>
        <v/>
      </c>
      <c r="W1912" s="22"/>
      <c r="X1912" s="21" t="str">
        <f aca="false">IF(AND(F1912="Bilbo",E1912&lt;&gt;"",G1912&lt;&gt;"",H1912&lt;&gt;""),E1912&amp;"|"&amp;G1912&amp;"|"&amp;H1912,"")</f>
        <v/>
      </c>
      <c r="Y1912" s="21" t="str">
        <f aca="false">IF(B1912="","",IF(B1912&lt;&gt;B1911,1,0))</f>
        <v/>
      </c>
    </row>
    <row r="1913" customFormat="false" ht="15" hidden="false" customHeight="true" outlineLevel="0" collapsed="false">
      <c r="A1913" s="21" t="str">
        <f aca="false">IF(B1913="","",ROW()-4)</f>
        <v/>
      </c>
      <c r="B1913" s="22"/>
      <c r="C1913" s="21" t="str">
        <f aca="false">IF(B1913="","",CHOOSE(WEEKDAY(B1913,2),"LUNES","MARTES","MIÉRCOLES","JUEVES","VIERNES","SÁBADO","DOMINGO"))</f>
        <v/>
      </c>
      <c r="M1913" s="23"/>
      <c r="Q1913" s="21" t="str">
        <f aca="false">IF(OR(K1913="",N1913=""),"",K1913-N1913)</f>
        <v/>
      </c>
      <c r="R1913" s="21" t="str">
        <f aca="false">IF(OR(J1913="",K1913=""),"",J1913*K1913)</f>
        <v/>
      </c>
      <c r="S1913" s="21" t="str">
        <f aca="false">IF(AND(ISNUMBER(J1913),ISNUMBER(K1913),F1913&lt;&gt;"Calentamiento",F1913&lt;&gt;"Bilbo"),IF(AND(K1913&gt;0,K1913&lt;=12),ROUND(J1913*(1+(K1913+IF(ISNUMBER(L1913),L1913,0))/30),1),""),"")</f>
        <v/>
      </c>
      <c r="T1913" s="21" t="str">
        <f aca="false">IF(AND(F1913="Bilbo",ISNUMBER(J1913),ISNUMBER(K1913)),ROUND(J1913*(1+K1913/30),1),"")</f>
        <v/>
      </c>
      <c r="W1913" s="22"/>
      <c r="X1913" s="21" t="str">
        <f aca="false">IF(AND(F1913="Bilbo",E1913&lt;&gt;"",G1913&lt;&gt;"",H1913&lt;&gt;""),E1913&amp;"|"&amp;G1913&amp;"|"&amp;H1913,"")</f>
        <v/>
      </c>
      <c r="Y1913" s="21" t="str">
        <f aca="false">IF(B1913="","",IF(B1913&lt;&gt;B1912,1,0))</f>
        <v/>
      </c>
    </row>
    <row r="1914" customFormat="false" ht="15" hidden="false" customHeight="true" outlineLevel="0" collapsed="false">
      <c r="A1914" s="21" t="str">
        <f aca="false">IF(B1914="","",ROW()-4)</f>
        <v/>
      </c>
      <c r="B1914" s="22"/>
      <c r="C1914" s="21" t="str">
        <f aca="false">IF(B1914="","",CHOOSE(WEEKDAY(B1914,2),"LUNES","MARTES","MIÉRCOLES","JUEVES","VIERNES","SÁBADO","DOMINGO"))</f>
        <v/>
      </c>
      <c r="M1914" s="23"/>
      <c r="Q1914" s="21" t="str">
        <f aca="false">IF(OR(K1914="",N1914=""),"",K1914-N1914)</f>
        <v/>
      </c>
      <c r="R1914" s="21" t="str">
        <f aca="false">IF(OR(J1914="",K1914=""),"",J1914*K1914)</f>
        <v/>
      </c>
      <c r="S1914" s="21" t="str">
        <f aca="false">IF(AND(ISNUMBER(J1914),ISNUMBER(K1914),F1914&lt;&gt;"Calentamiento",F1914&lt;&gt;"Bilbo"),IF(AND(K1914&gt;0,K1914&lt;=12),ROUND(J1914*(1+(K1914+IF(ISNUMBER(L1914),L1914,0))/30),1),""),"")</f>
        <v/>
      </c>
      <c r="T1914" s="21" t="str">
        <f aca="false">IF(AND(F1914="Bilbo",ISNUMBER(J1914),ISNUMBER(K1914)),ROUND(J1914*(1+K1914/30),1),"")</f>
        <v/>
      </c>
      <c r="W1914" s="22"/>
      <c r="X1914" s="21" t="str">
        <f aca="false">IF(AND(F1914="Bilbo",E1914&lt;&gt;"",G1914&lt;&gt;"",H1914&lt;&gt;""),E1914&amp;"|"&amp;G1914&amp;"|"&amp;H1914,"")</f>
        <v/>
      </c>
      <c r="Y1914" s="21" t="str">
        <f aca="false">IF(B1914="","",IF(B1914&lt;&gt;B1913,1,0))</f>
        <v/>
      </c>
    </row>
    <row r="1915" customFormat="false" ht="15" hidden="false" customHeight="true" outlineLevel="0" collapsed="false">
      <c r="A1915" s="21" t="str">
        <f aca="false">IF(B1915="","",ROW()-4)</f>
        <v/>
      </c>
      <c r="B1915" s="22"/>
      <c r="C1915" s="21" t="str">
        <f aca="false">IF(B1915="","",CHOOSE(WEEKDAY(B1915,2),"LUNES","MARTES","MIÉRCOLES","JUEVES","VIERNES","SÁBADO","DOMINGO"))</f>
        <v/>
      </c>
      <c r="M1915" s="23"/>
      <c r="Q1915" s="21" t="str">
        <f aca="false">IF(OR(K1915="",N1915=""),"",K1915-N1915)</f>
        <v/>
      </c>
      <c r="R1915" s="21" t="str">
        <f aca="false">IF(OR(J1915="",K1915=""),"",J1915*K1915)</f>
        <v/>
      </c>
      <c r="S1915" s="21" t="str">
        <f aca="false">IF(AND(ISNUMBER(J1915),ISNUMBER(K1915),F1915&lt;&gt;"Calentamiento",F1915&lt;&gt;"Bilbo"),IF(AND(K1915&gt;0,K1915&lt;=12),ROUND(J1915*(1+(K1915+IF(ISNUMBER(L1915),L1915,0))/30),1),""),"")</f>
        <v/>
      </c>
      <c r="T1915" s="21" t="str">
        <f aca="false">IF(AND(F1915="Bilbo",ISNUMBER(J1915),ISNUMBER(K1915)),ROUND(J1915*(1+K1915/30),1),"")</f>
        <v/>
      </c>
      <c r="W1915" s="22"/>
      <c r="X1915" s="21" t="str">
        <f aca="false">IF(AND(F1915="Bilbo",E1915&lt;&gt;"",G1915&lt;&gt;"",H1915&lt;&gt;""),E1915&amp;"|"&amp;G1915&amp;"|"&amp;H1915,"")</f>
        <v/>
      </c>
      <c r="Y1915" s="21" t="str">
        <f aca="false">IF(B1915="","",IF(B1915&lt;&gt;B1914,1,0))</f>
        <v/>
      </c>
    </row>
    <row r="1916" customFormat="false" ht="15" hidden="false" customHeight="true" outlineLevel="0" collapsed="false">
      <c r="A1916" s="21" t="str">
        <f aca="false">IF(B1916="","",ROW()-4)</f>
        <v/>
      </c>
      <c r="B1916" s="22"/>
      <c r="C1916" s="21" t="str">
        <f aca="false">IF(B1916="","",CHOOSE(WEEKDAY(B1916,2),"LUNES","MARTES","MIÉRCOLES","JUEVES","VIERNES","SÁBADO","DOMINGO"))</f>
        <v/>
      </c>
      <c r="M1916" s="23"/>
      <c r="Q1916" s="21" t="str">
        <f aca="false">IF(OR(K1916="",N1916=""),"",K1916-N1916)</f>
        <v/>
      </c>
      <c r="R1916" s="21" t="str">
        <f aca="false">IF(OR(J1916="",K1916=""),"",J1916*K1916)</f>
        <v/>
      </c>
      <c r="S1916" s="21" t="str">
        <f aca="false">IF(AND(ISNUMBER(J1916),ISNUMBER(K1916),F1916&lt;&gt;"Calentamiento",F1916&lt;&gt;"Bilbo"),IF(AND(K1916&gt;0,K1916&lt;=12),ROUND(J1916*(1+(K1916+IF(ISNUMBER(L1916),L1916,0))/30),1),""),"")</f>
        <v/>
      </c>
      <c r="T1916" s="21" t="str">
        <f aca="false">IF(AND(F1916="Bilbo",ISNUMBER(J1916),ISNUMBER(K1916)),ROUND(J1916*(1+K1916/30),1),"")</f>
        <v/>
      </c>
      <c r="W1916" s="22"/>
      <c r="X1916" s="21" t="str">
        <f aca="false">IF(AND(F1916="Bilbo",E1916&lt;&gt;"",G1916&lt;&gt;"",H1916&lt;&gt;""),E1916&amp;"|"&amp;G1916&amp;"|"&amp;H1916,"")</f>
        <v/>
      </c>
      <c r="Y1916" s="21" t="str">
        <f aca="false">IF(B1916="","",IF(B1916&lt;&gt;B1915,1,0))</f>
        <v/>
      </c>
    </row>
    <row r="1917" customFormat="false" ht="15" hidden="false" customHeight="true" outlineLevel="0" collapsed="false">
      <c r="A1917" s="21" t="str">
        <f aca="false">IF(B1917="","",ROW()-4)</f>
        <v/>
      </c>
      <c r="B1917" s="22"/>
      <c r="C1917" s="21" t="str">
        <f aca="false">IF(B1917="","",CHOOSE(WEEKDAY(B1917,2),"LUNES","MARTES","MIÉRCOLES","JUEVES","VIERNES","SÁBADO","DOMINGO"))</f>
        <v/>
      </c>
      <c r="M1917" s="23"/>
      <c r="Q1917" s="21" t="str">
        <f aca="false">IF(OR(K1917="",N1917=""),"",K1917-N1917)</f>
        <v/>
      </c>
      <c r="R1917" s="21" t="str">
        <f aca="false">IF(OR(J1917="",K1917=""),"",J1917*K1917)</f>
        <v/>
      </c>
      <c r="S1917" s="21" t="str">
        <f aca="false">IF(AND(ISNUMBER(J1917),ISNUMBER(K1917),F1917&lt;&gt;"Calentamiento",F1917&lt;&gt;"Bilbo"),IF(AND(K1917&gt;0,K1917&lt;=12),ROUND(J1917*(1+(K1917+IF(ISNUMBER(L1917),L1917,0))/30),1),""),"")</f>
        <v/>
      </c>
      <c r="T1917" s="21" t="str">
        <f aca="false">IF(AND(F1917="Bilbo",ISNUMBER(J1917),ISNUMBER(K1917)),ROUND(J1917*(1+K1917/30),1),"")</f>
        <v/>
      </c>
      <c r="W1917" s="22"/>
      <c r="X1917" s="21" t="str">
        <f aca="false">IF(AND(F1917="Bilbo",E1917&lt;&gt;"",G1917&lt;&gt;"",H1917&lt;&gt;""),E1917&amp;"|"&amp;G1917&amp;"|"&amp;H1917,"")</f>
        <v/>
      </c>
      <c r="Y1917" s="21" t="str">
        <f aca="false">IF(B1917="","",IF(B1917&lt;&gt;B1916,1,0))</f>
        <v/>
      </c>
    </row>
    <row r="1918" customFormat="false" ht="15" hidden="false" customHeight="true" outlineLevel="0" collapsed="false">
      <c r="A1918" s="21" t="str">
        <f aca="false">IF(B1918="","",ROW()-4)</f>
        <v/>
      </c>
      <c r="B1918" s="22"/>
      <c r="C1918" s="21" t="str">
        <f aca="false">IF(B1918="","",CHOOSE(WEEKDAY(B1918,2),"LUNES","MARTES","MIÉRCOLES","JUEVES","VIERNES","SÁBADO","DOMINGO"))</f>
        <v/>
      </c>
      <c r="M1918" s="23"/>
      <c r="Q1918" s="21" t="str">
        <f aca="false">IF(OR(K1918="",N1918=""),"",K1918-N1918)</f>
        <v/>
      </c>
      <c r="R1918" s="21" t="str">
        <f aca="false">IF(OR(J1918="",K1918=""),"",J1918*K1918)</f>
        <v/>
      </c>
      <c r="S1918" s="21" t="str">
        <f aca="false">IF(AND(ISNUMBER(J1918),ISNUMBER(K1918),F1918&lt;&gt;"Calentamiento",F1918&lt;&gt;"Bilbo"),IF(AND(K1918&gt;0,K1918&lt;=12),ROUND(J1918*(1+(K1918+IF(ISNUMBER(L1918),L1918,0))/30),1),""),"")</f>
        <v/>
      </c>
      <c r="T1918" s="21" t="str">
        <f aca="false">IF(AND(F1918="Bilbo",ISNUMBER(J1918),ISNUMBER(K1918)),ROUND(J1918*(1+K1918/30),1),"")</f>
        <v/>
      </c>
      <c r="W1918" s="22"/>
      <c r="X1918" s="21" t="str">
        <f aca="false">IF(AND(F1918="Bilbo",E1918&lt;&gt;"",G1918&lt;&gt;"",H1918&lt;&gt;""),E1918&amp;"|"&amp;G1918&amp;"|"&amp;H1918,"")</f>
        <v/>
      </c>
      <c r="Y1918" s="21" t="str">
        <f aca="false">IF(B1918="","",IF(B1918&lt;&gt;B1917,1,0))</f>
        <v/>
      </c>
    </row>
    <row r="1919" customFormat="false" ht="15" hidden="false" customHeight="true" outlineLevel="0" collapsed="false">
      <c r="A1919" s="21" t="str">
        <f aca="false">IF(B1919="","",ROW()-4)</f>
        <v/>
      </c>
      <c r="B1919" s="22"/>
      <c r="C1919" s="21" t="str">
        <f aca="false">IF(B1919="","",CHOOSE(WEEKDAY(B1919,2),"LUNES","MARTES","MIÉRCOLES","JUEVES","VIERNES","SÁBADO","DOMINGO"))</f>
        <v/>
      </c>
      <c r="M1919" s="23"/>
      <c r="Q1919" s="21" t="str">
        <f aca="false">IF(OR(K1919="",N1919=""),"",K1919-N1919)</f>
        <v/>
      </c>
      <c r="R1919" s="21" t="str">
        <f aca="false">IF(OR(J1919="",K1919=""),"",J1919*K1919)</f>
        <v/>
      </c>
      <c r="S1919" s="21" t="str">
        <f aca="false">IF(AND(ISNUMBER(J1919),ISNUMBER(K1919),F1919&lt;&gt;"Calentamiento",F1919&lt;&gt;"Bilbo"),IF(AND(K1919&gt;0,K1919&lt;=12),ROUND(J1919*(1+(K1919+IF(ISNUMBER(L1919),L1919,0))/30),1),""),"")</f>
        <v/>
      </c>
      <c r="T1919" s="21" t="str">
        <f aca="false">IF(AND(F1919="Bilbo",ISNUMBER(J1919),ISNUMBER(K1919)),ROUND(J1919*(1+K1919/30),1),"")</f>
        <v/>
      </c>
      <c r="W1919" s="22"/>
      <c r="X1919" s="21" t="str">
        <f aca="false">IF(AND(F1919="Bilbo",E1919&lt;&gt;"",G1919&lt;&gt;"",H1919&lt;&gt;""),E1919&amp;"|"&amp;G1919&amp;"|"&amp;H1919,"")</f>
        <v/>
      </c>
      <c r="Y1919" s="21" t="str">
        <f aca="false">IF(B1919="","",IF(B1919&lt;&gt;B1918,1,0))</f>
        <v/>
      </c>
    </row>
    <row r="1920" customFormat="false" ht="15" hidden="false" customHeight="true" outlineLevel="0" collapsed="false">
      <c r="A1920" s="21" t="str">
        <f aca="false">IF(B1920="","",ROW()-4)</f>
        <v/>
      </c>
      <c r="B1920" s="22"/>
      <c r="C1920" s="21" t="str">
        <f aca="false">IF(B1920="","",CHOOSE(WEEKDAY(B1920,2),"LUNES","MARTES","MIÉRCOLES","JUEVES","VIERNES","SÁBADO","DOMINGO"))</f>
        <v/>
      </c>
      <c r="M1920" s="23"/>
      <c r="Q1920" s="21" t="str">
        <f aca="false">IF(OR(K1920="",N1920=""),"",K1920-N1920)</f>
        <v/>
      </c>
      <c r="R1920" s="21" t="str">
        <f aca="false">IF(OR(J1920="",K1920=""),"",J1920*K1920)</f>
        <v/>
      </c>
      <c r="S1920" s="21" t="str">
        <f aca="false">IF(AND(ISNUMBER(J1920),ISNUMBER(K1920),F1920&lt;&gt;"Calentamiento",F1920&lt;&gt;"Bilbo"),IF(AND(K1920&gt;0,K1920&lt;=12),ROUND(J1920*(1+(K1920+IF(ISNUMBER(L1920),L1920,0))/30),1),""),"")</f>
        <v/>
      </c>
      <c r="T1920" s="21" t="str">
        <f aca="false">IF(AND(F1920="Bilbo",ISNUMBER(J1920),ISNUMBER(K1920)),ROUND(J1920*(1+K1920/30),1),"")</f>
        <v/>
      </c>
      <c r="W1920" s="22"/>
      <c r="X1920" s="21" t="str">
        <f aca="false">IF(AND(F1920="Bilbo",E1920&lt;&gt;"",G1920&lt;&gt;"",H1920&lt;&gt;""),E1920&amp;"|"&amp;G1920&amp;"|"&amp;H1920,"")</f>
        <v/>
      </c>
      <c r="Y1920" s="21" t="str">
        <f aca="false">IF(B1920="","",IF(B1920&lt;&gt;B1919,1,0))</f>
        <v/>
      </c>
    </row>
    <row r="1921" customFormat="false" ht="15" hidden="false" customHeight="true" outlineLevel="0" collapsed="false">
      <c r="A1921" s="21" t="str">
        <f aca="false">IF(B1921="","",ROW()-4)</f>
        <v/>
      </c>
      <c r="B1921" s="22"/>
      <c r="C1921" s="21" t="str">
        <f aca="false">IF(B1921="","",CHOOSE(WEEKDAY(B1921,2),"LUNES","MARTES","MIÉRCOLES","JUEVES","VIERNES","SÁBADO","DOMINGO"))</f>
        <v/>
      </c>
      <c r="M1921" s="23"/>
      <c r="Q1921" s="21" t="str">
        <f aca="false">IF(OR(K1921="",N1921=""),"",K1921-N1921)</f>
        <v/>
      </c>
      <c r="R1921" s="21" t="str">
        <f aca="false">IF(OR(J1921="",K1921=""),"",J1921*K1921)</f>
        <v/>
      </c>
      <c r="S1921" s="21" t="str">
        <f aca="false">IF(AND(ISNUMBER(J1921),ISNUMBER(K1921),F1921&lt;&gt;"Calentamiento",F1921&lt;&gt;"Bilbo"),IF(AND(K1921&gt;0,K1921&lt;=12),ROUND(J1921*(1+(K1921+IF(ISNUMBER(L1921),L1921,0))/30),1),""),"")</f>
        <v/>
      </c>
      <c r="T1921" s="21" t="str">
        <f aca="false">IF(AND(F1921="Bilbo",ISNUMBER(J1921),ISNUMBER(K1921)),ROUND(J1921*(1+K1921/30),1),"")</f>
        <v/>
      </c>
      <c r="W1921" s="22"/>
      <c r="X1921" s="21" t="str">
        <f aca="false">IF(AND(F1921="Bilbo",E1921&lt;&gt;"",G1921&lt;&gt;"",H1921&lt;&gt;""),E1921&amp;"|"&amp;G1921&amp;"|"&amp;H1921,"")</f>
        <v/>
      </c>
      <c r="Y1921" s="21" t="str">
        <f aca="false">IF(B1921="","",IF(B1921&lt;&gt;B1920,1,0))</f>
        <v/>
      </c>
    </row>
    <row r="1922" customFormat="false" ht="15" hidden="false" customHeight="true" outlineLevel="0" collapsed="false">
      <c r="A1922" s="21" t="str">
        <f aca="false">IF(B1922="","",ROW()-4)</f>
        <v/>
      </c>
      <c r="B1922" s="22"/>
      <c r="C1922" s="21" t="str">
        <f aca="false">IF(B1922="","",CHOOSE(WEEKDAY(B1922,2),"LUNES","MARTES","MIÉRCOLES","JUEVES","VIERNES","SÁBADO","DOMINGO"))</f>
        <v/>
      </c>
      <c r="M1922" s="23"/>
      <c r="Q1922" s="21" t="str">
        <f aca="false">IF(OR(K1922="",N1922=""),"",K1922-N1922)</f>
        <v/>
      </c>
      <c r="R1922" s="21" t="str">
        <f aca="false">IF(OR(J1922="",K1922=""),"",J1922*K1922)</f>
        <v/>
      </c>
      <c r="S1922" s="21" t="str">
        <f aca="false">IF(AND(ISNUMBER(J1922),ISNUMBER(K1922),F1922&lt;&gt;"Calentamiento",F1922&lt;&gt;"Bilbo"),IF(AND(K1922&gt;0,K1922&lt;=12),ROUND(J1922*(1+(K1922+IF(ISNUMBER(L1922),L1922,0))/30),1),""),"")</f>
        <v/>
      </c>
      <c r="T1922" s="21" t="str">
        <f aca="false">IF(AND(F1922="Bilbo",ISNUMBER(J1922),ISNUMBER(K1922)),ROUND(J1922*(1+K1922/30),1),"")</f>
        <v/>
      </c>
      <c r="W1922" s="22"/>
      <c r="X1922" s="21" t="str">
        <f aca="false">IF(AND(F1922="Bilbo",E1922&lt;&gt;"",G1922&lt;&gt;"",H1922&lt;&gt;""),E1922&amp;"|"&amp;G1922&amp;"|"&amp;H1922,"")</f>
        <v/>
      </c>
      <c r="Y1922" s="21" t="str">
        <f aca="false">IF(B1922="","",IF(B1922&lt;&gt;B1921,1,0))</f>
        <v/>
      </c>
    </row>
    <row r="1923" customFormat="false" ht="15" hidden="false" customHeight="true" outlineLevel="0" collapsed="false">
      <c r="A1923" s="21" t="str">
        <f aca="false">IF(B1923="","",ROW()-4)</f>
        <v/>
      </c>
      <c r="B1923" s="22"/>
      <c r="C1923" s="21" t="str">
        <f aca="false">IF(B1923="","",CHOOSE(WEEKDAY(B1923,2),"LUNES","MARTES","MIÉRCOLES","JUEVES","VIERNES","SÁBADO","DOMINGO"))</f>
        <v/>
      </c>
      <c r="M1923" s="23"/>
      <c r="Q1923" s="21" t="str">
        <f aca="false">IF(OR(K1923="",N1923=""),"",K1923-N1923)</f>
        <v/>
      </c>
      <c r="R1923" s="21" t="str">
        <f aca="false">IF(OR(J1923="",K1923=""),"",J1923*K1923)</f>
        <v/>
      </c>
      <c r="S1923" s="21" t="str">
        <f aca="false">IF(AND(ISNUMBER(J1923),ISNUMBER(K1923),F1923&lt;&gt;"Calentamiento",F1923&lt;&gt;"Bilbo"),IF(AND(K1923&gt;0,K1923&lt;=12),ROUND(J1923*(1+(K1923+IF(ISNUMBER(L1923),L1923,0))/30),1),""),"")</f>
        <v/>
      </c>
      <c r="T1923" s="21" t="str">
        <f aca="false">IF(AND(F1923="Bilbo",ISNUMBER(J1923),ISNUMBER(K1923)),ROUND(J1923*(1+K1923/30),1),"")</f>
        <v/>
      </c>
      <c r="W1923" s="22"/>
      <c r="X1923" s="21" t="str">
        <f aca="false">IF(AND(F1923="Bilbo",E1923&lt;&gt;"",G1923&lt;&gt;"",H1923&lt;&gt;""),E1923&amp;"|"&amp;G1923&amp;"|"&amp;H1923,"")</f>
        <v/>
      </c>
      <c r="Y1923" s="21" t="str">
        <f aca="false">IF(B1923="","",IF(B1923&lt;&gt;B1922,1,0))</f>
        <v/>
      </c>
    </row>
    <row r="1924" customFormat="false" ht="15" hidden="false" customHeight="true" outlineLevel="0" collapsed="false">
      <c r="A1924" s="21" t="str">
        <f aca="false">IF(B1924="","",ROW()-4)</f>
        <v/>
      </c>
      <c r="B1924" s="22"/>
      <c r="C1924" s="21" t="str">
        <f aca="false">IF(B1924="","",CHOOSE(WEEKDAY(B1924,2),"LUNES","MARTES","MIÉRCOLES","JUEVES","VIERNES","SÁBADO","DOMINGO"))</f>
        <v/>
      </c>
      <c r="M1924" s="23"/>
      <c r="Q1924" s="21" t="str">
        <f aca="false">IF(OR(K1924="",N1924=""),"",K1924-N1924)</f>
        <v/>
      </c>
      <c r="R1924" s="21" t="str">
        <f aca="false">IF(OR(J1924="",K1924=""),"",J1924*K1924)</f>
        <v/>
      </c>
      <c r="S1924" s="21" t="str">
        <f aca="false">IF(AND(ISNUMBER(J1924),ISNUMBER(K1924),F1924&lt;&gt;"Calentamiento",F1924&lt;&gt;"Bilbo"),IF(AND(K1924&gt;0,K1924&lt;=12),ROUND(J1924*(1+(K1924+IF(ISNUMBER(L1924),L1924,0))/30),1),""),"")</f>
        <v/>
      </c>
      <c r="T1924" s="21" t="str">
        <f aca="false">IF(AND(F1924="Bilbo",ISNUMBER(J1924),ISNUMBER(K1924)),ROUND(J1924*(1+K1924/30),1),"")</f>
        <v/>
      </c>
      <c r="W1924" s="22"/>
      <c r="X1924" s="21" t="str">
        <f aca="false">IF(AND(F1924="Bilbo",E1924&lt;&gt;"",G1924&lt;&gt;"",H1924&lt;&gt;""),E1924&amp;"|"&amp;G1924&amp;"|"&amp;H1924,"")</f>
        <v/>
      </c>
      <c r="Y1924" s="21" t="str">
        <f aca="false">IF(B1924="","",IF(B1924&lt;&gt;B1923,1,0))</f>
        <v/>
      </c>
    </row>
    <row r="1925" customFormat="false" ht="15" hidden="false" customHeight="true" outlineLevel="0" collapsed="false">
      <c r="A1925" s="21" t="str">
        <f aca="false">IF(B1925="","",ROW()-4)</f>
        <v/>
      </c>
      <c r="B1925" s="22"/>
      <c r="C1925" s="21" t="str">
        <f aca="false">IF(B1925="","",CHOOSE(WEEKDAY(B1925,2),"LUNES","MARTES","MIÉRCOLES","JUEVES","VIERNES","SÁBADO","DOMINGO"))</f>
        <v/>
      </c>
      <c r="M1925" s="23"/>
      <c r="Q1925" s="21" t="str">
        <f aca="false">IF(OR(K1925="",N1925=""),"",K1925-N1925)</f>
        <v/>
      </c>
      <c r="R1925" s="21" t="str">
        <f aca="false">IF(OR(J1925="",K1925=""),"",J1925*K1925)</f>
        <v/>
      </c>
      <c r="S1925" s="21" t="str">
        <f aca="false">IF(AND(ISNUMBER(J1925),ISNUMBER(K1925),F1925&lt;&gt;"Calentamiento",F1925&lt;&gt;"Bilbo"),IF(AND(K1925&gt;0,K1925&lt;=12),ROUND(J1925*(1+(K1925+IF(ISNUMBER(L1925),L1925,0))/30),1),""),"")</f>
        <v/>
      </c>
      <c r="T1925" s="21" t="str">
        <f aca="false">IF(AND(F1925="Bilbo",ISNUMBER(J1925),ISNUMBER(K1925)),ROUND(J1925*(1+K1925/30),1),"")</f>
        <v/>
      </c>
      <c r="W1925" s="22"/>
      <c r="X1925" s="21" t="str">
        <f aca="false">IF(AND(F1925="Bilbo",E1925&lt;&gt;"",G1925&lt;&gt;"",H1925&lt;&gt;""),E1925&amp;"|"&amp;G1925&amp;"|"&amp;H1925,"")</f>
        <v/>
      </c>
      <c r="Y1925" s="21" t="str">
        <f aca="false">IF(B1925="","",IF(B1925&lt;&gt;B1924,1,0))</f>
        <v/>
      </c>
    </row>
    <row r="1926" customFormat="false" ht="15" hidden="false" customHeight="true" outlineLevel="0" collapsed="false">
      <c r="A1926" s="21" t="str">
        <f aca="false">IF(B1926="","",ROW()-4)</f>
        <v/>
      </c>
      <c r="B1926" s="22"/>
      <c r="C1926" s="21" t="str">
        <f aca="false">IF(B1926="","",CHOOSE(WEEKDAY(B1926,2),"LUNES","MARTES","MIÉRCOLES","JUEVES","VIERNES","SÁBADO","DOMINGO"))</f>
        <v/>
      </c>
      <c r="M1926" s="23"/>
      <c r="Q1926" s="21" t="str">
        <f aca="false">IF(OR(K1926="",N1926=""),"",K1926-N1926)</f>
        <v/>
      </c>
      <c r="R1926" s="21" t="str">
        <f aca="false">IF(OR(J1926="",K1926=""),"",J1926*K1926)</f>
        <v/>
      </c>
      <c r="S1926" s="21" t="str">
        <f aca="false">IF(AND(ISNUMBER(J1926),ISNUMBER(K1926),F1926&lt;&gt;"Calentamiento",F1926&lt;&gt;"Bilbo"),IF(AND(K1926&gt;0,K1926&lt;=12),ROUND(J1926*(1+(K1926+IF(ISNUMBER(L1926),L1926,0))/30),1),""),"")</f>
        <v/>
      </c>
      <c r="T1926" s="21" t="str">
        <f aca="false">IF(AND(F1926="Bilbo",ISNUMBER(J1926),ISNUMBER(K1926)),ROUND(J1926*(1+K1926/30),1),"")</f>
        <v/>
      </c>
      <c r="W1926" s="22"/>
      <c r="X1926" s="21" t="str">
        <f aca="false">IF(AND(F1926="Bilbo",E1926&lt;&gt;"",G1926&lt;&gt;"",H1926&lt;&gt;""),E1926&amp;"|"&amp;G1926&amp;"|"&amp;H1926,"")</f>
        <v/>
      </c>
      <c r="Y1926" s="21" t="str">
        <f aca="false">IF(B1926="","",IF(B1926&lt;&gt;B1925,1,0))</f>
        <v/>
      </c>
    </row>
    <row r="1927" customFormat="false" ht="15" hidden="false" customHeight="true" outlineLevel="0" collapsed="false">
      <c r="A1927" s="21" t="str">
        <f aca="false">IF(B1927="","",ROW()-4)</f>
        <v/>
      </c>
      <c r="B1927" s="22"/>
      <c r="C1927" s="21" t="str">
        <f aca="false">IF(B1927="","",CHOOSE(WEEKDAY(B1927,2),"LUNES","MARTES","MIÉRCOLES","JUEVES","VIERNES","SÁBADO","DOMINGO"))</f>
        <v/>
      </c>
      <c r="M1927" s="23"/>
      <c r="Q1927" s="21" t="str">
        <f aca="false">IF(OR(K1927="",N1927=""),"",K1927-N1927)</f>
        <v/>
      </c>
      <c r="R1927" s="21" t="str">
        <f aca="false">IF(OR(J1927="",K1927=""),"",J1927*K1927)</f>
        <v/>
      </c>
      <c r="S1927" s="21" t="str">
        <f aca="false">IF(AND(ISNUMBER(J1927),ISNUMBER(K1927),F1927&lt;&gt;"Calentamiento",F1927&lt;&gt;"Bilbo"),IF(AND(K1927&gt;0,K1927&lt;=12),ROUND(J1927*(1+(K1927+IF(ISNUMBER(L1927),L1927,0))/30),1),""),"")</f>
        <v/>
      </c>
      <c r="T1927" s="21" t="str">
        <f aca="false">IF(AND(F1927="Bilbo",ISNUMBER(J1927),ISNUMBER(K1927)),ROUND(J1927*(1+K1927/30),1),"")</f>
        <v/>
      </c>
      <c r="W1927" s="22"/>
      <c r="X1927" s="21" t="str">
        <f aca="false">IF(AND(F1927="Bilbo",E1927&lt;&gt;"",G1927&lt;&gt;"",H1927&lt;&gt;""),E1927&amp;"|"&amp;G1927&amp;"|"&amp;H1927,"")</f>
        <v/>
      </c>
      <c r="Y1927" s="21" t="str">
        <f aca="false">IF(B1927="","",IF(B1927&lt;&gt;B1926,1,0))</f>
        <v/>
      </c>
    </row>
    <row r="1928" customFormat="false" ht="15" hidden="false" customHeight="true" outlineLevel="0" collapsed="false">
      <c r="A1928" s="21" t="str">
        <f aca="false">IF(B1928="","",ROW()-4)</f>
        <v/>
      </c>
      <c r="B1928" s="22"/>
      <c r="C1928" s="21" t="str">
        <f aca="false">IF(B1928="","",CHOOSE(WEEKDAY(B1928,2),"LUNES","MARTES","MIÉRCOLES","JUEVES","VIERNES","SÁBADO","DOMINGO"))</f>
        <v/>
      </c>
      <c r="M1928" s="23"/>
      <c r="Q1928" s="21" t="str">
        <f aca="false">IF(OR(K1928="",N1928=""),"",K1928-N1928)</f>
        <v/>
      </c>
      <c r="R1928" s="21" t="str">
        <f aca="false">IF(OR(J1928="",K1928=""),"",J1928*K1928)</f>
        <v/>
      </c>
      <c r="S1928" s="21" t="str">
        <f aca="false">IF(AND(ISNUMBER(J1928),ISNUMBER(K1928),F1928&lt;&gt;"Calentamiento",F1928&lt;&gt;"Bilbo"),IF(AND(K1928&gt;0,K1928&lt;=12),ROUND(J1928*(1+(K1928+IF(ISNUMBER(L1928),L1928,0))/30),1),""),"")</f>
        <v/>
      </c>
      <c r="T1928" s="21" t="str">
        <f aca="false">IF(AND(F1928="Bilbo",ISNUMBER(J1928),ISNUMBER(K1928)),ROUND(J1928*(1+K1928/30),1),"")</f>
        <v/>
      </c>
      <c r="W1928" s="22"/>
      <c r="X1928" s="21" t="str">
        <f aca="false">IF(AND(F1928="Bilbo",E1928&lt;&gt;"",G1928&lt;&gt;"",H1928&lt;&gt;""),E1928&amp;"|"&amp;G1928&amp;"|"&amp;H1928,"")</f>
        <v/>
      </c>
      <c r="Y1928" s="21" t="str">
        <f aca="false">IF(B1928="","",IF(B1928&lt;&gt;B1927,1,0))</f>
        <v/>
      </c>
    </row>
    <row r="1929" customFormat="false" ht="15" hidden="false" customHeight="true" outlineLevel="0" collapsed="false">
      <c r="A1929" s="21" t="str">
        <f aca="false">IF(B1929="","",ROW()-4)</f>
        <v/>
      </c>
      <c r="B1929" s="22"/>
      <c r="C1929" s="21" t="str">
        <f aca="false">IF(B1929="","",CHOOSE(WEEKDAY(B1929,2),"LUNES","MARTES","MIÉRCOLES","JUEVES","VIERNES","SÁBADO","DOMINGO"))</f>
        <v/>
      </c>
      <c r="M1929" s="23"/>
      <c r="Q1929" s="21" t="str">
        <f aca="false">IF(OR(K1929="",N1929=""),"",K1929-N1929)</f>
        <v/>
      </c>
      <c r="R1929" s="21" t="str">
        <f aca="false">IF(OR(J1929="",K1929=""),"",J1929*K1929)</f>
        <v/>
      </c>
      <c r="S1929" s="21" t="str">
        <f aca="false">IF(AND(ISNUMBER(J1929),ISNUMBER(K1929),F1929&lt;&gt;"Calentamiento",F1929&lt;&gt;"Bilbo"),IF(AND(K1929&gt;0,K1929&lt;=12),ROUND(J1929*(1+(K1929+IF(ISNUMBER(L1929),L1929,0))/30),1),""),"")</f>
        <v/>
      </c>
      <c r="T1929" s="21" t="str">
        <f aca="false">IF(AND(F1929="Bilbo",ISNUMBER(J1929),ISNUMBER(K1929)),ROUND(J1929*(1+K1929/30),1),"")</f>
        <v/>
      </c>
      <c r="W1929" s="22"/>
      <c r="X1929" s="21" t="str">
        <f aca="false">IF(AND(F1929="Bilbo",E1929&lt;&gt;"",G1929&lt;&gt;"",H1929&lt;&gt;""),E1929&amp;"|"&amp;G1929&amp;"|"&amp;H1929,"")</f>
        <v/>
      </c>
      <c r="Y1929" s="21" t="str">
        <f aca="false">IF(B1929="","",IF(B1929&lt;&gt;B1928,1,0))</f>
        <v/>
      </c>
    </row>
    <row r="1930" customFormat="false" ht="15" hidden="false" customHeight="true" outlineLevel="0" collapsed="false">
      <c r="A1930" s="21" t="str">
        <f aca="false">IF(B1930="","",ROW()-4)</f>
        <v/>
      </c>
      <c r="B1930" s="22"/>
      <c r="C1930" s="21" t="str">
        <f aca="false">IF(B1930="","",CHOOSE(WEEKDAY(B1930,2),"LUNES","MARTES","MIÉRCOLES","JUEVES","VIERNES","SÁBADO","DOMINGO"))</f>
        <v/>
      </c>
      <c r="M1930" s="23"/>
      <c r="Q1930" s="21" t="str">
        <f aca="false">IF(OR(K1930="",N1930=""),"",K1930-N1930)</f>
        <v/>
      </c>
      <c r="R1930" s="21" t="str">
        <f aca="false">IF(OR(J1930="",K1930=""),"",J1930*K1930)</f>
        <v/>
      </c>
      <c r="S1930" s="21" t="str">
        <f aca="false">IF(AND(ISNUMBER(J1930),ISNUMBER(K1930),F1930&lt;&gt;"Calentamiento",F1930&lt;&gt;"Bilbo"),IF(AND(K1930&gt;0,K1930&lt;=12),ROUND(J1930*(1+(K1930+IF(ISNUMBER(L1930),L1930,0))/30),1),""),"")</f>
        <v/>
      </c>
      <c r="T1930" s="21" t="str">
        <f aca="false">IF(AND(F1930="Bilbo",ISNUMBER(J1930),ISNUMBER(K1930)),ROUND(J1930*(1+K1930/30),1),"")</f>
        <v/>
      </c>
      <c r="W1930" s="22"/>
      <c r="X1930" s="21" t="str">
        <f aca="false">IF(AND(F1930="Bilbo",E1930&lt;&gt;"",G1930&lt;&gt;"",H1930&lt;&gt;""),E1930&amp;"|"&amp;G1930&amp;"|"&amp;H1930,"")</f>
        <v/>
      </c>
      <c r="Y1930" s="21" t="str">
        <f aca="false">IF(B1930="","",IF(B1930&lt;&gt;B1929,1,0))</f>
        <v/>
      </c>
    </row>
    <row r="1931" customFormat="false" ht="15" hidden="false" customHeight="true" outlineLevel="0" collapsed="false">
      <c r="A1931" s="21" t="str">
        <f aca="false">IF(B1931="","",ROW()-4)</f>
        <v/>
      </c>
      <c r="B1931" s="22"/>
      <c r="C1931" s="21" t="str">
        <f aca="false">IF(B1931="","",CHOOSE(WEEKDAY(B1931,2),"LUNES","MARTES","MIÉRCOLES","JUEVES","VIERNES","SÁBADO","DOMINGO"))</f>
        <v/>
      </c>
      <c r="M1931" s="23"/>
      <c r="Q1931" s="21" t="str">
        <f aca="false">IF(OR(K1931="",N1931=""),"",K1931-N1931)</f>
        <v/>
      </c>
      <c r="R1931" s="21" t="str">
        <f aca="false">IF(OR(J1931="",K1931=""),"",J1931*K1931)</f>
        <v/>
      </c>
      <c r="S1931" s="21" t="str">
        <f aca="false">IF(AND(ISNUMBER(J1931),ISNUMBER(K1931),F1931&lt;&gt;"Calentamiento",F1931&lt;&gt;"Bilbo"),IF(AND(K1931&gt;0,K1931&lt;=12),ROUND(J1931*(1+(K1931+IF(ISNUMBER(L1931),L1931,0))/30),1),""),"")</f>
        <v/>
      </c>
      <c r="T1931" s="21" t="str">
        <f aca="false">IF(AND(F1931="Bilbo",ISNUMBER(J1931),ISNUMBER(K1931)),ROUND(J1931*(1+K1931/30),1),"")</f>
        <v/>
      </c>
      <c r="W1931" s="22"/>
      <c r="X1931" s="21" t="str">
        <f aca="false">IF(AND(F1931="Bilbo",E1931&lt;&gt;"",G1931&lt;&gt;"",H1931&lt;&gt;""),E1931&amp;"|"&amp;G1931&amp;"|"&amp;H1931,"")</f>
        <v/>
      </c>
      <c r="Y1931" s="21" t="str">
        <f aca="false">IF(B1931="","",IF(B1931&lt;&gt;B1930,1,0))</f>
        <v/>
      </c>
    </row>
    <row r="1932" customFormat="false" ht="15" hidden="false" customHeight="true" outlineLevel="0" collapsed="false">
      <c r="A1932" s="21" t="str">
        <f aca="false">IF(B1932="","",ROW()-4)</f>
        <v/>
      </c>
      <c r="B1932" s="22"/>
      <c r="C1932" s="21" t="str">
        <f aca="false">IF(B1932="","",CHOOSE(WEEKDAY(B1932,2),"LUNES","MARTES","MIÉRCOLES","JUEVES","VIERNES","SÁBADO","DOMINGO"))</f>
        <v/>
      </c>
      <c r="M1932" s="23"/>
      <c r="Q1932" s="21" t="str">
        <f aca="false">IF(OR(K1932="",N1932=""),"",K1932-N1932)</f>
        <v/>
      </c>
      <c r="R1932" s="21" t="str">
        <f aca="false">IF(OR(J1932="",K1932=""),"",J1932*K1932)</f>
        <v/>
      </c>
      <c r="S1932" s="21" t="str">
        <f aca="false">IF(AND(ISNUMBER(J1932),ISNUMBER(K1932),F1932&lt;&gt;"Calentamiento",F1932&lt;&gt;"Bilbo"),IF(AND(K1932&gt;0,K1932&lt;=12),ROUND(J1932*(1+(K1932+IF(ISNUMBER(L1932),L1932,0))/30),1),""),"")</f>
        <v/>
      </c>
      <c r="T1932" s="21" t="str">
        <f aca="false">IF(AND(F1932="Bilbo",ISNUMBER(J1932),ISNUMBER(K1932)),ROUND(J1932*(1+K1932/30),1),"")</f>
        <v/>
      </c>
      <c r="W1932" s="22"/>
      <c r="X1932" s="21" t="str">
        <f aca="false">IF(AND(F1932="Bilbo",E1932&lt;&gt;"",G1932&lt;&gt;"",H1932&lt;&gt;""),E1932&amp;"|"&amp;G1932&amp;"|"&amp;H1932,"")</f>
        <v/>
      </c>
      <c r="Y1932" s="21" t="str">
        <f aca="false">IF(B1932="","",IF(B1932&lt;&gt;B1931,1,0))</f>
        <v/>
      </c>
    </row>
    <row r="1933" customFormat="false" ht="15" hidden="false" customHeight="true" outlineLevel="0" collapsed="false">
      <c r="A1933" s="21" t="str">
        <f aca="false">IF(B1933="","",ROW()-4)</f>
        <v/>
      </c>
      <c r="B1933" s="22"/>
      <c r="C1933" s="21" t="str">
        <f aca="false">IF(B1933="","",CHOOSE(WEEKDAY(B1933,2),"LUNES","MARTES","MIÉRCOLES","JUEVES","VIERNES","SÁBADO","DOMINGO"))</f>
        <v/>
      </c>
      <c r="M1933" s="23"/>
      <c r="Q1933" s="21" t="str">
        <f aca="false">IF(OR(K1933="",N1933=""),"",K1933-N1933)</f>
        <v/>
      </c>
      <c r="R1933" s="21" t="str">
        <f aca="false">IF(OR(J1933="",K1933=""),"",J1933*K1933)</f>
        <v/>
      </c>
      <c r="S1933" s="21" t="str">
        <f aca="false">IF(AND(ISNUMBER(J1933),ISNUMBER(K1933),F1933&lt;&gt;"Calentamiento",F1933&lt;&gt;"Bilbo"),IF(AND(K1933&gt;0,K1933&lt;=12),ROUND(J1933*(1+(K1933+IF(ISNUMBER(L1933),L1933,0))/30),1),""),"")</f>
        <v/>
      </c>
      <c r="T1933" s="21" t="str">
        <f aca="false">IF(AND(F1933="Bilbo",ISNUMBER(J1933),ISNUMBER(K1933)),ROUND(J1933*(1+K1933/30),1),"")</f>
        <v/>
      </c>
      <c r="W1933" s="22"/>
      <c r="X1933" s="21" t="str">
        <f aca="false">IF(AND(F1933="Bilbo",E1933&lt;&gt;"",G1933&lt;&gt;"",H1933&lt;&gt;""),E1933&amp;"|"&amp;G1933&amp;"|"&amp;H1933,"")</f>
        <v/>
      </c>
      <c r="Y1933" s="21" t="str">
        <f aca="false">IF(B1933="","",IF(B1933&lt;&gt;B1932,1,0))</f>
        <v/>
      </c>
    </row>
    <row r="1934" customFormat="false" ht="15" hidden="false" customHeight="true" outlineLevel="0" collapsed="false">
      <c r="A1934" s="21" t="str">
        <f aca="false">IF(B1934="","",ROW()-4)</f>
        <v/>
      </c>
      <c r="B1934" s="22"/>
      <c r="C1934" s="21" t="str">
        <f aca="false">IF(B1934="","",CHOOSE(WEEKDAY(B1934,2),"LUNES","MARTES","MIÉRCOLES","JUEVES","VIERNES","SÁBADO","DOMINGO"))</f>
        <v/>
      </c>
      <c r="M1934" s="23"/>
      <c r="Q1934" s="21" t="str">
        <f aca="false">IF(OR(K1934="",N1934=""),"",K1934-N1934)</f>
        <v/>
      </c>
      <c r="R1934" s="21" t="str">
        <f aca="false">IF(OR(J1934="",K1934=""),"",J1934*K1934)</f>
        <v/>
      </c>
      <c r="S1934" s="21" t="str">
        <f aca="false">IF(AND(ISNUMBER(J1934),ISNUMBER(K1934),F1934&lt;&gt;"Calentamiento",F1934&lt;&gt;"Bilbo"),IF(AND(K1934&gt;0,K1934&lt;=12),ROUND(J1934*(1+(K1934+IF(ISNUMBER(L1934),L1934,0))/30),1),""),"")</f>
        <v/>
      </c>
      <c r="T1934" s="21" t="str">
        <f aca="false">IF(AND(F1934="Bilbo",ISNUMBER(J1934),ISNUMBER(K1934)),ROUND(J1934*(1+K1934/30),1),"")</f>
        <v/>
      </c>
      <c r="W1934" s="22"/>
      <c r="X1934" s="21" t="str">
        <f aca="false">IF(AND(F1934="Bilbo",E1934&lt;&gt;"",G1934&lt;&gt;"",H1934&lt;&gt;""),E1934&amp;"|"&amp;G1934&amp;"|"&amp;H1934,"")</f>
        <v/>
      </c>
      <c r="Y1934" s="21" t="str">
        <f aca="false">IF(B1934="","",IF(B1934&lt;&gt;B1933,1,0))</f>
        <v/>
      </c>
    </row>
    <row r="1935" customFormat="false" ht="15" hidden="false" customHeight="true" outlineLevel="0" collapsed="false">
      <c r="A1935" s="21" t="str">
        <f aca="false">IF(B1935="","",ROW()-4)</f>
        <v/>
      </c>
      <c r="B1935" s="22"/>
      <c r="C1935" s="21" t="str">
        <f aca="false">IF(B1935="","",CHOOSE(WEEKDAY(B1935,2),"LUNES","MARTES","MIÉRCOLES","JUEVES","VIERNES","SÁBADO","DOMINGO"))</f>
        <v/>
      </c>
      <c r="M1935" s="23"/>
      <c r="Q1935" s="21" t="str">
        <f aca="false">IF(OR(K1935="",N1935=""),"",K1935-N1935)</f>
        <v/>
      </c>
      <c r="R1935" s="21" t="str">
        <f aca="false">IF(OR(J1935="",K1935=""),"",J1935*K1935)</f>
        <v/>
      </c>
      <c r="S1935" s="21" t="str">
        <f aca="false">IF(AND(ISNUMBER(J1935),ISNUMBER(K1935),F1935&lt;&gt;"Calentamiento",F1935&lt;&gt;"Bilbo"),IF(AND(K1935&gt;0,K1935&lt;=12),ROUND(J1935*(1+(K1935+IF(ISNUMBER(L1935),L1935,0))/30),1),""),"")</f>
        <v/>
      </c>
      <c r="T1935" s="21" t="str">
        <f aca="false">IF(AND(F1935="Bilbo",ISNUMBER(J1935),ISNUMBER(K1935)),ROUND(J1935*(1+K1935/30),1),"")</f>
        <v/>
      </c>
      <c r="W1935" s="22"/>
      <c r="X1935" s="21" t="str">
        <f aca="false">IF(AND(F1935="Bilbo",E1935&lt;&gt;"",G1935&lt;&gt;"",H1935&lt;&gt;""),E1935&amp;"|"&amp;G1935&amp;"|"&amp;H1935,"")</f>
        <v/>
      </c>
      <c r="Y1935" s="21" t="str">
        <f aca="false">IF(B1935="","",IF(B1935&lt;&gt;B1934,1,0))</f>
        <v/>
      </c>
    </row>
    <row r="1936" customFormat="false" ht="15" hidden="false" customHeight="true" outlineLevel="0" collapsed="false">
      <c r="A1936" s="21" t="str">
        <f aca="false">IF(B1936="","",ROW()-4)</f>
        <v/>
      </c>
      <c r="B1936" s="22"/>
      <c r="C1936" s="21" t="str">
        <f aca="false">IF(B1936="","",CHOOSE(WEEKDAY(B1936,2),"LUNES","MARTES","MIÉRCOLES","JUEVES","VIERNES","SÁBADO","DOMINGO"))</f>
        <v/>
      </c>
      <c r="M1936" s="23"/>
      <c r="Q1936" s="21" t="str">
        <f aca="false">IF(OR(K1936="",N1936=""),"",K1936-N1936)</f>
        <v/>
      </c>
      <c r="R1936" s="21" t="str">
        <f aca="false">IF(OR(J1936="",K1936=""),"",J1936*K1936)</f>
        <v/>
      </c>
      <c r="S1936" s="21" t="str">
        <f aca="false">IF(AND(ISNUMBER(J1936),ISNUMBER(K1936),F1936&lt;&gt;"Calentamiento",F1936&lt;&gt;"Bilbo"),IF(AND(K1936&gt;0,K1936&lt;=12),ROUND(J1936*(1+(K1936+IF(ISNUMBER(L1936),L1936,0))/30),1),""),"")</f>
        <v/>
      </c>
      <c r="T1936" s="21" t="str">
        <f aca="false">IF(AND(F1936="Bilbo",ISNUMBER(J1936),ISNUMBER(K1936)),ROUND(J1936*(1+K1936/30),1),"")</f>
        <v/>
      </c>
      <c r="W1936" s="22"/>
      <c r="X1936" s="21" t="str">
        <f aca="false">IF(AND(F1936="Bilbo",E1936&lt;&gt;"",G1936&lt;&gt;"",H1936&lt;&gt;""),E1936&amp;"|"&amp;G1936&amp;"|"&amp;H1936,"")</f>
        <v/>
      </c>
      <c r="Y1936" s="21" t="str">
        <f aca="false">IF(B1936="","",IF(B1936&lt;&gt;B1935,1,0))</f>
        <v/>
      </c>
    </row>
    <row r="1937" customFormat="false" ht="15" hidden="false" customHeight="true" outlineLevel="0" collapsed="false">
      <c r="A1937" s="21" t="str">
        <f aca="false">IF(B1937="","",ROW()-4)</f>
        <v/>
      </c>
      <c r="B1937" s="22"/>
      <c r="C1937" s="21" t="str">
        <f aca="false">IF(B1937="","",CHOOSE(WEEKDAY(B1937,2),"LUNES","MARTES","MIÉRCOLES","JUEVES","VIERNES","SÁBADO","DOMINGO"))</f>
        <v/>
      </c>
      <c r="M1937" s="23"/>
      <c r="Q1937" s="21" t="str">
        <f aca="false">IF(OR(K1937="",N1937=""),"",K1937-N1937)</f>
        <v/>
      </c>
      <c r="R1937" s="21" t="str">
        <f aca="false">IF(OR(J1937="",K1937=""),"",J1937*K1937)</f>
        <v/>
      </c>
      <c r="S1937" s="21" t="str">
        <f aca="false">IF(AND(ISNUMBER(J1937),ISNUMBER(K1937),F1937&lt;&gt;"Calentamiento",F1937&lt;&gt;"Bilbo"),IF(AND(K1937&gt;0,K1937&lt;=12),ROUND(J1937*(1+(K1937+IF(ISNUMBER(L1937),L1937,0))/30),1),""),"")</f>
        <v/>
      </c>
      <c r="T1937" s="21" t="str">
        <f aca="false">IF(AND(F1937="Bilbo",ISNUMBER(J1937),ISNUMBER(K1937)),ROUND(J1937*(1+K1937/30),1),"")</f>
        <v/>
      </c>
      <c r="W1937" s="22"/>
      <c r="X1937" s="21" t="str">
        <f aca="false">IF(AND(F1937="Bilbo",E1937&lt;&gt;"",G1937&lt;&gt;"",H1937&lt;&gt;""),E1937&amp;"|"&amp;G1937&amp;"|"&amp;H1937,"")</f>
        <v/>
      </c>
      <c r="Y1937" s="21" t="str">
        <f aca="false">IF(B1937="","",IF(B1937&lt;&gt;B1936,1,0))</f>
        <v/>
      </c>
    </row>
    <row r="1938" customFormat="false" ht="15" hidden="false" customHeight="true" outlineLevel="0" collapsed="false">
      <c r="A1938" s="21" t="str">
        <f aca="false">IF(B1938="","",ROW()-4)</f>
        <v/>
      </c>
      <c r="B1938" s="22"/>
      <c r="C1938" s="21" t="str">
        <f aca="false">IF(B1938="","",CHOOSE(WEEKDAY(B1938,2),"LUNES","MARTES","MIÉRCOLES","JUEVES","VIERNES","SÁBADO","DOMINGO"))</f>
        <v/>
      </c>
      <c r="M1938" s="23"/>
      <c r="Q1938" s="21" t="str">
        <f aca="false">IF(OR(K1938="",N1938=""),"",K1938-N1938)</f>
        <v/>
      </c>
      <c r="R1938" s="21" t="str">
        <f aca="false">IF(OR(J1938="",K1938=""),"",J1938*K1938)</f>
        <v/>
      </c>
      <c r="S1938" s="21" t="str">
        <f aca="false">IF(AND(ISNUMBER(J1938),ISNUMBER(K1938),F1938&lt;&gt;"Calentamiento",F1938&lt;&gt;"Bilbo"),IF(AND(K1938&gt;0,K1938&lt;=12),ROUND(J1938*(1+(K1938+IF(ISNUMBER(L1938),L1938,0))/30),1),""),"")</f>
        <v/>
      </c>
      <c r="T1938" s="21" t="str">
        <f aca="false">IF(AND(F1938="Bilbo",ISNUMBER(J1938),ISNUMBER(K1938)),ROUND(J1938*(1+K1938/30),1),"")</f>
        <v/>
      </c>
      <c r="W1938" s="22"/>
      <c r="X1938" s="21" t="str">
        <f aca="false">IF(AND(F1938="Bilbo",E1938&lt;&gt;"",G1938&lt;&gt;"",H1938&lt;&gt;""),E1938&amp;"|"&amp;G1938&amp;"|"&amp;H1938,"")</f>
        <v/>
      </c>
      <c r="Y1938" s="21" t="str">
        <f aca="false">IF(B1938="","",IF(B1938&lt;&gt;B1937,1,0))</f>
        <v/>
      </c>
    </row>
    <row r="1939" customFormat="false" ht="15" hidden="false" customHeight="true" outlineLevel="0" collapsed="false">
      <c r="A1939" s="21" t="str">
        <f aca="false">IF(B1939="","",ROW()-4)</f>
        <v/>
      </c>
      <c r="B1939" s="22"/>
      <c r="C1939" s="21" t="str">
        <f aca="false">IF(B1939="","",CHOOSE(WEEKDAY(B1939,2),"LUNES","MARTES","MIÉRCOLES","JUEVES","VIERNES","SÁBADO","DOMINGO"))</f>
        <v/>
      </c>
      <c r="M1939" s="23"/>
      <c r="Q1939" s="21" t="str">
        <f aca="false">IF(OR(K1939="",N1939=""),"",K1939-N1939)</f>
        <v/>
      </c>
      <c r="R1939" s="21" t="str">
        <f aca="false">IF(OR(J1939="",K1939=""),"",J1939*K1939)</f>
        <v/>
      </c>
      <c r="S1939" s="21" t="str">
        <f aca="false">IF(AND(ISNUMBER(J1939),ISNUMBER(K1939),F1939&lt;&gt;"Calentamiento",F1939&lt;&gt;"Bilbo"),IF(AND(K1939&gt;0,K1939&lt;=12),ROUND(J1939*(1+(K1939+IF(ISNUMBER(L1939),L1939,0))/30),1),""),"")</f>
        <v/>
      </c>
      <c r="T1939" s="21" t="str">
        <f aca="false">IF(AND(F1939="Bilbo",ISNUMBER(J1939),ISNUMBER(K1939)),ROUND(J1939*(1+K1939/30),1),"")</f>
        <v/>
      </c>
      <c r="W1939" s="22"/>
      <c r="X1939" s="21" t="str">
        <f aca="false">IF(AND(F1939="Bilbo",E1939&lt;&gt;"",G1939&lt;&gt;"",H1939&lt;&gt;""),E1939&amp;"|"&amp;G1939&amp;"|"&amp;H1939,"")</f>
        <v/>
      </c>
      <c r="Y1939" s="21" t="str">
        <f aca="false">IF(B1939="","",IF(B1939&lt;&gt;B1938,1,0))</f>
        <v/>
      </c>
    </row>
    <row r="1940" customFormat="false" ht="15" hidden="false" customHeight="true" outlineLevel="0" collapsed="false">
      <c r="A1940" s="21" t="str">
        <f aca="false">IF(B1940="","",ROW()-4)</f>
        <v/>
      </c>
      <c r="B1940" s="22"/>
      <c r="C1940" s="21" t="str">
        <f aca="false">IF(B1940="","",CHOOSE(WEEKDAY(B1940,2),"LUNES","MARTES","MIÉRCOLES","JUEVES","VIERNES","SÁBADO","DOMINGO"))</f>
        <v/>
      </c>
      <c r="M1940" s="23"/>
      <c r="Q1940" s="21" t="str">
        <f aca="false">IF(OR(K1940="",N1940=""),"",K1940-N1940)</f>
        <v/>
      </c>
      <c r="R1940" s="21" t="str">
        <f aca="false">IF(OR(J1940="",K1940=""),"",J1940*K1940)</f>
        <v/>
      </c>
      <c r="S1940" s="21" t="str">
        <f aca="false">IF(AND(ISNUMBER(J1940),ISNUMBER(K1940),F1940&lt;&gt;"Calentamiento",F1940&lt;&gt;"Bilbo"),IF(AND(K1940&gt;0,K1940&lt;=12),ROUND(J1940*(1+(K1940+IF(ISNUMBER(L1940),L1940,0))/30),1),""),"")</f>
        <v/>
      </c>
      <c r="T1940" s="21" t="str">
        <f aca="false">IF(AND(F1940="Bilbo",ISNUMBER(J1940),ISNUMBER(K1940)),ROUND(J1940*(1+K1940/30),1),"")</f>
        <v/>
      </c>
      <c r="W1940" s="22"/>
      <c r="X1940" s="21" t="str">
        <f aca="false">IF(AND(F1940="Bilbo",E1940&lt;&gt;"",G1940&lt;&gt;"",H1940&lt;&gt;""),E1940&amp;"|"&amp;G1940&amp;"|"&amp;H1940,"")</f>
        <v/>
      </c>
      <c r="Y1940" s="21" t="str">
        <f aca="false">IF(B1940="","",IF(B1940&lt;&gt;B1939,1,0))</f>
        <v/>
      </c>
    </row>
    <row r="1941" customFormat="false" ht="15" hidden="false" customHeight="true" outlineLevel="0" collapsed="false">
      <c r="A1941" s="21" t="str">
        <f aca="false">IF(B1941="","",ROW()-4)</f>
        <v/>
      </c>
      <c r="B1941" s="22"/>
      <c r="C1941" s="21" t="str">
        <f aca="false">IF(B1941="","",CHOOSE(WEEKDAY(B1941,2),"LUNES","MARTES","MIÉRCOLES","JUEVES","VIERNES","SÁBADO","DOMINGO"))</f>
        <v/>
      </c>
      <c r="M1941" s="23"/>
      <c r="Q1941" s="21" t="str">
        <f aca="false">IF(OR(K1941="",N1941=""),"",K1941-N1941)</f>
        <v/>
      </c>
      <c r="R1941" s="21" t="str">
        <f aca="false">IF(OR(J1941="",K1941=""),"",J1941*K1941)</f>
        <v/>
      </c>
      <c r="S1941" s="21" t="str">
        <f aca="false">IF(AND(ISNUMBER(J1941),ISNUMBER(K1941),F1941&lt;&gt;"Calentamiento",F1941&lt;&gt;"Bilbo"),IF(AND(K1941&gt;0,K1941&lt;=12),ROUND(J1941*(1+(K1941+IF(ISNUMBER(L1941),L1941,0))/30),1),""),"")</f>
        <v/>
      </c>
      <c r="T1941" s="21" t="str">
        <f aca="false">IF(AND(F1941="Bilbo",ISNUMBER(J1941),ISNUMBER(K1941)),ROUND(J1941*(1+K1941/30),1),"")</f>
        <v/>
      </c>
      <c r="W1941" s="22"/>
      <c r="X1941" s="21" t="str">
        <f aca="false">IF(AND(F1941="Bilbo",E1941&lt;&gt;"",G1941&lt;&gt;"",H1941&lt;&gt;""),E1941&amp;"|"&amp;G1941&amp;"|"&amp;H1941,"")</f>
        <v/>
      </c>
      <c r="Y1941" s="21" t="str">
        <f aca="false">IF(B1941="","",IF(B1941&lt;&gt;B1940,1,0))</f>
        <v/>
      </c>
    </row>
    <row r="1942" customFormat="false" ht="15" hidden="false" customHeight="true" outlineLevel="0" collapsed="false">
      <c r="A1942" s="21" t="str">
        <f aca="false">IF(B1942="","",ROW()-4)</f>
        <v/>
      </c>
      <c r="B1942" s="22"/>
      <c r="C1942" s="21" t="str">
        <f aca="false">IF(B1942="","",CHOOSE(WEEKDAY(B1942,2),"LUNES","MARTES","MIÉRCOLES","JUEVES","VIERNES","SÁBADO","DOMINGO"))</f>
        <v/>
      </c>
      <c r="M1942" s="23"/>
      <c r="Q1942" s="21" t="str">
        <f aca="false">IF(OR(K1942="",N1942=""),"",K1942-N1942)</f>
        <v/>
      </c>
      <c r="R1942" s="21" t="str">
        <f aca="false">IF(OR(J1942="",K1942=""),"",J1942*K1942)</f>
        <v/>
      </c>
      <c r="S1942" s="21" t="str">
        <f aca="false">IF(AND(ISNUMBER(J1942),ISNUMBER(K1942),F1942&lt;&gt;"Calentamiento",F1942&lt;&gt;"Bilbo"),IF(AND(K1942&gt;0,K1942&lt;=12),ROUND(J1942*(1+(K1942+IF(ISNUMBER(L1942),L1942,0))/30),1),""),"")</f>
        <v/>
      </c>
      <c r="T1942" s="21" t="str">
        <f aca="false">IF(AND(F1942="Bilbo",ISNUMBER(J1942),ISNUMBER(K1942)),ROUND(J1942*(1+K1942/30),1),"")</f>
        <v/>
      </c>
      <c r="W1942" s="22"/>
      <c r="X1942" s="21" t="str">
        <f aca="false">IF(AND(F1942="Bilbo",E1942&lt;&gt;"",G1942&lt;&gt;"",H1942&lt;&gt;""),E1942&amp;"|"&amp;G1942&amp;"|"&amp;H1942,"")</f>
        <v/>
      </c>
      <c r="Y1942" s="21" t="str">
        <f aca="false">IF(B1942="","",IF(B1942&lt;&gt;B1941,1,0))</f>
        <v/>
      </c>
    </row>
    <row r="1943" customFormat="false" ht="15" hidden="false" customHeight="true" outlineLevel="0" collapsed="false">
      <c r="A1943" s="21" t="str">
        <f aca="false">IF(B1943="","",ROW()-4)</f>
        <v/>
      </c>
      <c r="B1943" s="22"/>
      <c r="C1943" s="21" t="str">
        <f aca="false">IF(B1943="","",CHOOSE(WEEKDAY(B1943,2),"LUNES","MARTES","MIÉRCOLES","JUEVES","VIERNES","SÁBADO","DOMINGO"))</f>
        <v/>
      </c>
      <c r="M1943" s="23"/>
      <c r="Q1943" s="21" t="str">
        <f aca="false">IF(OR(K1943="",N1943=""),"",K1943-N1943)</f>
        <v/>
      </c>
      <c r="R1943" s="21" t="str">
        <f aca="false">IF(OR(J1943="",K1943=""),"",J1943*K1943)</f>
        <v/>
      </c>
      <c r="S1943" s="21" t="str">
        <f aca="false">IF(AND(ISNUMBER(J1943),ISNUMBER(K1943),F1943&lt;&gt;"Calentamiento",F1943&lt;&gt;"Bilbo"),IF(AND(K1943&gt;0,K1943&lt;=12),ROUND(J1943*(1+(K1943+IF(ISNUMBER(L1943),L1943,0))/30),1),""),"")</f>
        <v/>
      </c>
      <c r="T1943" s="21" t="str">
        <f aca="false">IF(AND(F1943="Bilbo",ISNUMBER(J1943),ISNUMBER(K1943)),ROUND(J1943*(1+K1943/30),1),"")</f>
        <v/>
      </c>
      <c r="W1943" s="22"/>
      <c r="X1943" s="21" t="str">
        <f aca="false">IF(AND(F1943="Bilbo",E1943&lt;&gt;"",G1943&lt;&gt;"",H1943&lt;&gt;""),E1943&amp;"|"&amp;G1943&amp;"|"&amp;H1943,"")</f>
        <v/>
      </c>
      <c r="Y1943" s="21" t="str">
        <f aca="false">IF(B1943="","",IF(B1943&lt;&gt;B1942,1,0))</f>
        <v/>
      </c>
    </row>
    <row r="1944" customFormat="false" ht="15" hidden="false" customHeight="true" outlineLevel="0" collapsed="false">
      <c r="A1944" s="21" t="str">
        <f aca="false">IF(B1944="","",ROW()-4)</f>
        <v/>
      </c>
      <c r="B1944" s="22"/>
      <c r="C1944" s="21" t="str">
        <f aca="false">IF(B1944="","",CHOOSE(WEEKDAY(B1944,2),"LUNES","MARTES","MIÉRCOLES","JUEVES","VIERNES","SÁBADO","DOMINGO"))</f>
        <v/>
      </c>
      <c r="M1944" s="23"/>
      <c r="Q1944" s="21" t="str">
        <f aca="false">IF(OR(K1944="",N1944=""),"",K1944-N1944)</f>
        <v/>
      </c>
      <c r="R1944" s="21" t="str">
        <f aca="false">IF(OR(J1944="",K1944=""),"",J1944*K1944)</f>
        <v/>
      </c>
      <c r="S1944" s="21" t="str">
        <f aca="false">IF(AND(ISNUMBER(J1944),ISNUMBER(K1944),F1944&lt;&gt;"Calentamiento",F1944&lt;&gt;"Bilbo"),IF(AND(K1944&gt;0,K1944&lt;=12),ROUND(J1944*(1+(K1944+IF(ISNUMBER(L1944),L1944,0))/30),1),""),"")</f>
        <v/>
      </c>
      <c r="T1944" s="21" t="str">
        <f aca="false">IF(AND(F1944="Bilbo",ISNUMBER(J1944),ISNUMBER(K1944)),ROUND(J1944*(1+K1944/30),1),"")</f>
        <v/>
      </c>
      <c r="W1944" s="22"/>
      <c r="X1944" s="21" t="str">
        <f aca="false">IF(AND(F1944="Bilbo",E1944&lt;&gt;"",G1944&lt;&gt;"",H1944&lt;&gt;""),E1944&amp;"|"&amp;G1944&amp;"|"&amp;H1944,"")</f>
        <v/>
      </c>
      <c r="Y1944" s="21" t="str">
        <f aca="false">IF(B1944="","",IF(B1944&lt;&gt;B1943,1,0))</f>
        <v/>
      </c>
    </row>
    <row r="1945" customFormat="false" ht="15" hidden="false" customHeight="true" outlineLevel="0" collapsed="false">
      <c r="A1945" s="21" t="str">
        <f aca="false">IF(B1945="","",ROW()-4)</f>
        <v/>
      </c>
      <c r="B1945" s="22"/>
      <c r="C1945" s="21" t="str">
        <f aca="false">IF(B1945="","",CHOOSE(WEEKDAY(B1945,2),"LUNES","MARTES","MIÉRCOLES","JUEVES","VIERNES","SÁBADO","DOMINGO"))</f>
        <v/>
      </c>
      <c r="M1945" s="23"/>
      <c r="Q1945" s="21" t="str">
        <f aca="false">IF(OR(K1945="",N1945=""),"",K1945-N1945)</f>
        <v/>
      </c>
      <c r="R1945" s="21" t="str">
        <f aca="false">IF(OR(J1945="",K1945=""),"",J1945*K1945)</f>
        <v/>
      </c>
      <c r="S1945" s="21" t="str">
        <f aca="false">IF(AND(ISNUMBER(J1945),ISNUMBER(K1945),F1945&lt;&gt;"Calentamiento",F1945&lt;&gt;"Bilbo"),IF(AND(K1945&gt;0,K1945&lt;=12),ROUND(J1945*(1+(K1945+IF(ISNUMBER(L1945),L1945,0))/30),1),""),"")</f>
        <v/>
      </c>
      <c r="T1945" s="21" t="str">
        <f aca="false">IF(AND(F1945="Bilbo",ISNUMBER(J1945),ISNUMBER(K1945)),ROUND(J1945*(1+K1945/30),1),"")</f>
        <v/>
      </c>
      <c r="W1945" s="22"/>
      <c r="X1945" s="21" t="str">
        <f aca="false">IF(AND(F1945="Bilbo",E1945&lt;&gt;"",G1945&lt;&gt;"",H1945&lt;&gt;""),E1945&amp;"|"&amp;G1945&amp;"|"&amp;H1945,"")</f>
        <v/>
      </c>
      <c r="Y1945" s="21" t="str">
        <f aca="false">IF(B1945="","",IF(B1945&lt;&gt;B1944,1,0))</f>
        <v/>
      </c>
    </row>
    <row r="1946" customFormat="false" ht="15" hidden="false" customHeight="true" outlineLevel="0" collapsed="false">
      <c r="A1946" s="21" t="str">
        <f aca="false">IF(B1946="","",ROW()-4)</f>
        <v/>
      </c>
      <c r="B1946" s="22"/>
      <c r="C1946" s="21" t="str">
        <f aca="false">IF(B1946="","",CHOOSE(WEEKDAY(B1946,2),"LUNES","MARTES","MIÉRCOLES","JUEVES","VIERNES","SÁBADO","DOMINGO"))</f>
        <v/>
      </c>
      <c r="M1946" s="23"/>
      <c r="Q1946" s="21" t="str">
        <f aca="false">IF(OR(K1946="",N1946=""),"",K1946-N1946)</f>
        <v/>
      </c>
      <c r="R1946" s="21" t="str">
        <f aca="false">IF(OR(J1946="",K1946=""),"",J1946*K1946)</f>
        <v/>
      </c>
      <c r="S1946" s="21" t="str">
        <f aca="false">IF(AND(ISNUMBER(J1946),ISNUMBER(K1946),F1946&lt;&gt;"Calentamiento",F1946&lt;&gt;"Bilbo"),IF(AND(K1946&gt;0,K1946&lt;=12),ROUND(J1946*(1+(K1946+IF(ISNUMBER(L1946),L1946,0))/30),1),""),"")</f>
        <v/>
      </c>
      <c r="T1946" s="21" t="str">
        <f aca="false">IF(AND(F1946="Bilbo",ISNUMBER(J1946),ISNUMBER(K1946)),ROUND(J1946*(1+K1946/30),1),"")</f>
        <v/>
      </c>
      <c r="W1946" s="22"/>
      <c r="X1946" s="21" t="str">
        <f aca="false">IF(AND(F1946="Bilbo",E1946&lt;&gt;"",G1946&lt;&gt;"",H1946&lt;&gt;""),E1946&amp;"|"&amp;G1946&amp;"|"&amp;H1946,"")</f>
        <v/>
      </c>
      <c r="Y1946" s="21" t="str">
        <f aca="false">IF(B1946="","",IF(B1946&lt;&gt;B1945,1,0))</f>
        <v/>
      </c>
    </row>
    <row r="1947" customFormat="false" ht="15" hidden="false" customHeight="true" outlineLevel="0" collapsed="false">
      <c r="A1947" s="21" t="str">
        <f aca="false">IF(B1947="","",ROW()-4)</f>
        <v/>
      </c>
      <c r="B1947" s="22"/>
      <c r="C1947" s="21" t="str">
        <f aca="false">IF(B1947="","",CHOOSE(WEEKDAY(B1947,2),"LUNES","MARTES","MIÉRCOLES","JUEVES","VIERNES","SÁBADO","DOMINGO"))</f>
        <v/>
      </c>
      <c r="M1947" s="23"/>
      <c r="Q1947" s="21" t="str">
        <f aca="false">IF(OR(K1947="",N1947=""),"",K1947-N1947)</f>
        <v/>
      </c>
      <c r="R1947" s="21" t="str">
        <f aca="false">IF(OR(J1947="",K1947=""),"",J1947*K1947)</f>
        <v/>
      </c>
      <c r="S1947" s="21" t="str">
        <f aca="false">IF(AND(ISNUMBER(J1947),ISNUMBER(K1947),F1947&lt;&gt;"Calentamiento",F1947&lt;&gt;"Bilbo"),IF(AND(K1947&gt;0,K1947&lt;=12),ROUND(J1947*(1+(K1947+IF(ISNUMBER(L1947),L1947,0))/30),1),""),"")</f>
        <v/>
      </c>
      <c r="T1947" s="21" t="str">
        <f aca="false">IF(AND(F1947="Bilbo",ISNUMBER(J1947),ISNUMBER(K1947)),ROUND(J1947*(1+K1947/30),1),"")</f>
        <v/>
      </c>
      <c r="W1947" s="22"/>
      <c r="X1947" s="21" t="str">
        <f aca="false">IF(AND(F1947="Bilbo",E1947&lt;&gt;"",G1947&lt;&gt;"",H1947&lt;&gt;""),E1947&amp;"|"&amp;G1947&amp;"|"&amp;H1947,"")</f>
        <v/>
      </c>
      <c r="Y1947" s="21" t="str">
        <f aca="false">IF(B1947="","",IF(B1947&lt;&gt;B1946,1,0))</f>
        <v/>
      </c>
    </row>
    <row r="1948" customFormat="false" ht="15" hidden="false" customHeight="true" outlineLevel="0" collapsed="false">
      <c r="A1948" s="21" t="str">
        <f aca="false">IF(B1948="","",ROW()-4)</f>
        <v/>
      </c>
      <c r="B1948" s="22"/>
      <c r="C1948" s="21" t="str">
        <f aca="false">IF(B1948="","",CHOOSE(WEEKDAY(B1948,2),"LUNES","MARTES","MIÉRCOLES","JUEVES","VIERNES","SÁBADO","DOMINGO"))</f>
        <v/>
      </c>
      <c r="M1948" s="23"/>
      <c r="Q1948" s="21" t="str">
        <f aca="false">IF(OR(K1948="",N1948=""),"",K1948-N1948)</f>
        <v/>
      </c>
      <c r="R1948" s="21" t="str">
        <f aca="false">IF(OR(J1948="",K1948=""),"",J1948*K1948)</f>
        <v/>
      </c>
      <c r="S1948" s="21" t="str">
        <f aca="false">IF(AND(ISNUMBER(J1948),ISNUMBER(K1948),F1948&lt;&gt;"Calentamiento",F1948&lt;&gt;"Bilbo"),IF(AND(K1948&gt;0,K1948&lt;=12),ROUND(J1948*(1+(K1948+IF(ISNUMBER(L1948),L1948,0))/30),1),""),"")</f>
        <v/>
      </c>
      <c r="T1948" s="21" t="str">
        <f aca="false">IF(AND(F1948="Bilbo",ISNUMBER(J1948),ISNUMBER(K1948)),ROUND(J1948*(1+K1948/30),1),"")</f>
        <v/>
      </c>
      <c r="W1948" s="22"/>
      <c r="X1948" s="21" t="str">
        <f aca="false">IF(AND(F1948="Bilbo",E1948&lt;&gt;"",G1948&lt;&gt;"",H1948&lt;&gt;""),E1948&amp;"|"&amp;G1948&amp;"|"&amp;H1948,"")</f>
        <v/>
      </c>
      <c r="Y1948" s="21" t="str">
        <f aca="false">IF(B1948="","",IF(B1948&lt;&gt;B1947,1,0))</f>
        <v/>
      </c>
    </row>
    <row r="1949" customFormat="false" ht="15" hidden="false" customHeight="true" outlineLevel="0" collapsed="false">
      <c r="A1949" s="21" t="str">
        <f aca="false">IF(B1949="","",ROW()-4)</f>
        <v/>
      </c>
      <c r="B1949" s="22"/>
      <c r="C1949" s="21" t="str">
        <f aca="false">IF(B1949="","",CHOOSE(WEEKDAY(B1949,2),"LUNES","MARTES","MIÉRCOLES","JUEVES","VIERNES","SÁBADO","DOMINGO"))</f>
        <v/>
      </c>
      <c r="M1949" s="23"/>
      <c r="Q1949" s="21" t="str">
        <f aca="false">IF(OR(K1949="",N1949=""),"",K1949-N1949)</f>
        <v/>
      </c>
      <c r="R1949" s="21" t="str">
        <f aca="false">IF(OR(J1949="",K1949=""),"",J1949*K1949)</f>
        <v/>
      </c>
      <c r="S1949" s="21" t="str">
        <f aca="false">IF(AND(ISNUMBER(J1949),ISNUMBER(K1949),F1949&lt;&gt;"Calentamiento",F1949&lt;&gt;"Bilbo"),IF(AND(K1949&gt;0,K1949&lt;=12),ROUND(J1949*(1+(K1949+IF(ISNUMBER(L1949),L1949,0))/30),1),""),"")</f>
        <v/>
      </c>
      <c r="T1949" s="21" t="str">
        <f aca="false">IF(AND(F1949="Bilbo",ISNUMBER(J1949),ISNUMBER(K1949)),ROUND(J1949*(1+K1949/30),1),"")</f>
        <v/>
      </c>
      <c r="W1949" s="22"/>
      <c r="X1949" s="21" t="str">
        <f aca="false">IF(AND(F1949="Bilbo",E1949&lt;&gt;"",G1949&lt;&gt;"",H1949&lt;&gt;""),E1949&amp;"|"&amp;G1949&amp;"|"&amp;H1949,"")</f>
        <v/>
      </c>
      <c r="Y1949" s="21" t="str">
        <f aca="false">IF(B1949="","",IF(B1949&lt;&gt;B1948,1,0))</f>
        <v/>
      </c>
    </row>
    <row r="1950" customFormat="false" ht="15" hidden="false" customHeight="true" outlineLevel="0" collapsed="false">
      <c r="A1950" s="21" t="str">
        <f aca="false">IF(B1950="","",ROW()-4)</f>
        <v/>
      </c>
      <c r="B1950" s="22"/>
      <c r="C1950" s="21" t="str">
        <f aca="false">IF(B1950="","",CHOOSE(WEEKDAY(B1950,2),"LUNES","MARTES","MIÉRCOLES","JUEVES","VIERNES","SÁBADO","DOMINGO"))</f>
        <v/>
      </c>
      <c r="M1950" s="23"/>
      <c r="Q1950" s="21" t="str">
        <f aca="false">IF(OR(K1950="",N1950=""),"",K1950-N1950)</f>
        <v/>
      </c>
      <c r="R1950" s="21" t="str">
        <f aca="false">IF(OR(J1950="",K1950=""),"",J1950*K1950)</f>
        <v/>
      </c>
      <c r="S1950" s="21" t="str">
        <f aca="false">IF(AND(ISNUMBER(J1950),ISNUMBER(K1950),F1950&lt;&gt;"Calentamiento",F1950&lt;&gt;"Bilbo"),IF(AND(K1950&gt;0,K1950&lt;=12),ROUND(J1950*(1+(K1950+IF(ISNUMBER(L1950),L1950,0))/30),1),""),"")</f>
        <v/>
      </c>
      <c r="T1950" s="21" t="str">
        <f aca="false">IF(AND(F1950="Bilbo",ISNUMBER(J1950),ISNUMBER(K1950)),ROUND(J1950*(1+K1950/30),1),"")</f>
        <v/>
      </c>
      <c r="W1950" s="22"/>
      <c r="X1950" s="21" t="str">
        <f aca="false">IF(AND(F1950="Bilbo",E1950&lt;&gt;"",G1950&lt;&gt;"",H1950&lt;&gt;""),E1950&amp;"|"&amp;G1950&amp;"|"&amp;H1950,"")</f>
        <v/>
      </c>
      <c r="Y1950" s="21" t="str">
        <f aca="false">IF(B1950="","",IF(B1950&lt;&gt;B1949,1,0))</f>
        <v/>
      </c>
    </row>
    <row r="1951" customFormat="false" ht="15" hidden="false" customHeight="true" outlineLevel="0" collapsed="false">
      <c r="A1951" s="21" t="str">
        <f aca="false">IF(B1951="","",ROW()-4)</f>
        <v/>
      </c>
      <c r="B1951" s="22"/>
      <c r="C1951" s="21" t="str">
        <f aca="false">IF(B1951="","",CHOOSE(WEEKDAY(B1951,2),"LUNES","MARTES","MIÉRCOLES","JUEVES","VIERNES","SÁBADO","DOMINGO"))</f>
        <v/>
      </c>
      <c r="M1951" s="23"/>
      <c r="Q1951" s="21" t="str">
        <f aca="false">IF(OR(K1951="",N1951=""),"",K1951-N1951)</f>
        <v/>
      </c>
      <c r="R1951" s="21" t="str">
        <f aca="false">IF(OR(J1951="",K1951=""),"",J1951*K1951)</f>
        <v/>
      </c>
      <c r="S1951" s="21" t="str">
        <f aca="false">IF(AND(ISNUMBER(J1951),ISNUMBER(K1951),F1951&lt;&gt;"Calentamiento",F1951&lt;&gt;"Bilbo"),IF(AND(K1951&gt;0,K1951&lt;=12),ROUND(J1951*(1+(K1951+IF(ISNUMBER(L1951),L1951,0))/30),1),""),"")</f>
        <v/>
      </c>
      <c r="T1951" s="21" t="str">
        <f aca="false">IF(AND(F1951="Bilbo",ISNUMBER(J1951),ISNUMBER(K1951)),ROUND(J1951*(1+K1951/30),1),"")</f>
        <v/>
      </c>
      <c r="W1951" s="22"/>
      <c r="X1951" s="21" t="str">
        <f aca="false">IF(AND(F1951="Bilbo",E1951&lt;&gt;"",G1951&lt;&gt;"",H1951&lt;&gt;""),E1951&amp;"|"&amp;G1951&amp;"|"&amp;H1951,"")</f>
        <v/>
      </c>
      <c r="Y1951" s="21" t="str">
        <f aca="false">IF(B1951="","",IF(B1951&lt;&gt;B1950,1,0))</f>
        <v/>
      </c>
    </row>
    <row r="1952" customFormat="false" ht="15" hidden="false" customHeight="true" outlineLevel="0" collapsed="false">
      <c r="A1952" s="21" t="str">
        <f aca="false">IF(B1952="","",ROW()-4)</f>
        <v/>
      </c>
      <c r="B1952" s="22"/>
      <c r="C1952" s="21" t="str">
        <f aca="false">IF(B1952="","",CHOOSE(WEEKDAY(B1952,2),"LUNES","MARTES","MIÉRCOLES","JUEVES","VIERNES","SÁBADO","DOMINGO"))</f>
        <v/>
      </c>
      <c r="M1952" s="23"/>
      <c r="Q1952" s="21" t="str">
        <f aca="false">IF(OR(K1952="",N1952=""),"",K1952-N1952)</f>
        <v/>
      </c>
      <c r="R1952" s="21" t="str">
        <f aca="false">IF(OR(J1952="",K1952=""),"",J1952*K1952)</f>
        <v/>
      </c>
      <c r="S1952" s="21" t="str">
        <f aca="false">IF(AND(ISNUMBER(J1952),ISNUMBER(K1952),F1952&lt;&gt;"Calentamiento",F1952&lt;&gt;"Bilbo"),IF(AND(K1952&gt;0,K1952&lt;=12),ROUND(J1952*(1+(K1952+IF(ISNUMBER(L1952),L1952,0))/30),1),""),"")</f>
        <v/>
      </c>
      <c r="T1952" s="21" t="str">
        <f aca="false">IF(AND(F1952="Bilbo",ISNUMBER(J1952),ISNUMBER(K1952)),ROUND(J1952*(1+K1952/30),1),"")</f>
        <v/>
      </c>
      <c r="W1952" s="22"/>
      <c r="X1952" s="21" t="str">
        <f aca="false">IF(AND(F1952="Bilbo",E1952&lt;&gt;"",G1952&lt;&gt;"",H1952&lt;&gt;""),E1952&amp;"|"&amp;G1952&amp;"|"&amp;H1952,"")</f>
        <v/>
      </c>
      <c r="Y1952" s="21" t="str">
        <f aca="false">IF(B1952="","",IF(B1952&lt;&gt;B1951,1,0))</f>
        <v/>
      </c>
    </row>
    <row r="1953" customFormat="false" ht="15" hidden="false" customHeight="true" outlineLevel="0" collapsed="false">
      <c r="A1953" s="21" t="str">
        <f aca="false">IF(B1953="","",ROW()-4)</f>
        <v/>
      </c>
      <c r="B1953" s="22"/>
      <c r="C1953" s="21" t="str">
        <f aca="false">IF(B1953="","",CHOOSE(WEEKDAY(B1953,2),"LUNES","MARTES","MIÉRCOLES","JUEVES","VIERNES","SÁBADO","DOMINGO"))</f>
        <v/>
      </c>
      <c r="M1953" s="23"/>
      <c r="Q1953" s="21" t="str">
        <f aca="false">IF(OR(K1953="",N1953=""),"",K1953-N1953)</f>
        <v/>
      </c>
      <c r="R1953" s="21" t="str">
        <f aca="false">IF(OR(J1953="",K1953=""),"",J1953*K1953)</f>
        <v/>
      </c>
      <c r="S1953" s="21" t="str">
        <f aca="false">IF(AND(ISNUMBER(J1953),ISNUMBER(K1953),F1953&lt;&gt;"Calentamiento",F1953&lt;&gt;"Bilbo"),IF(AND(K1953&gt;0,K1953&lt;=12),ROUND(J1953*(1+(K1953+IF(ISNUMBER(L1953),L1953,0))/30),1),""),"")</f>
        <v/>
      </c>
      <c r="T1953" s="21" t="str">
        <f aca="false">IF(AND(F1953="Bilbo",ISNUMBER(J1953),ISNUMBER(K1953)),ROUND(J1953*(1+K1953/30),1),"")</f>
        <v/>
      </c>
      <c r="W1953" s="22"/>
      <c r="X1953" s="21" t="str">
        <f aca="false">IF(AND(F1953="Bilbo",E1953&lt;&gt;"",G1953&lt;&gt;"",H1953&lt;&gt;""),E1953&amp;"|"&amp;G1953&amp;"|"&amp;H1953,"")</f>
        <v/>
      </c>
      <c r="Y1953" s="21" t="str">
        <f aca="false">IF(B1953="","",IF(B1953&lt;&gt;B1952,1,0))</f>
        <v/>
      </c>
    </row>
    <row r="1954" customFormat="false" ht="15" hidden="false" customHeight="true" outlineLevel="0" collapsed="false">
      <c r="A1954" s="21" t="str">
        <f aca="false">IF(B1954="","",ROW()-4)</f>
        <v/>
      </c>
      <c r="B1954" s="22"/>
      <c r="C1954" s="21" t="str">
        <f aca="false">IF(B1954="","",CHOOSE(WEEKDAY(B1954,2),"LUNES","MARTES","MIÉRCOLES","JUEVES","VIERNES","SÁBADO","DOMINGO"))</f>
        <v/>
      </c>
      <c r="M1954" s="23"/>
      <c r="Q1954" s="21" t="str">
        <f aca="false">IF(OR(K1954="",N1954=""),"",K1954-N1954)</f>
        <v/>
      </c>
      <c r="R1954" s="21" t="str">
        <f aca="false">IF(OR(J1954="",K1954=""),"",J1954*K1954)</f>
        <v/>
      </c>
      <c r="S1954" s="21" t="str">
        <f aca="false">IF(AND(ISNUMBER(J1954),ISNUMBER(K1954),F1954&lt;&gt;"Calentamiento",F1954&lt;&gt;"Bilbo"),IF(AND(K1954&gt;0,K1954&lt;=12),ROUND(J1954*(1+(K1954+IF(ISNUMBER(L1954),L1954,0))/30),1),""),"")</f>
        <v/>
      </c>
      <c r="T1954" s="21" t="str">
        <f aca="false">IF(AND(F1954="Bilbo",ISNUMBER(J1954),ISNUMBER(K1954)),ROUND(J1954*(1+K1954/30),1),"")</f>
        <v/>
      </c>
      <c r="W1954" s="22"/>
      <c r="X1954" s="21" t="str">
        <f aca="false">IF(AND(F1954="Bilbo",E1954&lt;&gt;"",G1954&lt;&gt;"",H1954&lt;&gt;""),E1954&amp;"|"&amp;G1954&amp;"|"&amp;H1954,"")</f>
        <v/>
      </c>
      <c r="Y1954" s="21" t="str">
        <f aca="false">IF(B1954="","",IF(B1954&lt;&gt;B1953,1,0))</f>
        <v/>
      </c>
    </row>
    <row r="1955" customFormat="false" ht="15" hidden="false" customHeight="true" outlineLevel="0" collapsed="false">
      <c r="A1955" s="21" t="str">
        <f aca="false">IF(B1955="","",ROW()-4)</f>
        <v/>
      </c>
      <c r="B1955" s="22"/>
      <c r="C1955" s="21" t="str">
        <f aca="false">IF(B1955="","",CHOOSE(WEEKDAY(B1955,2),"LUNES","MARTES","MIÉRCOLES","JUEVES","VIERNES","SÁBADO","DOMINGO"))</f>
        <v/>
      </c>
      <c r="M1955" s="23"/>
      <c r="Q1955" s="21" t="str">
        <f aca="false">IF(OR(K1955="",N1955=""),"",K1955-N1955)</f>
        <v/>
      </c>
      <c r="R1955" s="21" t="str">
        <f aca="false">IF(OR(J1955="",K1955=""),"",J1955*K1955)</f>
        <v/>
      </c>
      <c r="S1955" s="21" t="str">
        <f aca="false">IF(AND(ISNUMBER(J1955),ISNUMBER(K1955),F1955&lt;&gt;"Calentamiento",F1955&lt;&gt;"Bilbo"),IF(AND(K1955&gt;0,K1955&lt;=12),ROUND(J1955*(1+(K1955+IF(ISNUMBER(L1955),L1955,0))/30),1),""),"")</f>
        <v/>
      </c>
      <c r="T1955" s="21" t="str">
        <f aca="false">IF(AND(F1955="Bilbo",ISNUMBER(J1955),ISNUMBER(K1955)),ROUND(J1955*(1+K1955/30),1),"")</f>
        <v/>
      </c>
      <c r="W1955" s="22"/>
      <c r="X1955" s="21" t="str">
        <f aca="false">IF(AND(F1955="Bilbo",E1955&lt;&gt;"",G1955&lt;&gt;"",H1955&lt;&gt;""),E1955&amp;"|"&amp;G1955&amp;"|"&amp;H1955,"")</f>
        <v/>
      </c>
      <c r="Y1955" s="21" t="str">
        <f aca="false">IF(B1955="","",IF(B1955&lt;&gt;B1954,1,0))</f>
        <v/>
      </c>
    </row>
    <row r="1956" customFormat="false" ht="15" hidden="false" customHeight="true" outlineLevel="0" collapsed="false">
      <c r="A1956" s="21" t="str">
        <f aca="false">IF(B1956="","",ROW()-4)</f>
        <v/>
      </c>
      <c r="B1956" s="22"/>
      <c r="C1956" s="21" t="str">
        <f aca="false">IF(B1956="","",CHOOSE(WEEKDAY(B1956,2),"LUNES","MARTES","MIÉRCOLES","JUEVES","VIERNES","SÁBADO","DOMINGO"))</f>
        <v/>
      </c>
      <c r="M1956" s="23"/>
      <c r="Q1956" s="21" t="str">
        <f aca="false">IF(OR(K1956="",N1956=""),"",K1956-N1956)</f>
        <v/>
      </c>
      <c r="R1956" s="21" t="str">
        <f aca="false">IF(OR(J1956="",K1956=""),"",J1956*K1956)</f>
        <v/>
      </c>
      <c r="S1956" s="21" t="str">
        <f aca="false">IF(AND(ISNUMBER(J1956),ISNUMBER(K1956),F1956&lt;&gt;"Calentamiento",F1956&lt;&gt;"Bilbo"),IF(AND(K1956&gt;0,K1956&lt;=12),ROUND(J1956*(1+(K1956+IF(ISNUMBER(L1956),L1956,0))/30),1),""),"")</f>
        <v/>
      </c>
      <c r="T1956" s="21" t="str">
        <f aca="false">IF(AND(F1956="Bilbo",ISNUMBER(J1956),ISNUMBER(K1956)),ROUND(J1956*(1+K1956/30),1),"")</f>
        <v/>
      </c>
      <c r="W1956" s="22"/>
      <c r="X1956" s="21" t="str">
        <f aca="false">IF(AND(F1956="Bilbo",E1956&lt;&gt;"",G1956&lt;&gt;"",H1956&lt;&gt;""),E1956&amp;"|"&amp;G1956&amp;"|"&amp;H1956,"")</f>
        <v/>
      </c>
      <c r="Y1956" s="21" t="str">
        <f aca="false">IF(B1956="","",IF(B1956&lt;&gt;B1955,1,0))</f>
        <v/>
      </c>
    </row>
    <row r="1957" customFormat="false" ht="15" hidden="false" customHeight="true" outlineLevel="0" collapsed="false">
      <c r="A1957" s="21" t="str">
        <f aca="false">IF(B1957="","",ROW()-4)</f>
        <v/>
      </c>
      <c r="B1957" s="22"/>
      <c r="C1957" s="21" t="str">
        <f aca="false">IF(B1957="","",CHOOSE(WEEKDAY(B1957,2),"LUNES","MARTES","MIÉRCOLES","JUEVES","VIERNES","SÁBADO","DOMINGO"))</f>
        <v/>
      </c>
      <c r="M1957" s="23"/>
      <c r="Q1957" s="21" t="str">
        <f aca="false">IF(OR(K1957="",N1957=""),"",K1957-N1957)</f>
        <v/>
      </c>
      <c r="R1957" s="21" t="str">
        <f aca="false">IF(OR(J1957="",K1957=""),"",J1957*K1957)</f>
        <v/>
      </c>
      <c r="S1957" s="21" t="str">
        <f aca="false">IF(AND(ISNUMBER(J1957),ISNUMBER(K1957),F1957&lt;&gt;"Calentamiento",F1957&lt;&gt;"Bilbo"),IF(AND(K1957&gt;0,K1957&lt;=12),ROUND(J1957*(1+(K1957+IF(ISNUMBER(L1957),L1957,0))/30),1),""),"")</f>
        <v/>
      </c>
      <c r="T1957" s="21" t="str">
        <f aca="false">IF(AND(F1957="Bilbo",ISNUMBER(J1957),ISNUMBER(K1957)),ROUND(J1957*(1+K1957/30),1),"")</f>
        <v/>
      </c>
      <c r="W1957" s="22"/>
      <c r="X1957" s="21" t="str">
        <f aca="false">IF(AND(F1957="Bilbo",E1957&lt;&gt;"",G1957&lt;&gt;"",H1957&lt;&gt;""),E1957&amp;"|"&amp;G1957&amp;"|"&amp;H1957,"")</f>
        <v/>
      </c>
      <c r="Y1957" s="21" t="str">
        <f aca="false">IF(B1957="","",IF(B1957&lt;&gt;B1956,1,0))</f>
        <v/>
      </c>
    </row>
    <row r="1958" customFormat="false" ht="15" hidden="false" customHeight="true" outlineLevel="0" collapsed="false">
      <c r="A1958" s="21" t="str">
        <f aca="false">IF(B1958="","",ROW()-4)</f>
        <v/>
      </c>
      <c r="B1958" s="22"/>
      <c r="C1958" s="21" t="str">
        <f aca="false">IF(B1958="","",CHOOSE(WEEKDAY(B1958,2),"LUNES","MARTES","MIÉRCOLES","JUEVES","VIERNES","SÁBADO","DOMINGO"))</f>
        <v/>
      </c>
      <c r="M1958" s="23"/>
      <c r="Q1958" s="21" t="str">
        <f aca="false">IF(OR(K1958="",N1958=""),"",K1958-N1958)</f>
        <v/>
      </c>
      <c r="R1958" s="21" t="str">
        <f aca="false">IF(OR(J1958="",K1958=""),"",J1958*K1958)</f>
        <v/>
      </c>
      <c r="S1958" s="21" t="str">
        <f aca="false">IF(AND(ISNUMBER(J1958),ISNUMBER(K1958),F1958&lt;&gt;"Calentamiento",F1958&lt;&gt;"Bilbo"),IF(AND(K1958&gt;0,K1958&lt;=12),ROUND(J1958*(1+(K1958+IF(ISNUMBER(L1958),L1958,0))/30),1),""),"")</f>
        <v/>
      </c>
      <c r="T1958" s="21" t="str">
        <f aca="false">IF(AND(F1958="Bilbo",ISNUMBER(J1958),ISNUMBER(K1958)),ROUND(J1958*(1+K1958/30),1),"")</f>
        <v/>
      </c>
      <c r="W1958" s="22"/>
      <c r="X1958" s="21" t="str">
        <f aca="false">IF(AND(F1958="Bilbo",E1958&lt;&gt;"",G1958&lt;&gt;"",H1958&lt;&gt;""),E1958&amp;"|"&amp;G1958&amp;"|"&amp;H1958,"")</f>
        <v/>
      </c>
      <c r="Y1958" s="21" t="str">
        <f aca="false">IF(B1958="","",IF(B1958&lt;&gt;B1957,1,0))</f>
        <v/>
      </c>
    </row>
    <row r="1959" customFormat="false" ht="15" hidden="false" customHeight="true" outlineLevel="0" collapsed="false">
      <c r="A1959" s="21" t="str">
        <f aca="false">IF(B1959="","",ROW()-4)</f>
        <v/>
      </c>
      <c r="B1959" s="22"/>
      <c r="C1959" s="21" t="str">
        <f aca="false">IF(B1959="","",CHOOSE(WEEKDAY(B1959,2),"LUNES","MARTES","MIÉRCOLES","JUEVES","VIERNES","SÁBADO","DOMINGO"))</f>
        <v/>
      </c>
      <c r="M1959" s="23"/>
      <c r="Q1959" s="21" t="str">
        <f aca="false">IF(OR(K1959="",N1959=""),"",K1959-N1959)</f>
        <v/>
      </c>
      <c r="R1959" s="21" t="str">
        <f aca="false">IF(OR(J1959="",K1959=""),"",J1959*K1959)</f>
        <v/>
      </c>
      <c r="S1959" s="21" t="str">
        <f aca="false">IF(AND(ISNUMBER(J1959),ISNUMBER(K1959),F1959&lt;&gt;"Calentamiento",F1959&lt;&gt;"Bilbo"),IF(AND(K1959&gt;0,K1959&lt;=12),ROUND(J1959*(1+(K1959+IF(ISNUMBER(L1959),L1959,0))/30),1),""),"")</f>
        <v/>
      </c>
      <c r="T1959" s="21" t="str">
        <f aca="false">IF(AND(F1959="Bilbo",ISNUMBER(J1959),ISNUMBER(K1959)),ROUND(J1959*(1+K1959/30),1),"")</f>
        <v/>
      </c>
      <c r="W1959" s="22"/>
      <c r="X1959" s="21" t="str">
        <f aca="false">IF(AND(F1959="Bilbo",E1959&lt;&gt;"",G1959&lt;&gt;"",H1959&lt;&gt;""),E1959&amp;"|"&amp;G1959&amp;"|"&amp;H1959,"")</f>
        <v/>
      </c>
      <c r="Y1959" s="21" t="str">
        <f aca="false">IF(B1959="","",IF(B1959&lt;&gt;B1958,1,0))</f>
        <v/>
      </c>
    </row>
    <row r="1960" customFormat="false" ht="15" hidden="false" customHeight="true" outlineLevel="0" collapsed="false">
      <c r="A1960" s="21" t="str">
        <f aca="false">IF(B1960="","",ROW()-4)</f>
        <v/>
      </c>
      <c r="B1960" s="22"/>
      <c r="C1960" s="21" t="str">
        <f aca="false">IF(B1960="","",CHOOSE(WEEKDAY(B1960,2),"LUNES","MARTES","MIÉRCOLES","JUEVES","VIERNES","SÁBADO","DOMINGO"))</f>
        <v/>
      </c>
      <c r="M1960" s="23"/>
      <c r="Q1960" s="21" t="str">
        <f aca="false">IF(OR(K1960="",N1960=""),"",K1960-N1960)</f>
        <v/>
      </c>
      <c r="R1960" s="21" t="str">
        <f aca="false">IF(OR(J1960="",K1960=""),"",J1960*K1960)</f>
        <v/>
      </c>
      <c r="S1960" s="21" t="str">
        <f aca="false">IF(AND(ISNUMBER(J1960),ISNUMBER(K1960),F1960&lt;&gt;"Calentamiento",F1960&lt;&gt;"Bilbo"),IF(AND(K1960&gt;0,K1960&lt;=12),ROUND(J1960*(1+(K1960+IF(ISNUMBER(L1960),L1960,0))/30),1),""),"")</f>
        <v/>
      </c>
      <c r="T1960" s="21" t="str">
        <f aca="false">IF(AND(F1960="Bilbo",ISNUMBER(J1960),ISNUMBER(K1960)),ROUND(J1960*(1+K1960/30),1),"")</f>
        <v/>
      </c>
      <c r="W1960" s="22"/>
      <c r="X1960" s="21" t="str">
        <f aca="false">IF(AND(F1960="Bilbo",E1960&lt;&gt;"",G1960&lt;&gt;"",H1960&lt;&gt;""),E1960&amp;"|"&amp;G1960&amp;"|"&amp;H1960,"")</f>
        <v/>
      </c>
      <c r="Y1960" s="21" t="str">
        <f aca="false">IF(B1960="","",IF(B1960&lt;&gt;B1959,1,0))</f>
        <v/>
      </c>
    </row>
    <row r="1961" customFormat="false" ht="15" hidden="false" customHeight="true" outlineLevel="0" collapsed="false">
      <c r="A1961" s="21" t="str">
        <f aca="false">IF(B1961="","",ROW()-4)</f>
        <v/>
      </c>
      <c r="B1961" s="22"/>
      <c r="C1961" s="21" t="str">
        <f aca="false">IF(B1961="","",CHOOSE(WEEKDAY(B1961,2),"LUNES","MARTES","MIÉRCOLES","JUEVES","VIERNES","SÁBADO","DOMINGO"))</f>
        <v/>
      </c>
      <c r="M1961" s="23"/>
      <c r="Q1961" s="21" t="str">
        <f aca="false">IF(OR(K1961="",N1961=""),"",K1961-N1961)</f>
        <v/>
      </c>
      <c r="R1961" s="21" t="str">
        <f aca="false">IF(OR(J1961="",K1961=""),"",J1961*K1961)</f>
        <v/>
      </c>
      <c r="S1961" s="21" t="str">
        <f aca="false">IF(AND(ISNUMBER(J1961),ISNUMBER(K1961),F1961&lt;&gt;"Calentamiento",F1961&lt;&gt;"Bilbo"),IF(AND(K1961&gt;0,K1961&lt;=12),ROUND(J1961*(1+(K1961+IF(ISNUMBER(L1961),L1961,0))/30),1),""),"")</f>
        <v/>
      </c>
      <c r="T1961" s="21" t="str">
        <f aca="false">IF(AND(F1961="Bilbo",ISNUMBER(J1961),ISNUMBER(K1961)),ROUND(J1961*(1+K1961/30),1),"")</f>
        <v/>
      </c>
      <c r="W1961" s="22"/>
      <c r="X1961" s="21" t="str">
        <f aca="false">IF(AND(F1961="Bilbo",E1961&lt;&gt;"",G1961&lt;&gt;"",H1961&lt;&gt;""),E1961&amp;"|"&amp;G1961&amp;"|"&amp;H1961,"")</f>
        <v/>
      </c>
      <c r="Y1961" s="21" t="str">
        <f aca="false">IF(B1961="","",IF(B1961&lt;&gt;B1960,1,0))</f>
        <v/>
      </c>
    </row>
    <row r="1962" customFormat="false" ht="15" hidden="false" customHeight="true" outlineLevel="0" collapsed="false">
      <c r="A1962" s="21" t="str">
        <f aca="false">IF(B1962="","",ROW()-4)</f>
        <v/>
      </c>
      <c r="B1962" s="22"/>
      <c r="C1962" s="21" t="str">
        <f aca="false">IF(B1962="","",CHOOSE(WEEKDAY(B1962,2),"LUNES","MARTES","MIÉRCOLES","JUEVES","VIERNES","SÁBADO","DOMINGO"))</f>
        <v/>
      </c>
      <c r="M1962" s="23"/>
      <c r="Q1962" s="21" t="str">
        <f aca="false">IF(OR(K1962="",N1962=""),"",K1962-N1962)</f>
        <v/>
      </c>
      <c r="R1962" s="21" t="str">
        <f aca="false">IF(OR(J1962="",K1962=""),"",J1962*K1962)</f>
        <v/>
      </c>
      <c r="S1962" s="21" t="str">
        <f aca="false">IF(AND(ISNUMBER(J1962),ISNUMBER(K1962),F1962&lt;&gt;"Calentamiento",F1962&lt;&gt;"Bilbo"),IF(AND(K1962&gt;0,K1962&lt;=12),ROUND(J1962*(1+(K1962+IF(ISNUMBER(L1962),L1962,0))/30),1),""),"")</f>
        <v/>
      </c>
      <c r="T1962" s="21" t="str">
        <f aca="false">IF(AND(F1962="Bilbo",ISNUMBER(J1962),ISNUMBER(K1962)),ROUND(J1962*(1+K1962/30),1),"")</f>
        <v/>
      </c>
      <c r="W1962" s="22"/>
      <c r="X1962" s="21" t="str">
        <f aca="false">IF(AND(F1962="Bilbo",E1962&lt;&gt;"",G1962&lt;&gt;"",H1962&lt;&gt;""),E1962&amp;"|"&amp;G1962&amp;"|"&amp;H1962,"")</f>
        <v/>
      </c>
      <c r="Y1962" s="21" t="str">
        <f aca="false">IF(B1962="","",IF(B1962&lt;&gt;B1961,1,0))</f>
        <v/>
      </c>
    </row>
    <row r="1963" customFormat="false" ht="15" hidden="false" customHeight="true" outlineLevel="0" collapsed="false">
      <c r="A1963" s="21" t="str">
        <f aca="false">IF(B1963="","",ROW()-4)</f>
        <v/>
      </c>
      <c r="B1963" s="22"/>
      <c r="C1963" s="21" t="str">
        <f aca="false">IF(B1963="","",CHOOSE(WEEKDAY(B1963,2),"LUNES","MARTES","MIÉRCOLES","JUEVES","VIERNES","SÁBADO","DOMINGO"))</f>
        <v/>
      </c>
      <c r="M1963" s="23"/>
      <c r="Q1963" s="21" t="str">
        <f aca="false">IF(OR(K1963="",N1963=""),"",K1963-N1963)</f>
        <v/>
      </c>
      <c r="R1963" s="21" t="str">
        <f aca="false">IF(OR(J1963="",K1963=""),"",J1963*K1963)</f>
        <v/>
      </c>
      <c r="S1963" s="21" t="str">
        <f aca="false">IF(AND(ISNUMBER(J1963),ISNUMBER(K1963),F1963&lt;&gt;"Calentamiento",F1963&lt;&gt;"Bilbo"),IF(AND(K1963&gt;0,K1963&lt;=12),ROUND(J1963*(1+(K1963+IF(ISNUMBER(L1963),L1963,0))/30),1),""),"")</f>
        <v/>
      </c>
      <c r="T1963" s="21" t="str">
        <f aca="false">IF(AND(F1963="Bilbo",ISNUMBER(J1963),ISNUMBER(K1963)),ROUND(J1963*(1+K1963/30),1),"")</f>
        <v/>
      </c>
      <c r="W1963" s="22"/>
      <c r="X1963" s="21" t="str">
        <f aca="false">IF(AND(F1963="Bilbo",E1963&lt;&gt;"",G1963&lt;&gt;"",H1963&lt;&gt;""),E1963&amp;"|"&amp;G1963&amp;"|"&amp;H1963,"")</f>
        <v/>
      </c>
      <c r="Y1963" s="21" t="str">
        <f aca="false">IF(B1963="","",IF(B1963&lt;&gt;B1962,1,0))</f>
        <v/>
      </c>
    </row>
    <row r="1964" customFormat="false" ht="15" hidden="false" customHeight="true" outlineLevel="0" collapsed="false">
      <c r="A1964" s="21" t="str">
        <f aca="false">IF(B1964="","",ROW()-4)</f>
        <v/>
      </c>
      <c r="B1964" s="22"/>
      <c r="C1964" s="21" t="str">
        <f aca="false">IF(B1964="","",CHOOSE(WEEKDAY(B1964,2),"LUNES","MARTES","MIÉRCOLES","JUEVES","VIERNES","SÁBADO","DOMINGO"))</f>
        <v/>
      </c>
      <c r="M1964" s="23"/>
      <c r="Q1964" s="21" t="str">
        <f aca="false">IF(OR(K1964="",N1964=""),"",K1964-N1964)</f>
        <v/>
      </c>
      <c r="R1964" s="21" t="str">
        <f aca="false">IF(OR(J1964="",K1964=""),"",J1964*K1964)</f>
        <v/>
      </c>
      <c r="S1964" s="21" t="str">
        <f aca="false">IF(AND(ISNUMBER(J1964),ISNUMBER(K1964),F1964&lt;&gt;"Calentamiento",F1964&lt;&gt;"Bilbo"),IF(AND(K1964&gt;0,K1964&lt;=12),ROUND(J1964*(1+(K1964+IF(ISNUMBER(L1964),L1964,0))/30),1),""),"")</f>
        <v/>
      </c>
      <c r="T1964" s="21" t="str">
        <f aca="false">IF(AND(F1964="Bilbo",ISNUMBER(J1964),ISNUMBER(K1964)),ROUND(J1964*(1+K1964/30),1),"")</f>
        <v/>
      </c>
      <c r="W1964" s="22"/>
      <c r="X1964" s="21" t="str">
        <f aca="false">IF(AND(F1964="Bilbo",E1964&lt;&gt;"",G1964&lt;&gt;"",H1964&lt;&gt;""),E1964&amp;"|"&amp;G1964&amp;"|"&amp;H1964,"")</f>
        <v/>
      </c>
      <c r="Y1964" s="21" t="str">
        <f aca="false">IF(B1964="","",IF(B1964&lt;&gt;B1963,1,0))</f>
        <v/>
      </c>
    </row>
    <row r="1965" customFormat="false" ht="15" hidden="false" customHeight="true" outlineLevel="0" collapsed="false">
      <c r="A1965" s="21" t="str">
        <f aca="false">IF(B1965="","",ROW()-4)</f>
        <v/>
      </c>
      <c r="B1965" s="22"/>
      <c r="C1965" s="21" t="str">
        <f aca="false">IF(B1965="","",CHOOSE(WEEKDAY(B1965,2),"LUNES","MARTES","MIÉRCOLES","JUEVES","VIERNES","SÁBADO","DOMINGO"))</f>
        <v/>
      </c>
      <c r="M1965" s="23"/>
      <c r="Q1965" s="21" t="str">
        <f aca="false">IF(OR(K1965="",N1965=""),"",K1965-N1965)</f>
        <v/>
      </c>
      <c r="R1965" s="21" t="str">
        <f aca="false">IF(OR(J1965="",K1965=""),"",J1965*K1965)</f>
        <v/>
      </c>
      <c r="S1965" s="21" t="str">
        <f aca="false">IF(AND(ISNUMBER(J1965),ISNUMBER(K1965),F1965&lt;&gt;"Calentamiento",F1965&lt;&gt;"Bilbo"),IF(AND(K1965&gt;0,K1965&lt;=12),ROUND(J1965*(1+(K1965+IF(ISNUMBER(L1965),L1965,0))/30),1),""),"")</f>
        <v/>
      </c>
      <c r="T1965" s="21" t="str">
        <f aca="false">IF(AND(F1965="Bilbo",ISNUMBER(J1965),ISNUMBER(K1965)),ROUND(J1965*(1+K1965/30),1),"")</f>
        <v/>
      </c>
      <c r="W1965" s="22"/>
      <c r="X1965" s="21" t="str">
        <f aca="false">IF(AND(F1965="Bilbo",E1965&lt;&gt;"",G1965&lt;&gt;"",H1965&lt;&gt;""),E1965&amp;"|"&amp;G1965&amp;"|"&amp;H1965,"")</f>
        <v/>
      </c>
      <c r="Y1965" s="21" t="str">
        <f aca="false">IF(B1965="","",IF(B1965&lt;&gt;B1964,1,0))</f>
        <v/>
      </c>
    </row>
    <row r="1966" customFormat="false" ht="15" hidden="false" customHeight="true" outlineLevel="0" collapsed="false">
      <c r="A1966" s="21" t="str">
        <f aca="false">IF(B1966="","",ROW()-4)</f>
        <v/>
      </c>
      <c r="B1966" s="22"/>
      <c r="C1966" s="21" t="str">
        <f aca="false">IF(B1966="","",CHOOSE(WEEKDAY(B1966,2),"LUNES","MARTES","MIÉRCOLES","JUEVES","VIERNES","SÁBADO","DOMINGO"))</f>
        <v/>
      </c>
      <c r="M1966" s="23"/>
      <c r="Q1966" s="21" t="str">
        <f aca="false">IF(OR(K1966="",N1966=""),"",K1966-N1966)</f>
        <v/>
      </c>
      <c r="R1966" s="21" t="str">
        <f aca="false">IF(OR(J1966="",K1966=""),"",J1966*K1966)</f>
        <v/>
      </c>
      <c r="S1966" s="21" t="str">
        <f aca="false">IF(AND(ISNUMBER(J1966),ISNUMBER(K1966),F1966&lt;&gt;"Calentamiento",F1966&lt;&gt;"Bilbo"),IF(AND(K1966&gt;0,K1966&lt;=12),ROUND(J1966*(1+(K1966+IF(ISNUMBER(L1966),L1966,0))/30),1),""),"")</f>
        <v/>
      </c>
      <c r="T1966" s="21" t="str">
        <f aca="false">IF(AND(F1966="Bilbo",ISNUMBER(J1966),ISNUMBER(K1966)),ROUND(J1966*(1+K1966/30),1),"")</f>
        <v/>
      </c>
      <c r="W1966" s="22"/>
      <c r="X1966" s="21" t="str">
        <f aca="false">IF(AND(F1966="Bilbo",E1966&lt;&gt;"",G1966&lt;&gt;"",H1966&lt;&gt;""),E1966&amp;"|"&amp;G1966&amp;"|"&amp;H1966,"")</f>
        <v/>
      </c>
      <c r="Y1966" s="21" t="str">
        <f aca="false">IF(B1966="","",IF(B1966&lt;&gt;B1965,1,0))</f>
        <v/>
      </c>
    </row>
    <row r="1967" customFormat="false" ht="15" hidden="false" customHeight="true" outlineLevel="0" collapsed="false">
      <c r="A1967" s="21" t="str">
        <f aca="false">IF(B1967="","",ROW()-4)</f>
        <v/>
      </c>
      <c r="B1967" s="22"/>
      <c r="C1967" s="21" t="str">
        <f aca="false">IF(B1967="","",CHOOSE(WEEKDAY(B1967,2),"LUNES","MARTES","MIÉRCOLES","JUEVES","VIERNES","SÁBADO","DOMINGO"))</f>
        <v/>
      </c>
      <c r="M1967" s="23"/>
      <c r="Q1967" s="21" t="str">
        <f aca="false">IF(OR(K1967="",N1967=""),"",K1967-N1967)</f>
        <v/>
      </c>
      <c r="R1967" s="21" t="str">
        <f aca="false">IF(OR(J1967="",K1967=""),"",J1967*K1967)</f>
        <v/>
      </c>
      <c r="S1967" s="21" t="str">
        <f aca="false">IF(AND(ISNUMBER(J1967),ISNUMBER(K1967),F1967&lt;&gt;"Calentamiento",F1967&lt;&gt;"Bilbo"),IF(AND(K1967&gt;0,K1967&lt;=12),ROUND(J1967*(1+(K1967+IF(ISNUMBER(L1967),L1967,0))/30),1),""),"")</f>
        <v/>
      </c>
      <c r="T1967" s="21" t="str">
        <f aca="false">IF(AND(F1967="Bilbo",ISNUMBER(J1967),ISNUMBER(K1967)),ROUND(J1967*(1+K1967/30),1),"")</f>
        <v/>
      </c>
      <c r="W1967" s="22"/>
      <c r="X1967" s="21" t="str">
        <f aca="false">IF(AND(F1967="Bilbo",E1967&lt;&gt;"",G1967&lt;&gt;"",H1967&lt;&gt;""),E1967&amp;"|"&amp;G1967&amp;"|"&amp;H1967,"")</f>
        <v/>
      </c>
      <c r="Y1967" s="21" t="str">
        <f aca="false">IF(B1967="","",IF(B1967&lt;&gt;B1966,1,0))</f>
        <v/>
      </c>
    </row>
    <row r="1968" customFormat="false" ht="15" hidden="false" customHeight="true" outlineLevel="0" collapsed="false">
      <c r="A1968" s="21" t="str">
        <f aca="false">IF(B1968="","",ROW()-4)</f>
        <v/>
      </c>
      <c r="B1968" s="22"/>
      <c r="C1968" s="21" t="str">
        <f aca="false">IF(B1968="","",CHOOSE(WEEKDAY(B1968,2),"LUNES","MARTES","MIÉRCOLES","JUEVES","VIERNES","SÁBADO","DOMINGO"))</f>
        <v/>
      </c>
      <c r="M1968" s="23"/>
      <c r="Q1968" s="21" t="str">
        <f aca="false">IF(OR(K1968="",N1968=""),"",K1968-N1968)</f>
        <v/>
      </c>
      <c r="R1968" s="21" t="str">
        <f aca="false">IF(OR(J1968="",K1968=""),"",J1968*K1968)</f>
        <v/>
      </c>
      <c r="S1968" s="21" t="str">
        <f aca="false">IF(AND(ISNUMBER(J1968),ISNUMBER(K1968),F1968&lt;&gt;"Calentamiento",F1968&lt;&gt;"Bilbo"),IF(AND(K1968&gt;0,K1968&lt;=12),ROUND(J1968*(1+(K1968+IF(ISNUMBER(L1968),L1968,0))/30),1),""),"")</f>
        <v/>
      </c>
      <c r="T1968" s="21" t="str">
        <f aca="false">IF(AND(F1968="Bilbo",ISNUMBER(J1968),ISNUMBER(K1968)),ROUND(J1968*(1+K1968/30),1),"")</f>
        <v/>
      </c>
      <c r="W1968" s="22"/>
      <c r="X1968" s="21" t="str">
        <f aca="false">IF(AND(F1968="Bilbo",E1968&lt;&gt;"",G1968&lt;&gt;"",H1968&lt;&gt;""),E1968&amp;"|"&amp;G1968&amp;"|"&amp;H1968,"")</f>
        <v/>
      </c>
      <c r="Y1968" s="21" t="str">
        <f aca="false">IF(B1968="","",IF(B1968&lt;&gt;B1967,1,0))</f>
        <v/>
      </c>
    </row>
    <row r="1969" customFormat="false" ht="15" hidden="false" customHeight="true" outlineLevel="0" collapsed="false">
      <c r="A1969" s="21" t="str">
        <f aca="false">IF(B1969="","",ROW()-4)</f>
        <v/>
      </c>
      <c r="B1969" s="22"/>
      <c r="C1969" s="21" t="str">
        <f aca="false">IF(B1969="","",CHOOSE(WEEKDAY(B1969,2),"LUNES","MARTES","MIÉRCOLES","JUEVES","VIERNES","SÁBADO","DOMINGO"))</f>
        <v/>
      </c>
      <c r="M1969" s="23"/>
      <c r="Q1969" s="21" t="str">
        <f aca="false">IF(OR(K1969="",N1969=""),"",K1969-N1969)</f>
        <v/>
      </c>
      <c r="R1969" s="21" t="str">
        <f aca="false">IF(OR(J1969="",K1969=""),"",J1969*K1969)</f>
        <v/>
      </c>
      <c r="S1969" s="21" t="str">
        <f aca="false">IF(AND(ISNUMBER(J1969),ISNUMBER(K1969),F1969&lt;&gt;"Calentamiento",F1969&lt;&gt;"Bilbo"),IF(AND(K1969&gt;0,K1969&lt;=12),ROUND(J1969*(1+(K1969+IF(ISNUMBER(L1969),L1969,0))/30),1),""),"")</f>
        <v/>
      </c>
      <c r="T1969" s="21" t="str">
        <f aca="false">IF(AND(F1969="Bilbo",ISNUMBER(J1969),ISNUMBER(K1969)),ROUND(J1969*(1+K1969/30),1),"")</f>
        <v/>
      </c>
      <c r="W1969" s="22"/>
      <c r="X1969" s="21" t="str">
        <f aca="false">IF(AND(F1969="Bilbo",E1969&lt;&gt;"",G1969&lt;&gt;"",H1969&lt;&gt;""),E1969&amp;"|"&amp;G1969&amp;"|"&amp;H1969,"")</f>
        <v/>
      </c>
      <c r="Y1969" s="21" t="str">
        <f aca="false">IF(B1969="","",IF(B1969&lt;&gt;B1968,1,0))</f>
        <v/>
      </c>
    </row>
    <row r="1970" customFormat="false" ht="15" hidden="false" customHeight="true" outlineLevel="0" collapsed="false">
      <c r="A1970" s="21" t="str">
        <f aca="false">IF(B1970="","",ROW()-4)</f>
        <v/>
      </c>
      <c r="B1970" s="22"/>
      <c r="C1970" s="21" t="str">
        <f aca="false">IF(B1970="","",CHOOSE(WEEKDAY(B1970,2),"LUNES","MARTES","MIÉRCOLES","JUEVES","VIERNES","SÁBADO","DOMINGO"))</f>
        <v/>
      </c>
      <c r="M1970" s="23"/>
      <c r="Q1970" s="21" t="str">
        <f aca="false">IF(OR(K1970="",N1970=""),"",K1970-N1970)</f>
        <v/>
      </c>
      <c r="R1970" s="21" t="str">
        <f aca="false">IF(OR(J1970="",K1970=""),"",J1970*K1970)</f>
        <v/>
      </c>
      <c r="S1970" s="21" t="str">
        <f aca="false">IF(AND(ISNUMBER(J1970),ISNUMBER(K1970),F1970&lt;&gt;"Calentamiento",F1970&lt;&gt;"Bilbo"),IF(AND(K1970&gt;0,K1970&lt;=12),ROUND(J1970*(1+(K1970+IF(ISNUMBER(L1970),L1970,0))/30),1),""),"")</f>
        <v/>
      </c>
      <c r="T1970" s="21" t="str">
        <f aca="false">IF(AND(F1970="Bilbo",ISNUMBER(J1970),ISNUMBER(K1970)),ROUND(J1970*(1+K1970/30),1),"")</f>
        <v/>
      </c>
      <c r="W1970" s="22"/>
      <c r="X1970" s="21" t="str">
        <f aca="false">IF(AND(F1970="Bilbo",E1970&lt;&gt;"",G1970&lt;&gt;"",H1970&lt;&gt;""),E1970&amp;"|"&amp;G1970&amp;"|"&amp;H1970,"")</f>
        <v/>
      </c>
      <c r="Y1970" s="21" t="str">
        <f aca="false">IF(B1970="","",IF(B1970&lt;&gt;B1969,1,0))</f>
        <v/>
      </c>
    </row>
    <row r="1971" customFormat="false" ht="15" hidden="false" customHeight="true" outlineLevel="0" collapsed="false">
      <c r="A1971" s="21" t="str">
        <f aca="false">IF(B1971="","",ROW()-4)</f>
        <v/>
      </c>
      <c r="B1971" s="22"/>
      <c r="C1971" s="21" t="str">
        <f aca="false">IF(B1971="","",CHOOSE(WEEKDAY(B1971,2),"LUNES","MARTES","MIÉRCOLES","JUEVES","VIERNES","SÁBADO","DOMINGO"))</f>
        <v/>
      </c>
      <c r="M1971" s="23"/>
      <c r="Q1971" s="21" t="str">
        <f aca="false">IF(OR(K1971="",N1971=""),"",K1971-N1971)</f>
        <v/>
      </c>
      <c r="R1971" s="21" t="str">
        <f aca="false">IF(OR(J1971="",K1971=""),"",J1971*K1971)</f>
        <v/>
      </c>
      <c r="S1971" s="21" t="str">
        <f aca="false">IF(AND(ISNUMBER(J1971),ISNUMBER(K1971),F1971&lt;&gt;"Calentamiento",F1971&lt;&gt;"Bilbo"),IF(AND(K1971&gt;0,K1971&lt;=12),ROUND(J1971*(1+(K1971+IF(ISNUMBER(L1971),L1971,0))/30),1),""),"")</f>
        <v/>
      </c>
      <c r="T1971" s="21" t="str">
        <f aca="false">IF(AND(F1971="Bilbo",ISNUMBER(J1971),ISNUMBER(K1971)),ROUND(J1971*(1+K1971/30),1),"")</f>
        <v/>
      </c>
      <c r="W1971" s="22"/>
      <c r="X1971" s="21" t="str">
        <f aca="false">IF(AND(F1971="Bilbo",E1971&lt;&gt;"",G1971&lt;&gt;"",H1971&lt;&gt;""),E1971&amp;"|"&amp;G1971&amp;"|"&amp;H1971,"")</f>
        <v/>
      </c>
      <c r="Y1971" s="21" t="str">
        <f aca="false">IF(B1971="","",IF(B1971&lt;&gt;B1970,1,0))</f>
        <v/>
      </c>
    </row>
    <row r="1972" customFormat="false" ht="15" hidden="false" customHeight="true" outlineLevel="0" collapsed="false">
      <c r="A1972" s="21" t="str">
        <f aca="false">IF(B1972="","",ROW()-4)</f>
        <v/>
      </c>
      <c r="B1972" s="22"/>
      <c r="C1972" s="21" t="str">
        <f aca="false">IF(B1972="","",CHOOSE(WEEKDAY(B1972,2),"LUNES","MARTES","MIÉRCOLES","JUEVES","VIERNES","SÁBADO","DOMINGO"))</f>
        <v/>
      </c>
      <c r="M1972" s="23"/>
      <c r="Q1972" s="21" t="str">
        <f aca="false">IF(OR(K1972="",N1972=""),"",K1972-N1972)</f>
        <v/>
      </c>
      <c r="R1972" s="21" t="str">
        <f aca="false">IF(OR(J1972="",K1972=""),"",J1972*K1972)</f>
        <v/>
      </c>
      <c r="S1972" s="21" t="str">
        <f aca="false">IF(AND(ISNUMBER(J1972),ISNUMBER(K1972),F1972&lt;&gt;"Calentamiento",F1972&lt;&gt;"Bilbo"),IF(AND(K1972&gt;0,K1972&lt;=12),ROUND(J1972*(1+(K1972+IF(ISNUMBER(L1972),L1972,0))/30),1),""),"")</f>
        <v/>
      </c>
      <c r="T1972" s="21" t="str">
        <f aca="false">IF(AND(F1972="Bilbo",ISNUMBER(J1972),ISNUMBER(K1972)),ROUND(J1972*(1+K1972/30),1),"")</f>
        <v/>
      </c>
      <c r="W1972" s="22"/>
      <c r="X1972" s="21" t="str">
        <f aca="false">IF(AND(F1972="Bilbo",E1972&lt;&gt;"",G1972&lt;&gt;"",H1972&lt;&gt;""),E1972&amp;"|"&amp;G1972&amp;"|"&amp;H1972,"")</f>
        <v/>
      </c>
      <c r="Y1972" s="21" t="str">
        <f aca="false">IF(B1972="","",IF(B1972&lt;&gt;B1971,1,0))</f>
        <v/>
      </c>
    </row>
    <row r="1973" customFormat="false" ht="15" hidden="false" customHeight="true" outlineLevel="0" collapsed="false">
      <c r="A1973" s="21" t="str">
        <f aca="false">IF(B1973="","",ROW()-4)</f>
        <v/>
      </c>
      <c r="B1973" s="22"/>
      <c r="C1973" s="21" t="str">
        <f aca="false">IF(B1973="","",CHOOSE(WEEKDAY(B1973,2),"LUNES","MARTES","MIÉRCOLES","JUEVES","VIERNES","SÁBADO","DOMINGO"))</f>
        <v/>
      </c>
      <c r="M1973" s="23"/>
      <c r="Q1973" s="21" t="str">
        <f aca="false">IF(OR(K1973="",N1973=""),"",K1973-N1973)</f>
        <v/>
      </c>
      <c r="R1973" s="21" t="str">
        <f aca="false">IF(OR(J1973="",K1973=""),"",J1973*K1973)</f>
        <v/>
      </c>
      <c r="S1973" s="21" t="str">
        <f aca="false">IF(AND(ISNUMBER(J1973),ISNUMBER(K1973),F1973&lt;&gt;"Calentamiento",F1973&lt;&gt;"Bilbo"),IF(AND(K1973&gt;0,K1973&lt;=12),ROUND(J1973*(1+(K1973+IF(ISNUMBER(L1973),L1973,0))/30),1),""),"")</f>
        <v/>
      </c>
      <c r="T1973" s="21" t="str">
        <f aca="false">IF(AND(F1973="Bilbo",ISNUMBER(J1973),ISNUMBER(K1973)),ROUND(J1973*(1+K1973/30),1),"")</f>
        <v/>
      </c>
      <c r="W1973" s="22"/>
      <c r="X1973" s="21" t="str">
        <f aca="false">IF(AND(F1973="Bilbo",E1973&lt;&gt;"",G1973&lt;&gt;"",H1973&lt;&gt;""),E1973&amp;"|"&amp;G1973&amp;"|"&amp;H1973,"")</f>
        <v/>
      </c>
      <c r="Y1973" s="21" t="str">
        <f aca="false">IF(B1973="","",IF(B1973&lt;&gt;B1972,1,0))</f>
        <v/>
      </c>
    </row>
    <row r="1974" customFormat="false" ht="15" hidden="false" customHeight="true" outlineLevel="0" collapsed="false">
      <c r="A1974" s="21" t="str">
        <f aca="false">IF(B1974="","",ROW()-4)</f>
        <v/>
      </c>
      <c r="B1974" s="22"/>
      <c r="C1974" s="21" t="str">
        <f aca="false">IF(B1974="","",CHOOSE(WEEKDAY(B1974,2),"LUNES","MARTES","MIÉRCOLES","JUEVES","VIERNES","SÁBADO","DOMINGO"))</f>
        <v/>
      </c>
      <c r="M1974" s="23"/>
      <c r="Q1974" s="21" t="str">
        <f aca="false">IF(OR(K1974="",N1974=""),"",K1974-N1974)</f>
        <v/>
      </c>
      <c r="R1974" s="21" t="str">
        <f aca="false">IF(OR(J1974="",K1974=""),"",J1974*K1974)</f>
        <v/>
      </c>
      <c r="S1974" s="21" t="str">
        <f aca="false">IF(AND(ISNUMBER(J1974),ISNUMBER(K1974),F1974&lt;&gt;"Calentamiento",F1974&lt;&gt;"Bilbo"),IF(AND(K1974&gt;0,K1974&lt;=12),ROUND(J1974*(1+(K1974+IF(ISNUMBER(L1974),L1974,0))/30),1),""),"")</f>
        <v/>
      </c>
      <c r="T1974" s="21" t="str">
        <f aca="false">IF(AND(F1974="Bilbo",ISNUMBER(J1974),ISNUMBER(K1974)),ROUND(J1974*(1+K1974/30),1),"")</f>
        <v/>
      </c>
      <c r="W1974" s="22"/>
      <c r="X1974" s="21" t="str">
        <f aca="false">IF(AND(F1974="Bilbo",E1974&lt;&gt;"",G1974&lt;&gt;"",H1974&lt;&gt;""),E1974&amp;"|"&amp;G1974&amp;"|"&amp;H1974,"")</f>
        <v/>
      </c>
      <c r="Y1974" s="21" t="str">
        <f aca="false">IF(B1974="","",IF(B1974&lt;&gt;B1973,1,0))</f>
        <v/>
      </c>
    </row>
    <row r="1975" customFormat="false" ht="15" hidden="false" customHeight="true" outlineLevel="0" collapsed="false">
      <c r="A1975" s="21" t="str">
        <f aca="false">IF(B1975="","",ROW()-4)</f>
        <v/>
      </c>
      <c r="B1975" s="22"/>
      <c r="C1975" s="21" t="str">
        <f aca="false">IF(B1975="","",CHOOSE(WEEKDAY(B1975,2),"LUNES","MARTES","MIÉRCOLES","JUEVES","VIERNES","SÁBADO","DOMINGO"))</f>
        <v/>
      </c>
      <c r="M1975" s="23"/>
      <c r="Q1975" s="21" t="str">
        <f aca="false">IF(OR(K1975="",N1975=""),"",K1975-N1975)</f>
        <v/>
      </c>
      <c r="R1975" s="21" t="str">
        <f aca="false">IF(OR(J1975="",K1975=""),"",J1975*K1975)</f>
        <v/>
      </c>
      <c r="S1975" s="21" t="str">
        <f aca="false">IF(AND(ISNUMBER(J1975),ISNUMBER(K1975),F1975&lt;&gt;"Calentamiento",F1975&lt;&gt;"Bilbo"),IF(AND(K1975&gt;0,K1975&lt;=12),ROUND(J1975*(1+(K1975+IF(ISNUMBER(L1975),L1975,0))/30),1),""),"")</f>
        <v/>
      </c>
      <c r="T1975" s="21" t="str">
        <f aca="false">IF(AND(F1975="Bilbo",ISNUMBER(J1975),ISNUMBER(K1975)),ROUND(J1975*(1+K1975/30),1),"")</f>
        <v/>
      </c>
      <c r="W1975" s="22"/>
      <c r="X1975" s="21" t="str">
        <f aca="false">IF(AND(F1975="Bilbo",E1975&lt;&gt;"",G1975&lt;&gt;"",H1975&lt;&gt;""),E1975&amp;"|"&amp;G1975&amp;"|"&amp;H1975,"")</f>
        <v/>
      </c>
      <c r="Y1975" s="21" t="str">
        <f aca="false">IF(B1975="","",IF(B1975&lt;&gt;B1974,1,0))</f>
        <v/>
      </c>
    </row>
    <row r="1976" customFormat="false" ht="15" hidden="false" customHeight="true" outlineLevel="0" collapsed="false">
      <c r="A1976" s="21" t="str">
        <f aca="false">IF(B1976="","",ROW()-4)</f>
        <v/>
      </c>
      <c r="B1976" s="22"/>
      <c r="C1976" s="21" t="str">
        <f aca="false">IF(B1976="","",CHOOSE(WEEKDAY(B1976,2),"LUNES","MARTES","MIÉRCOLES","JUEVES","VIERNES","SÁBADO","DOMINGO"))</f>
        <v/>
      </c>
      <c r="M1976" s="23"/>
      <c r="Q1976" s="21" t="str">
        <f aca="false">IF(OR(K1976="",N1976=""),"",K1976-N1976)</f>
        <v/>
      </c>
      <c r="R1976" s="21" t="str">
        <f aca="false">IF(OR(J1976="",K1976=""),"",J1976*K1976)</f>
        <v/>
      </c>
      <c r="S1976" s="21" t="str">
        <f aca="false">IF(AND(ISNUMBER(J1976),ISNUMBER(K1976),F1976&lt;&gt;"Calentamiento",F1976&lt;&gt;"Bilbo"),IF(AND(K1976&gt;0,K1976&lt;=12),ROUND(J1976*(1+(K1976+IF(ISNUMBER(L1976),L1976,0))/30),1),""),"")</f>
        <v/>
      </c>
      <c r="T1976" s="21" t="str">
        <f aca="false">IF(AND(F1976="Bilbo",ISNUMBER(J1976),ISNUMBER(K1976)),ROUND(J1976*(1+K1976/30),1),"")</f>
        <v/>
      </c>
      <c r="W1976" s="22"/>
      <c r="X1976" s="21" t="str">
        <f aca="false">IF(AND(F1976="Bilbo",E1976&lt;&gt;"",G1976&lt;&gt;"",H1976&lt;&gt;""),E1976&amp;"|"&amp;G1976&amp;"|"&amp;H1976,"")</f>
        <v/>
      </c>
      <c r="Y1976" s="21" t="str">
        <f aca="false">IF(B1976="","",IF(B1976&lt;&gt;B1975,1,0))</f>
        <v/>
      </c>
    </row>
    <row r="1977" customFormat="false" ht="15" hidden="false" customHeight="true" outlineLevel="0" collapsed="false">
      <c r="A1977" s="21" t="str">
        <f aca="false">IF(B1977="","",ROW()-4)</f>
        <v/>
      </c>
      <c r="B1977" s="22"/>
      <c r="C1977" s="21" t="str">
        <f aca="false">IF(B1977="","",CHOOSE(WEEKDAY(B1977,2),"LUNES","MARTES","MIÉRCOLES","JUEVES","VIERNES","SÁBADO","DOMINGO"))</f>
        <v/>
      </c>
      <c r="M1977" s="23"/>
      <c r="Q1977" s="21" t="str">
        <f aca="false">IF(OR(K1977="",N1977=""),"",K1977-N1977)</f>
        <v/>
      </c>
      <c r="R1977" s="21" t="str">
        <f aca="false">IF(OR(J1977="",K1977=""),"",J1977*K1977)</f>
        <v/>
      </c>
      <c r="S1977" s="21" t="str">
        <f aca="false">IF(AND(ISNUMBER(J1977),ISNUMBER(K1977),F1977&lt;&gt;"Calentamiento",F1977&lt;&gt;"Bilbo"),IF(AND(K1977&gt;0,K1977&lt;=12),ROUND(J1977*(1+(K1977+IF(ISNUMBER(L1977),L1977,0))/30),1),""),"")</f>
        <v/>
      </c>
      <c r="T1977" s="21" t="str">
        <f aca="false">IF(AND(F1977="Bilbo",ISNUMBER(J1977),ISNUMBER(K1977)),ROUND(J1977*(1+K1977/30),1),"")</f>
        <v/>
      </c>
      <c r="W1977" s="22"/>
      <c r="X1977" s="21" t="str">
        <f aca="false">IF(AND(F1977="Bilbo",E1977&lt;&gt;"",G1977&lt;&gt;"",H1977&lt;&gt;""),E1977&amp;"|"&amp;G1977&amp;"|"&amp;H1977,"")</f>
        <v/>
      </c>
      <c r="Y1977" s="21" t="str">
        <f aca="false">IF(B1977="","",IF(B1977&lt;&gt;B1976,1,0))</f>
        <v/>
      </c>
    </row>
    <row r="1978" customFormat="false" ht="15" hidden="false" customHeight="true" outlineLevel="0" collapsed="false">
      <c r="A1978" s="21" t="str">
        <f aca="false">IF(B1978="","",ROW()-4)</f>
        <v/>
      </c>
      <c r="B1978" s="22"/>
      <c r="C1978" s="21" t="str">
        <f aca="false">IF(B1978="","",CHOOSE(WEEKDAY(B1978,2),"LUNES","MARTES","MIÉRCOLES","JUEVES","VIERNES","SÁBADO","DOMINGO"))</f>
        <v/>
      </c>
      <c r="M1978" s="23"/>
      <c r="Q1978" s="21" t="str">
        <f aca="false">IF(OR(K1978="",N1978=""),"",K1978-N1978)</f>
        <v/>
      </c>
      <c r="R1978" s="21" t="str">
        <f aca="false">IF(OR(J1978="",K1978=""),"",J1978*K1978)</f>
        <v/>
      </c>
      <c r="S1978" s="21" t="str">
        <f aca="false">IF(AND(ISNUMBER(J1978),ISNUMBER(K1978),F1978&lt;&gt;"Calentamiento",F1978&lt;&gt;"Bilbo"),IF(AND(K1978&gt;0,K1978&lt;=12),ROUND(J1978*(1+(K1978+IF(ISNUMBER(L1978),L1978,0))/30),1),""),"")</f>
        <v/>
      </c>
      <c r="T1978" s="21" t="str">
        <f aca="false">IF(AND(F1978="Bilbo",ISNUMBER(J1978),ISNUMBER(K1978)),ROUND(J1978*(1+K1978/30),1),"")</f>
        <v/>
      </c>
      <c r="W1978" s="22"/>
      <c r="X1978" s="21" t="str">
        <f aca="false">IF(AND(F1978="Bilbo",E1978&lt;&gt;"",G1978&lt;&gt;"",H1978&lt;&gt;""),E1978&amp;"|"&amp;G1978&amp;"|"&amp;H1978,"")</f>
        <v/>
      </c>
      <c r="Y1978" s="21" t="str">
        <f aca="false">IF(B1978="","",IF(B1978&lt;&gt;B1977,1,0))</f>
        <v/>
      </c>
    </row>
    <row r="1979" customFormat="false" ht="15" hidden="false" customHeight="true" outlineLevel="0" collapsed="false">
      <c r="A1979" s="21" t="str">
        <f aca="false">IF(B1979="","",ROW()-4)</f>
        <v/>
      </c>
      <c r="B1979" s="22"/>
      <c r="C1979" s="21" t="str">
        <f aca="false">IF(B1979="","",CHOOSE(WEEKDAY(B1979,2),"LUNES","MARTES","MIÉRCOLES","JUEVES","VIERNES","SÁBADO","DOMINGO"))</f>
        <v/>
      </c>
      <c r="M1979" s="23"/>
      <c r="Q1979" s="21" t="str">
        <f aca="false">IF(OR(K1979="",N1979=""),"",K1979-N1979)</f>
        <v/>
      </c>
      <c r="R1979" s="21" t="str">
        <f aca="false">IF(OR(J1979="",K1979=""),"",J1979*K1979)</f>
        <v/>
      </c>
      <c r="S1979" s="21" t="str">
        <f aca="false">IF(AND(ISNUMBER(J1979),ISNUMBER(K1979),F1979&lt;&gt;"Calentamiento",F1979&lt;&gt;"Bilbo"),IF(AND(K1979&gt;0,K1979&lt;=12),ROUND(J1979*(1+(K1979+IF(ISNUMBER(L1979),L1979,0))/30),1),""),"")</f>
        <v/>
      </c>
      <c r="T1979" s="21" t="str">
        <f aca="false">IF(AND(F1979="Bilbo",ISNUMBER(J1979),ISNUMBER(K1979)),ROUND(J1979*(1+K1979/30),1),"")</f>
        <v/>
      </c>
      <c r="W1979" s="22"/>
      <c r="X1979" s="21" t="str">
        <f aca="false">IF(AND(F1979="Bilbo",E1979&lt;&gt;"",G1979&lt;&gt;"",H1979&lt;&gt;""),E1979&amp;"|"&amp;G1979&amp;"|"&amp;H1979,"")</f>
        <v/>
      </c>
      <c r="Y1979" s="21" t="str">
        <f aca="false">IF(B1979="","",IF(B1979&lt;&gt;B1978,1,0))</f>
        <v/>
      </c>
    </row>
    <row r="1980" customFormat="false" ht="15" hidden="false" customHeight="true" outlineLevel="0" collapsed="false">
      <c r="A1980" s="21" t="str">
        <f aca="false">IF(B1980="","",ROW()-4)</f>
        <v/>
      </c>
      <c r="B1980" s="22"/>
      <c r="C1980" s="21" t="str">
        <f aca="false">IF(B1980="","",CHOOSE(WEEKDAY(B1980,2),"LUNES","MARTES","MIÉRCOLES","JUEVES","VIERNES","SÁBADO","DOMINGO"))</f>
        <v/>
      </c>
      <c r="M1980" s="23"/>
      <c r="Q1980" s="21" t="str">
        <f aca="false">IF(OR(K1980="",N1980=""),"",K1980-N1980)</f>
        <v/>
      </c>
      <c r="R1980" s="21" t="str">
        <f aca="false">IF(OR(J1980="",K1980=""),"",J1980*K1980)</f>
        <v/>
      </c>
      <c r="S1980" s="21" t="str">
        <f aca="false">IF(AND(ISNUMBER(J1980),ISNUMBER(K1980),F1980&lt;&gt;"Calentamiento",F1980&lt;&gt;"Bilbo"),IF(AND(K1980&gt;0,K1980&lt;=12),ROUND(J1980*(1+(K1980+IF(ISNUMBER(L1980),L1980,0))/30),1),""),"")</f>
        <v/>
      </c>
      <c r="T1980" s="21" t="str">
        <f aca="false">IF(AND(F1980="Bilbo",ISNUMBER(J1980),ISNUMBER(K1980)),ROUND(J1980*(1+K1980/30),1),"")</f>
        <v/>
      </c>
      <c r="W1980" s="22"/>
      <c r="X1980" s="21" t="str">
        <f aca="false">IF(AND(F1980="Bilbo",E1980&lt;&gt;"",G1980&lt;&gt;"",H1980&lt;&gt;""),E1980&amp;"|"&amp;G1980&amp;"|"&amp;H1980,"")</f>
        <v/>
      </c>
      <c r="Y1980" s="21" t="str">
        <f aca="false">IF(B1980="","",IF(B1980&lt;&gt;B1979,1,0))</f>
        <v/>
      </c>
    </row>
    <row r="1981" customFormat="false" ht="15" hidden="false" customHeight="true" outlineLevel="0" collapsed="false">
      <c r="A1981" s="21" t="str">
        <f aca="false">IF(B1981="","",ROW()-4)</f>
        <v/>
      </c>
      <c r="B1981" s="22"/>
      <c r="C1981" s="21" t="str">
        <f aca="false">IF(B1981="","",CHOOSE(WEEKDAY(B1981,2),"LUNES","MARTES","MIÉRCOLES","JUEVES","VIERNES","SÁBADO","DOMINGO"))</f>
        <v/>
      </c>
      <c r="M1981" s="23"/>
      <c r="Q1981" s="21" t="str">
        <f aca="false">IF(OR(K1981="",N1981=""),"",K1981-N1981)</f>
        <v/>
      </c>
      <c r="R1981" s="21" t="str">
        <f aca="false">IF(OR(J1981="",K1981=""),"",J1981*K1981)</f>
        <v/>
      </c>
      <c r="S1981" s="21" t="str">
        <f aca="false">IF(AND(ISNUMBER(J1981),ISNUMBER(K1981),F1981&lt;&gt;"Calentamiento",F1981&lt;&gt;"Bilbo"),IF(AND(K1981&gt;0,K1981&lt;=12),ROUND(J1981*(1+(K1981+IF(ISNUMBER(L1981),L1981,0))/30),1),""),"")</f>
        <v/>
      </c>
      <c r="T1981" s="21" t="str">
        <f aca="false">IF(AND(F1981="Bilbo",ISNUMBER(J1981),ISNUMBER(K1981)),ROUND(J1981*(1+K1981/30),1),"")</f>
        <v/>
      </c>
      <c r="W1981" s="22"/>
      <c r="X1981" s="21" t="str">
        <f aca="false">IF(AND(F1981="Bilbo",E1981&lt;&gt;"",G1981&lt;&gt;"",H1981&lt;&gt;""),E1981&amp;"|"&amp;G1981&amp;"|"&amp;H1981,"")</f>
        <v/>
      </c>
      <c r="Y1981" s="21" t="str">
        <f aca="false">IF(B1981="","",IF(B1981&lt;&gt;B1980,1,0))</f>
        <v/>
      </c>
    </row>
    <row r="1982" customFormat="false" ht="15" hidden="false" customHeight="true" outlineLevel="0" collapsed="false">
      <c r="A1982" s="21" t="str">
        <f aca="false">IF(B1982="","",ROW()-4)</f>
        <v/>
      </c>
      <c r="B1982" s="22"/>
      <c r="C1982" s="21" t="str">
        <f aca="false">IF(B1982="","",CHOOSE(WEEKDAY(B1982,2),"LUNES","MARTES","MIÉRCOLES","JUEVES","VIERNES","SÁBADO","DOMINGO"))</f>
        <v/>
      </c>
      <c r="M1982" s="23"/>
      <c r="Q1982" s="21" t="str">
        <f aca="false">IF(OR(K1982="",N1982=""),"",K1982-N1982)</f>
        <v/>
      </c>
      <c r="R1982" s="21" t="str">
        <f aca="false">IF(OR(J1982="",K1982=""),"",J1982*K1982)</f>
        <v/>
      </c>
      <c r="S1982" s="21" t="str">
        <f aca="false">IF(AND(ISNUMBER(J1982),ISNUMBER(K1982),F1982&lt;&gt;"Calentamiento",F1982&lt;&gt;"Bilbo"),IF(AND(K1982&gt;0,K1982&lt;=12),ROUND(J1982*(1+(K1982+IF(ISNUMBER(L1982),L1982,0))/30),1),""),"")</f>
        <v/>
      </c>
      <c r="T1982" s="21" t="str">
        <f aca="false">IF(AND(F1982="Bilbo",ISNUMBER(J1982),ISNUMBER(K1982)),ROUND(J1982*(1+K1982/30),1),"")</f>
        <v/>
      </c>
      <c r="W1982" s="22"/>
      <c r="X1982" s="21" t="str">
        <f aca="false">IF(AND(F1982="Bilbo",E1982&lt;&gt;"",G1982&lt;&gt;"",H1982&lt;&gt;""),E1982&amp;"|"&amp;G1982&amp;"|"&amp;H1982,"")</f>
        <v/>
      </c>
      <c r="Y1982" s="21" t="str">
        <f aca="false">IF(B1982="","",IF(B1982&lt;&gt;B1981,1,0))</f>
        <v/>
      </c>
    </row>
    <row r="1983" customFormat="false" ht="15" hidden="false" customHeight="true" outlineLevel="0" collapsed="false">
      <c r="A1983" s="21" t="str">
        <f aca="false">IF(B1983="","",ROW()-4)</f>
        <v/>
      </c>
      <c r="B1983" s="22"/>
      <c r="C1983" s="21" t="str">
        <f aca="false">IF(B1983="","",CHOOSE(WEEKDAY(B1983,2),"LUNES","MARTES","MIÉRCOLES","JUEVES","VIERNES","SÁBADO","DOMINGO"))</f>
        <v/>
      </c>
      <c r="M1983" s="23"/>
      <c r="Q1983" s="21" t="str">
        <f aca="false">IF(OR(K1983="",N1983=""),"",K1983-N1983)</f>
        <v/>
      </c>
      <c r="R1983" s="21" t="str">
        <f aca="false">IF(OR(J1983="",K1983=""),"",J1983*K1983)</f>
        <v/>
      </c>
      <c r="S1983" s="21" t="str">
        <f aca="false">IF(AND(ISNUMBER(J1983),ISNUMBER(K1983),F1983&lt;&gt;"Calentamiento",F1983&lt;&gt;"Bilbo"),IF(AND(K1983&gt;0,K1983&lt;=12),ROUND(J1983*(1+(K1983+IF(ISNUMBER(L1983),L1983,0))/30),1),""),"")</f>
        <v/>
      </c>
      <c r="T1983" s="21" t="str">
        <f aca="false">IF(AND(F1983="Bilbo",ISNUMBER(J1983),ISNUMBER(K1983)),ROUND(J1983*(1+K1983/30),1),"")</f>
        <v/>
      </c>
      <c r="W1983" s="22"/>
      <c r="X1983" s="21" t="str">
        <f aca="false">IF(AND(F1983="Bilbo",E1983&lt;&gt;"",G1983&lt;&gt;"",H1983&lt;&gt;""),E1983&amp;"|"&amp;G1983&amp;"|"&amp;H1983,"")</f>
        <v/>
      </c>
      <c r="Y1983" s="21" t="str">
        <f aca="false">IF(B1983="","",IF(B1983&lt;&gt;B1982,1,0))</f>
        <v/>
      </c>
    </row>
    <row r="1984" customFormat="false" ht="15" hidden="false" customHeight="true" outlineLevel="0" collapsed="false">
      <c r="A1984" s="21" t="str">
        <f aca="false">IF(B1984="","",ROW()-4)</f>
        <v/>
      </c>
      <c r="B1984" s="22"/>
      <c r="C1984" s="21" t="str">
        <f aca="false">IF(B1984="","",CHOOSE(WEEKDAY(B1984,2),"LUNES","MARTES","MIÉRCOLES","JUEVES","VIERNES","SÁBADO","DOMINGO"))</f>
        <v/>
      </c>
      <c r="M1984" s="23"/>
      <c r="Q1984" s="21" t="str">
        <f aca="false">IF(OR(K1984="",N1984=""),"",K1984-N1984)</f>
        <v/>
      </c>
      <c r="R1984" s="21" t="str">
        <f aca="false">IF(OR(J1984="",K1984=""),"",J1984*K1984)</f>
        <v/>
      </c>
      <c r="S1984" s="21" t="str">
        <f aca="false">IF(AND(ISNUMBER(J1984),ISNUMBER(K1984),F1984&lt;&gt;"Calentamiento",F1984&lt;&gt;"Bilbo"),IF(AND(K1984&gt;0,K1984&lt;=12),ROUND(J1984*(1+(K1984+IF(ISNUMBER(L1984),L1984,0))/30),1),""),"")</f>
        <v/>
      </c>
      <c r="T1984" s="21" t="str">
        <f aca="false">IF(AND(F1984="Bilbo",ISNUMBER(J1984),ISNUMBER(K1984)),ROUND(J1984*(1+K1984/30),1),"")</f>
        <v/>
      </c>
      <c r="W1984" s="22"/>
      <c r="X1984" s="21" t="str">
        <f aca="false">IF(AND(F1984="Bilbo",E1984&lt;&gt;"",G1984&lt;&gt;"",H1984&lt;&gt;""),E1984&amp;"|"&amp;G1984&amp;"|"&amp;H1984,"")</f>
        <v/>
      </c>
      <c r="Y1984" s="21" t="str">
        <f aca="false">IF(B1984="","",IF(B1984&lt;&gt;B1983,1,0))</f>
        <v/>
      </c>
    </row>
    <row r="1985" customFormat="false" ht="15" hidden="false" customHeight="true" outlineLevel="0" collapsed="false">
      <c r="A1985" s="21" t="str">
        <f aca="false">IF(B1985="","",ROW()-4)</f>
        <v/>
      </c>
      <c r="B1985" s="22"/>
      <c r="C1985" s="21" t="str">
        <f aca="false">IF(B1985="","",CHOOSE(WEEKDAY(B1985,2),"LUNES","MARTES","MIÉRCOLES","JUEVES","VIERNES","SÁBADO","DOMINGO"))</f>
        <v/>
      </c>
      <c r="M1985" s="23"/>
      <c r="Q1985" s="21" t="str">
        <f aca="false">IF(OR(K1985="",N1985=""),"",K1985-N1985)</f>
        <v/>
      </c>
      <c r="R1985" s="21" t="str">
        <f aca="false">IF(OR(J1985="",K1985=""),"",J1985*K1985)</f>
        <v/>
      </c>
      <c r="S1985" s="21" t="str">
        <f aca="false">IF(AND(ISNUMBER(J1985),ISNUMBER(K1985),F1985&lt;&gt;"Calentamiento",F1985&lt;&gt;"Bilbo"),IF(AND(K1985&gt;0,K1985&lt;=12),ROUND(J1985*(1+(K1985+IF(ISNUMBER(L1985),L1985,0))/30),1),""),"")</f>
        <v/>
      </c>
      <c r="T1985" s="21" t="str">
        <f aca="false">IF(AND(F1985="Bilbo",ISNUMBER(J1985),ISNUMBER(K1985)),ROUND(J1985*(1+K1985/30),1),"")</f>
        <v/>
      </c>
      <c r="W1985" s="22"/>
      <c r="X1985" s="21" t="str">
        <f aca="false">IF(AND(F1985="Bilbo",E1985&lt;&gt;"",G1985&lt;&gt;"",H1985&lt;&gt;""),E1985&amp;"|"&amp;G1985&amp;"|"&amp;H1985,"")</f>
        <v/>
      </c>
      <c r="Y1985" s="21" t="str">
        <f aca="false">IF(B1985="","",IF(B1985&lt;&gt;B1984,1,0))</f>
        <v/>
      </c>
    </row>
    <row r="1986" customFormat="false" ht="15" hidden="false" customHeight="true" outlineLevel="0" collapsed="false">
      <c r="A1986" s="21" t="str">
        <f aca="false">IF(B1986="","",ROW()-4)</f>
        <v/>
      </c>
      <c r="B1986" s="22"/>
      <c r="C1986" s="21" t="str">
        <f aca="false">IF(B1986="","",CHOOSE(WEEKDAY(B1986,2),"LUNES","MARTES","MIÉRCOLES","JUEVES","VIERNES","SÁBADO","DOMINGO"))</f>
        <v/>
      </c>
      <c r="M1986" s="23"/>
      <c r="Q1986" s="21" t="str">
        <f aca="false">IF(OR(K1986="",N1986=""),"",K1986-N1986)</f>
        <v/>
      </c>
      <c r="R1986" s="21" t="str">
        <f aca="false">IF(OR(J1986="",K1986=""),"",J1986*K1986)</f>
        <v/>
      </c>
      <c r="S1986" s="21" t="str">
        <f aca="false">IF(AND(ISNUMBER(J1986),ISNUMBER(K1986),F1986&lt;&gt;"Calentamiento",F1986&lt;&gt;"Bilbo"),IF(AND(K1986&gt;0,K1986&lt;=12),ROUND(J1986*(1+(K1986+IF(ISNUMBER(L1986),L1986,0))/30),1),""),"")</f>
        <v/>
      </c>
      <c r="T1986" s="21" t="str">
        <f aca="false">IF(AND(F1986="Bilbo",ISNUMBER(J1986),ISNUMBER(K1986)),ROUND(J1986*(1+K1986/30),1),"")</f>
        <v/>
      </c>
      <c r="W1986" s="22"/>
      <c r="X1986" s="21" t="str">
        <f aca="false">IF(AND(F1986="Bilbo",E1986&lt;&gt;"",G1986&lt;&gt;"",H1986&lt;&gt;""),E1986&amp;"|"&amp;G1986&amp;"|"&amp;H1986,"")</f>
        <v/>
      </c>
      <c r="Y1986" s="21" t="str">
        <f aca="false">IF(B1986="","",IF(B1986&lt;&gt;B1985,1,0))</f>
        <v/>
      </c>
    </row>
    <row r="1987" customFormat="false" ht="15" hidden="false" customHeight="true" outlineLevel="0" collapsed="false">
      <c r="A1987" s="21" t="str">
        <f aca="false">IF(B1987="","",ROW()-4)</f>
        <v/>
      </c>
      <c r="B1987" s="22"/>
      <c r="C1987" s="21" t="str">
        <f aca="false">IF(B1987="","",CHOOSE(WEEKDAY(B1987,2),"LUNES","MARTES","MIÉRCOLES","JUEVES","VIERNES","SÁBADO","DOMINGO"))</f>
        <v/>
      </c>
      <c r="M1987" s="23"/>
      <c r="Q1987" s="21" t="str">
        <f aca="false">IF(OR(K1987="",N1987=""),"",K1987-N1987)</f>
        <v/>
      </c>
      <c r="R1987" s="21" t="str">
        <f aca="false">IF(OR(J1987="",K1987=""),"",J1987*K1987)</f>
        <v/>
      </c>
      <c r="S1987" s="21" t="str">
        <f aca="false">IF(AND(ISNUMBER(J1987),ISNUMBER(K1987),F1987&lt;&gt;"Calentamiento",F1987&lt;&gt;"Bilbo"),IF(AND(K1987&gt;0,K1987&lt;=12),ROUND(J1987*(1+(K1987+IF(ISNUMBER(L1987),L1987,0))/30),1),""),"")</f>
        <v/>
      </c>
      <c r="T1987" s="21" t="str">
        <f aca="false">IF(AND(F1987="Bilbo",ISNUMBER(J1987),ISNUMBER(K1987)),ROUND(J1987*(1+K1987/30),1),"")</f>
        <v/>
      </c>
      <c r="W1987" s="22"/>
      <c r="X1987" s="21" t="str">
        <f aca="false">IF(AND(F1987="Bilbo",E1987&lt;&gt;"",G1987&lt;&gt;"",H1987&lt;&gt;""),E1987&amp;"|"&amp;G1987&amp;"|"&amp;H1987,"")</f>
        <v/>
      </c>
      <c r="Y1987" s="21" t="str">
        <f aca="false">IF(B1987="","",IF(B1987&lt;&gt;B1986,1,0))</f>
        <v/>
      </c>
    </row>
    <row r="1988" customFormat="false" ht="15" hidden="false" customHeight="true" outlineLevel="0" collapsed="false">
      <c r="A1988" s="21" t="str">
        <f aca="false">IF(B1988="","",ROW()-4)</f>
        <v/>
      </c>
      <c r="B1988" s="22"/>
      <c r="C1988" s="21" t="str">
        <f aca="false">IF(B1988="","",CHOOSE(WEEKDAY(B1988,2),"LUNES","MARTES","MIÉRCOLES","JUEVES","VIERNES","SÁBADO","DOMINGO"))</f>
        <v/>
      </c>
      <c r="M1988" s="23"/>
      <c r="Q1988" s="21" t="str">
        <f aca="false">IF(OR(K1988="",N1988=""),"",K1988-N1988)</f>
        <v/>
      </c>
      <c r="R1988" s="21" t="str">
        <f aca="false">IF(OR(J1988="",K1988=""),"",J1988*K1988)</f>
        <v/>
      </c>
      <c r="S1988" s="21" t="str">
        <f aca="false">IF(AND(ISNUMBER(J1988),ISNUMBER(K1988),F1988&lt;&gt;"Calentamiento",F1988&lt;&gt;"Bilbo"),IF(AND(K1988&gt;0,K1988&lt;=12),ROUND(J1988*(1+(K1988+IF(ISNUMBER(L1988),L1988,0))/30),1),""),"")</f>
        <v/>
      </c>
      <c r="T1988" s="21" t="str">
        <f aca="false">IF(AND(F1988="Bilbo",ISNUMBER(J1988),ISNUMBER(K1988)),ROUND(J1988*(1+K1988/30),1),"")</f>
        <v/>
      </c>
      <c r="W1988" s="22"/>
      <c r="X1988" s="21" t="str">
        <f aca="false">IF(AND(F1988="Bilbo",E1988&lt;&gt;"",G1988&lt;&gt;"",H1988&lt;&gt;""),E1988&amp;"|"&amp;G1988&amp;"|"&amp;H1988,"")</f>
        <v/>
      </c>
      <c r="Y1988" s="21" t="str">
        <f aca="false">IF(B1988="","",IF(B1988&lt;&gt;B1987,1,0))</f>
        <v/>
      </c>
    </row>
    <row r="1989" customFormat="false" ht="15" hidden="false" customHeight="true" outlineLevel="0" collapsed="false">
      <c r="A1989" s="21" t="str">
        <f aca="false">IF(B1989="","",ROW()-4)</f>
        <v/>
      </c>
      <c r="B1989" s="22"/>
      <c r="C1989" s="21" t="str">
        <f aca="false">IF(B1989="","",CHOOSE(WEEKDAY(B1989,2),"LUNES","MARTES","MIÉRCOLES","JUEVES","VIERNES","SÁBADO","DOMINGO"))</f>
        <v/>
      </c>
      <c r="M1989" s="23"/>
      <c r="Q1989" s="21" t="str">
        <f aca="false">IF(OR(K1989="",N1989=""),"",K1989-N1989)</f>
        <v/>
      </c>
      <c r="R1989" s="21" t="str">
        <f aca="false">IF(OR(J1989="",K1989=""),"",J1989*K1989)</f>
        <v/>
      </c>
      <c r="S1989" s="21" t="str">
        <f aca="false">IF(AND(ISNUMBER(J1989),ISNUMBER(K1989),F1989&lt;&gt;"Calentamiento",F1989&lt;&gt;"Bilbo"),IF(AND(K1989&gt;0,K1989&lt;=12),ROUND(J1989*(1+(K1989+IF(ISNUMBER(L1989),L1989,0))/30),1),""),"")</f>
        <v/>
      </c>
      <c r="T1989" s="21" t="str">
        <f aca="false">IF(AND(F1989="Bilbo",ISNUMBER(J1989),ISNUMBER(K1989)),ROUND(J1989*(1+K1989/30),1),"")</f>
        <v/>
      </c>
      <c r="W1989" s="22"/>
      <c r="X1989" s="21" t="str">
        <f aca="false">IF(AND(F1989="Bilbo",E1989&lt;&gt;"",G1989&lt;&gt;"",H1989&lt;&gt;""),E1989&amp;"|"&amp;G1989&amp;"|"&amp;H1989,"")</f>
        <v/>
      </c>
      <c r="Y1989" s="21" t="str">
        <f aca="false">IF(B1989="","",IF(B1989&lt;&gt;B1988,1,0))</f>
        <v/>
      </c>
    </row>
    <row r="1990" customFormat="false" ht="15" hidden="false" customHeight="true" outlineLevel="0" collapsed="false">
      <c r="A1990" s="21" t="str">
        <f aca="false">IF(B1990="","",ROW()-4)</f>
        <v/>
      </c>
      <c r="B1990" s="22"/>
      <c r="C1990" s="21" t="str">
        <f aca="false">IF(B1990="","",CHOOSE(WEEKDAY(B1990,2),"LUNES","MARTES","MIÉRCOLES","JUEVES","VIERNES","SÁBADO","DOMINGO"))</f>
        <v/>
      </c>
      <c r="M1990" s="23"/>
      <c r="Q1990" s="21" t="str">
        <f aca="false">IF(OR(K1990="",N1990=""),"",K1990-N1990)</f>
        <v/>
      </c>
      <c r="R1990" s="21" t="str">
        <f aca="false">IF(OR(J1990="",K1990=""),"",J1990*K1990)</f>
        <v/>
      </c>
      <c r="S1990" s="21" t="str">
        <f aca="false">IF(AND(ISNUMBER(J1990),ISNUMBER(K1990),F1990&lt;&gt;"Calentamiento",F1990&lt;&gt;"Bilbo"),IF(AND(K1990&gt;0,K1990&lt;=12),ROUND(J1990*(1+(K1990+IF(ISNUMBER(L1990),L1990,0))/30),1),""),"")</f>
        <v/>
      </c>
      <c r="T1990" s="21" t="str">
        <f aca="false">IF(AND(F1990="Bilbo",ISNUMBER(J1990),ISNUMBER(K1990)),ROUND(J1990*(1+K1990/30),1),"")</f>
        <v/>
      </c>
      <c r="W1990" s="22"/>
      <c r="X1990" s="21" t="str">
        <f aca="false">IF(AND(F1990="Bilbo",E1990&lt;&gt;"",G1990&lt;&gt;"",H1990&lt;&gt;""),E1990&amp;"|"&amp;G1990&amp;"|"&amp;H1990,"")</f>
        <v/>
      </c>
      <c r="Y1990" s="21" t="str">
        <f aca="false">IF(B1990="","",IF(B1990&lt;&gt;B1989,1,0))</f>
        <v/>
      </c>
    </row>
    <row r="1991" customFormat="false" ht="15" hidden="false" customHeight="true" outlineLevel="0" collapsed="false">
      <c r="A1991" s="21" t="str">
        <f aca="false">IF(B1991="","",ROW()-4)</f>
        <v/>
      </c>
      <c r="B1991" s="22"/>
      <c r="C1991" s="21" t="str">
        <f aca="false">IF(B1991="","",CHOOSE(WEEKDAY(B1991,2),"LUNES","MARTES","MIÉRCOLES","JUEVES","VIERNES","SÁBADO","DOMINGO"))</f>
        <v/>
      </c>
      <c r="M1991" s="23"/>
      <c r="Q1991" s="21" t="str">
        <f aca="false">IF(OR(K1991="",N1991=""),"",K1991-N1991)</f>
        <v/>
      </c>
      <c r="R1991" s="21" t="str">
        <f aca="false">IF(OR(J1991="",K1991=""),"",J1991*K1991)</f>
        <v/>
      </c>
      <c r="S1991" s="21" t="str">
        <f aca="false">IF(AND(ISNUMBER(J1991),ISNUMBER(K1991),F1991&lt;&gt;"Calentamiento",F1991&lt;&gt;"Bilbo"),IF(AND(K1991&gt;0,K1991&lt;=12),ROUND(J1991*(1+(K1991+IF(ISNUMBER(L1991),L1991,0))/30),1),""),"")</f>
        <v/>
      </c>
      <c r="T1991" s="21" t="str">
        <f aca="false">IF(AND(F1991="Bilbo",ISNUMBER(J1991),ISNUMBER(K1991)),ROUND(J1991*(1+K1991/30),1),"")</f>
        <v/>
      </c>
      <c r="W1991" s="22"/>
      <c r="X1991" s="21" t="str">
        <f aca="false">IF(AND(F1991="Bilbo",E1991&lt;&gt;"",G1991&lt;&gt;"",H1991&lt;&gt;""),E1991&amp;"|"&amp;G1991&amp;"|"&amp;H1991,"")</f>
        <v/>
      </c>
      <c r="Y1991" s="21" t="str">
        <f aca="false">IF(B1991="","",IF(B1991&lt;&gt;B1990,1,0))</f>
        <v/>
      </c>
    </row>
    <row r="1992" customFormat="false" ht="15" hidden="false" customHeight="true" outlineLevel="0" collapsed="false">
      <c r="A1992" s="21" t="str">
        <f aca="false">IF(B1992="","",ROW()-4)</f>
        <v/>
      </c>
      <c r="B1992" s="22"/>
      <c r="C1992" s="21" t="str">
        <f aca="false">IF(B1992="","",CHOOSE(WEEKDAY(B1992,2),"LUNES","MARTES","MIÉRCOLES","JUEVES","VIERNES","SÁBADO","DOMINGO"))</f>
        <v/>
      </c>
      <c r="M1992" s="23"/>
      <c r="Q1992" s="21" t="str">
        <f aca="false">IF(OR(K1992="",N1992=""),"",K1992-N1992)</f>
        <v/>
      </c>
      <c r="R1992" s="21" t="str">
        <f aca="false">IF(OR(J1992="",K1992=""),"",J1992*K1992)</f>
        <v/>
      </c>
      <c r="S1992" s="21" t="str">
        <f aca="false">IF(AND(ISNUMBER(J1992),ISNUMBER(K1992),F1992&lt;&gt;"Calentamiento",F1992&lt;&gt;"Bilbo"),IF(AND(K1992&gt;0,K1992&lt;=12),ROUND(J1992*(1+(K1992+IF(ISNUMBER(L1992),L1992,0))/30),1),""),"")</f>
        <v/>
      </c>
      <c r="T1992" s="21" t="str">
        <f aca="false">IF(AND(F1992="Bilbo",ISNUMBER(J1992),ISNUMBER(K1992)),ROUND(J1992*(1+K1992/30),1),"")</f>
        <v/>
      </c>
      <c r="W1992" s="22"/>
      <c r="X1992" s="21" t="str">
        <f aca="false">IF(AND(F1992="Bilbo",E1992&lt;&gt;"",G1992&lt;&gt;"",H1992&lt;&gt;""),E1992&amp;"|"&amp;G1992&amp;"|"&amp;H1992,"")</f>
        <v/>
      </c>
      <c r="Y1992" s="21" t="str">
        <f aca="false">IF(B1992="","",IF(B1992&lt;&gt;B1991,1,0))</f>
        <v/>
      </c>
    </row>
    <row r="1993" customFormat="false" ht="15" hidden="false" customHeight="true" outlineLevel="0" collapsed="false">
      <c r="A1993" s="21" t="str">
        <f aca="false">IF(B1993="","",ROW()-4)</f>
        <v/>
      </c>
      <c r="B1993" s="22"/>
      <c r="C1993" s="21" t="str">
        <f aca="false">IF(B1993="","",CHOOSE(WEEKDAY(B1993,2),"LUNES","MARTES","MIÉRCOLES","JUEVES","VIERNES","SÁBADO","DOMINGO"))</f>
        <v/>
      </c>
      <c r="M1993" s="23"/>
      <c r="Q1993" s="21" t="str">
        <f aca="false">IF(OR(K1993="",N1993=""),"",K1993-N1993)</f>
        <v/>
      </c>
      <c r="R1993" s="21" t="str">
        <f aca="false">IF(OR(J1993="",K1993=""),"",J1993*K1993)</f>
        <v/>
      </c>
      <c r="S1993" s="21" t="str">
        <f aca="false">IF(AND(ISNUMBER(J1993),ISNUMBER(K1993),F1993&lt;&gt;"Calentamiento",F1993&lt;&gt;"Bilbo"),IF(AND(K1993&gt;0,K1993&lt;=12),ROUND(J1993*(1+(K1993+IF(ISNUMBER(L1993),L1993,0))/30),1),""),"")</f>
        <v/>
      </c>
      <c r="T1993" s="21" t="str">
        <f aca="false">IF(AND(F1993="Bilbo",ISNUMBER(J1993),ISNUMBER(K1993)),ROUND(J1993*(1+K1993/30),1),"")</f>
        <v/>
      </c>
      <c r="W1993" s="22"/>
      <c r="X1993" s="21" t="str">
        <f aca="false">IF(AND(F1993="Bilbo",E1993&lt;&gt;"",G1993&lt;&gt;"",H1993&lt;&gt;""),E1993&amp;"|"&amp;G1993&amp;"|"&amp;H1993,"")</f>
        <v/>
      </c>
      <c r="Y1993" s="21" t="str">
        <f aca="false">IF(B1993="","",IF(B1993&lt;&gt;B1992,1,0))</f>
        <v/>
      </c>
    </row>
    <row r="1994" customFormat="false" ht="15" hidden="false" customHeight="true" outlineLevel="0" collapsed="false">
      <c r="A1994" s="21" t="str">
        <f aca="false">IF(B1994="","",ROW()-4)</f>
        <v/>
      </c>
      <c r="B1994" s="22"/>
      <c r="C1994" s="21" t="str">
        <f aca="false">IF(B1994="","",CHOOSE(WEEKDAY(B1994,2),"LUNES","MARTES","MIÉRCOLES","JUEVES","VIERNES","SÁBADO","DOMINGO"))</f>
        <v/>
      </c>
      <c r="M1994" s="23"/>
      <c r="Q1994" s="21" t="str">
        <f aca="false">IF(OR(K1994="",N1994=""),"",K1994-N1994)</f>
        <v/>
      </c>
      <c r="R1994" s="21" t="str">
        <f aca="false">IF(OR(J1994="",K1994=""),"",J1994*K1994)</f>
        <v/>
      </c>
      <c r="S1994" s="21" t="str">
        <f aca="false">IF(AND(ISNUMBER(J1994),ISNUMBER(K1994),F1994&lt;&gt;"Calentamiento",F1994&lt;&gt;"Bilbo"),IF(AND(K1994&gt;0,K1994&lt;=12),ROUND(J1994*(1+(K1994+IF(ISNUMBER(L1994),L1994,0))/30),1),""),"")</f>
        <v/>
      </c>
      <c r="T1994" s="21" t="str">
        <f aca="false">IF(AND(F1994="Bilbo",ISNUMBER(J1994),ISNUMBER(K1994)),ROUND(J1994*(1+K1994/30),1),"")</f>
        <v/>
      </c>
      <c r="W1994" s="22"/>
      <c r="X1994" s="21" t="str">
        <f aca="false">IF(AND(F1994="Bilbo",E1994&lt;&gt;"",G1994&lt;&gt;"",H1994&lt;&gt;""),E1994&amp;"|"&amp;G1994&amp;"|"&amp;H1994,"")</f>
        <v/>
      </c>
      <c r="Y1994" s="21" t="str">
        <f aca="false">IF(B1994="","",IF(B1994&lt;&gt;B1993,1,0))</f>
        <v/>
      </c>
    </row>
    <row r="1995" customFormat="false" ht="15" hidden="false" customHeight="true" outlineLevel="0" collapsed="false">
      <c r="A1995" s="21" t="str">
        <f aca="false">IF(B1995="","",ROW()-4)</f>
        <v/>
      </c>
      <c r="B1995" s="22"/>
      <c r="C1995" s="21" t="str">
        <f aca="false">IF(B1995="","",CHOOSE(WEEKDAY(B1995,2),"LUNES","MARTES","MIÉRCOLES","JUEVES","VIERNES","SÁBADO","DOMINGO"))</f>
        <v/>
      </c>
      <c r="M1995" s="23"/>
      <c r="Q1995" s="21" t="str">
        <f aca="false">IF(OR(K1995="",N1995=""),"",K1995-N1995)</f>
        <v/>
      </c>
      <c r="R1995" s="21" t="str">
        <f aca="false">IF(OR(J1995="",K1995=""),"",J1995*K1995)</f>
        <v/>
      </c>
      <c r="S1995" s="21" t="str">
        <f aca="false">IF(AND(ISNUMBER(J1995),ISNUMBER(K1995),F1995&lt;&gt;"Calentamiento",F1995&lt;&gt;"Bilbo"),IF(AND(K1995&gt;0,K1995&lt;=12),ROUND(J1995*(1+(K1995+IF(ISNUMBER(L1995),L1995,0))/30),1),""),"")</f>
        <v/>
      </c>
      <c r="T1995" s="21" t="str">
        <f aca="false">IF(AND(F1995="Bilbo",ISNUMBER(J1995),ISNUMBER(K1995)),ROUND(J1995*(1+K1995/30),1),"")</f>
        <v/>
      </c>
      <c r="W1995" s="22"/>
      <c r="X1995" s="21" t="str">
        <f aca="false">IF(AND(F1995="Bilbo",E1995&lt;&gt;"",G1995&lt;&gt;"",H1995&lt;&gt;""),E1995&amp;"|"&amp;G1995&amp;"|"&amp;H1995,"")</f>
        <v/>
      </c>
      <c r="Y1995" s="21" t="str">
        <f aca="false">IF(B1995="","",IF(B1995&lt;&gt;B1994,1,0))</f>
        <v/>
      </c>
    </row>
    <row r="1996" customFormat="false" ht="15" hidden="false" customHeight="true" outlineLevel="0" collapsed="false">
      <c r="A1996" s="21" t="str">
        <f aca="false">IF(B1996="","",ROW()-4)</f>
        <v/>
      </c>
      <c r="B1996" s="22"/>
      <c r="C1996" s="21" t="str">
        <f aca="false">IF(B1996="","",CHOOSE(WEEKDAY(B1996,2),"LUNES","MARTES","MIÉRCOLES","JUEVES","VIERNES","SÁBADO","DOMINGO"))</f>
        <v/>
      </c>
      <c r="M1996" s="23"/>
      <c r="Q1996" s="21" t="str">
        <f aca="false">IF(OR(K1996="",N1996=""),"",K1996-N1996)</f>
        <v/>
      </c>
      <c r="R1996" s="21" t="str">
        <f aca="false">IF(OR(J1996="",K1996=""),"",J1996*K1996)</f>
        <v/>
      </c>
      <c r="S1996" s="21" t="str">
        <f aca="false">IF(AND(ISNUMBER(J1996),ISNUMBER(K1996),F1996&lt;&gt;"Calentamiento",F1996&lt;&gt;"Bilbo"),IF(AND(K1996&gt;0,K1996&lt;=12),ROUND(J1996*(1+(K1996+IF(ISNUMBER(L1996),L1996,0))/30),1),""),"")</f>
        <v/>
      </c>
      <c r="T1996" s="21" t="str">
        <f aca="false">IF(AND(F1996="Bilbo",ISNUMBER(J1996),ISNUMBER(K1996)),ROUND(J1996*(1+K1996/30),1),"")</f>
        <v/>
      </c>
      <c r="W1996" s="22"/>
      <c r="X1996" s="21" t="str">
        <f aca="false">IF(AND(F1996="Bilbo",E1996&lt;&gt;"",G1996&lt;&gt;"",H1996&lt;&gt;""),E1996&amp;"|"&amp;G1996&amp;"|"&amp;H1996,"")</f>
        <v/>
      </c>
      <c r="Y1996" s="21" t="str">
        <f aca="false">IF(B1996="","",IF(B1996&lt;&gt;B1995,1,0))</f>
        <v/>
      </c>
    </row>
    <row r="1997" customFormat="false" ht="15" hidden="false" customHeight="true" outlineLevel="0" collapsed="false">
      <c r="A1997" s="21" t="str">
        <f aca="false">IF(B1997="","",ROW()-4)</f>
        <v/>
      </c>
      <c r="B1997" s="22"/>
      <c r="C1997" s="21" t="str">
        <f aca="false">IF(B1997="","",CHOOSE(WEEKDAY(B1997,2),"LUNES","MARTES","MIÉRCOLES","JUEVES","VIERNES","SÁBADO","DOMINGO"))</f>
        <v/>
      </c>
      <c r="M1997" s="23"/>
      <c r="Q1997" s="21" t="str">
        <f aca="false">IF(OR(K1997="",N1997=""),"",K1997-N1997)</f>
        <v/>
      </c>
      <c r="R1997" s="21" t="str">
        <f aca="false">IF(OR(J1997="",K1997=""),"",J1997*K1997)</f>
        <v/>
      </c>
      <c r="S1997" s="21" t="str">
        <f aca="false">IF(AND(ISNUMBER(J1997),ISNUMBER(K1997),F1997&lt;&gt;"Calentamiento",F1997&lt;&gt;"Bilbo"),IF(AND(K1997&gt;0,K1997&lt;=12),ROUND(J1997*(1+(K1997+IF(ISNUMBER(L1997),L1997,0))/30),1),""),"")</f>
        <v/>
      </c>
      <c r="T1997" s="21" t="str">
        <f aca="false">IF(AND(F1997="Bilbo",ISNUMBER(J1997),ISNUMBER(K1997)),ROUND(J1997*(1+K1997/30),1),"")</f>
        <v/>
      </c>
      <c r="W1997" s="22"/>
      <c r="X1997" s="21" t="str">
        <f aca="false">IF(AND(F1997="Bilbo",E1997&lt;&gt;"",G1997&lt;&gt;"",H1997&lt;&gt;""),E1997&amp;"|"&amp;G1997&amp;"|"&amp;H1997,"")</f>
        <v/>
      </c>
      <c r="Y1997" s="21" t="str">
        <f aca="false">IF(B1997="","",IF(B1997&lt;&gt;B1996,1,0))</f>
        <v/>
      </c>
    </row>
    <row r="1998" customFormat="false" ht="15" hidden="false" customHeight="true" outlineLevel="0" collapsed="false">
      <c r="A1998" s="21" t="str">
        <f aca="false">IF(B1998="","",ROW()-4)</f>
        <v/>
      </c>
      <c r="B1998" s="22"/>
      <c r="C1998" s="21" t="str">
        <f aca="false">IF(B1998="","",CHOOSE(WEEKDAY(B1998,2),"LUNES","MARTES","MIÉRCOLES","JUEVES","VIERNES","SÁBADO","DOMINGO"))</f>
        <v/>
      </c>
      <c r="M1998" s="23"/>
      <c r="Q1998" s="21" t="str">
        <f aca="false">IF(OR(K1998="",N1998=""),"",K1998-N1998)</f>
        <v/>
      </c>
      <c r="R1998" s="21" t="str">
        <f aca="false">IF(OR(J1998="",K1998=""),"",J1998*K1998)</f>
        <v/>
      </c>
      <c r="S1998" s="21" t="str">
        <f aca="false">IF(AND(ISNUMBER(J1998),ISNUMBER(K1998),F1998&lt;&gt;"Calentamiento",F1998&lt;&gt;"Bilbo"),IF(AND(K1998&gt;0,K1998&lt;=12),ROUND(J1998*(1+(K1998+IF(ISNUMBER(L1998),L1998,0))/30),1),""),"")</f>
        <v/>
      </c>
      <c r="T1998" s="21" t="str">
        <f aca="false">IF(AND(F1998="Bilbo",ISNUMBER(J1998),ISNUMBER(K1998)),ROUND(J1998*(1+K1998/30),1),"")</f>
        <v/>
      </c>
      <c r="W1998" s="22"/>
      <c r="X1998" s="21" t="str">
        <f aca="false">IF(AND(F1998="Bilbo",E1998&lt;&gt;"",G1998&lt;&gt;"",H1998&lt;&gt;""),E1998&amp;"|"&amp;G1998&amp;"|"&amp;H1998,"")</f>
        <v/>
      </c>
      <c r="Y1998" s="21" t="str">
        <f aca="false">IF(B1998="","",IF(B1998&lt;&gt;B1997,1,0))</f>
        <v/>
      </c>
    </row>
    <row r="1999" customFormat="false" ht="15" hidden="false" customHeight="true" outlineLevel="0" collapsed="false">
      <c r="A1999" s="21" t="str">
        <f aca="false">IF(B1999="","",ROW()-4)</f>
        <v/>
      </c>
      <c r="B1999" s="22"/>
      <c r="C1999" s="21" t="str">
        <f aca="false">IF(B1999="","",CHOOSE(WEEKDAY(B1999,2),"LUNES","MARTES","MIÉRCOLES","JUEVES","VIERNES","SÁBADO","DOMINGO"))</f>
        <v/>
      </c>
      <c r="M1999" s="23"/>
      <c r="Q1999" s="21" t="str">
        <f aca="false">IF(OR(K1999="",N1999=""),"",K1999-N1999)</f>
        <v/>
      </c>
      <c r="R1999" s="21" t="str">
        <f aca="false">IF(OR(J1999="",K1999=""),"",J1999*K1999)</f>
        <v/>
      </c>
      <c r="S1999" s="21" t="str">
        <f aca="false">IF(AND(ISNUMBER(J1999),ISNUMBER(K1999),F1999&lt;&gt;"Calentamiento",F1999&lt;&gt;"Bilbo"),IF(AND(K1999&gt;0,K1999&lt;=12),ROUND(J1999*(1+(K1999+IF(ISNUMBER(L1999),L1999,0))/30),1),""),"")</f>
        <v/>
      </c>
      <c r="T1999" s="21" t="str">
        <f aca="false">IF(AND(F1999="Bilbo",ISNUMBER(J1999),ISNUMBER(K1999)),ROUND(J1999*(1+K1999/30),1),"")</f>
        <v/>
      </c>
      <c r="W1999" s="22"/>
      <c r="X1999" s="21" t="str">
        <f aca="false">IF(AND(F1999="Bilbo",E1999&lt;&gt;"",G1999&lt;&gt;"",H1999&lt;&gt;""),E1999&amp;"|"&amp;G1999&amp;"|"&amp;H1999,"")</f>
        <v/>
      </c>
      <c r="Y1999" s="21" t="str">
        <f aca="false">IF(B1999="","",IF(B1999&lt;&gt;B1998,1,0))</f>
        <v/>
      </c>
    </row>
    <row r="2000" customFormat="false" ht="15" hidden="false" customHeight="true" outlineLevel="0" collapsed="false">
      <c r="A2000" s="21" t="str">
        <f aca="false">IF(B2000="","",ROW()-4)</f>
        <v/>
      </c>
      <c r="B2000" s="22"/>
      <c r="C2000" s="21" t="str">
        <f aca="false">IF(B2000="","",CHOOSE(WEEKDAY(B2000,2),"LUNES","MARTES","MIÉRCOLES","JUEVES","VIERNES","SÁBADO","DOMINGO"))</f>
        <v/>
      </c>
      <c r="M2000" s="23"/>
      <c r="Q2000" s="21" t="str">
        <f aca="false">IF(OR(K2000="",N2000=""),"",K2000-N2000)</f>
        <v/>
      </c>
      <c r="R2000" s="21" t="str">
        <f aca="false">IF(OR(J2000="",K2000=""),"",J2000*K2000)</f>
        <v/>
      </c>
      <c r="S2000" s="21" t="str">
        <f aca="false">IF(AND(ISNUMBER(J2000),ISNUMBER(K2000),F2000&lt;&gt;"Calentamiento",F2000&lt;&gt;"Bilbo"),IF(AND(K2000&gt;0,K2000&lt;=12),ROUND(J2000*(1+(K2000+IF(ISNUMBER(L2000),L2000,0))/30),1),""),"")</f>
        <v/>
      </c>
      <c r="T2000" s="21" t="str">
        <f aca="false">IF(AND(F2000="Bilbo",ISNUMBER(J2000),ISNUMBER(K2000)),ROUND(J2000*(1+K2000/30),1),"")</f>
        <v/>
      </c>
      <c r="W2000" s="22"/>
      <c r="X2000" s="21" t="str">
        <f aca="false">IF(AND(F2000="Bilbo",E2000&lt;&gt;"",G2000&lt;&gt;"",H2000&lt;&gt;""),E2000&amp;"|"&amp;G2000&amp;"|"&amp;H2000,"")</f>
        <v/>
      </c>
      <c r="Y2000" s="21" t="str">
        <f aca="false">IF(B2000="","",IF(B2000&lt;&gt;B1999,1,0))</f>
        <v/>
      </c>
    </row>
    <row r="2001" customFormat="false" ht="15" hidden="false" customHeight="true" outlineLevel="0" collapsed="false">
      <c r="A2001" s="21" t="str">
        <f aca="false">IF(B2001="","",ROW()-4)</f>
        <v/>
      </c>
      <c r="B2001" s="22"/>
      <c r="C2001" s="21" t="str">
        <f aca="false">IF(B2001="","",CHOOSE(WEEKDAY(B2001,2),"LUNES","MARTES","MIÉRCOLES","JUEVES","VIERNES","SÁBADO","DOMINGO"))</f>
        <v/>
      </c>
      <c r="M2001" s="23"/>
      <c r="Q2001" s="21" t="str">
        <f aca="false">IF(OR(K2001="",N2001=""),"",K2001-N2001)</f>
        <v/>
      </c>
      <c r="R2001" s="21" t="str">
        <f aca="false">IF(OR(J2001="",K2001=""),"",J2001*K2001)</f>
        <v/>
      </c>
      <c r="S2001" s="21" t="str">
        <f aca="false">IF(AND(ISNUMBER(J2001),ISNUMBER(K2001),F2001&lt;&gt;"Calentamiento",F2001&lt;&gt;"Bilbo"),IF(AND(K2001&gt;0,K2001&lt;=12),ROUND(J2001*(1+(K2001+IF(ISNUMBER(L2001),L2001,0))/30),1),""),"")</f>
        <v/>
      </c>
      <c r="T2001" s="21" t="str">
        <f aca="false">IF(AND(F2001="Bilbo",ISNUMBER(J2001),ISNUMBER(K2001)),ROUND(J2001*(1+K2001/30),1),"")</f>
        <v/>
      </c>
      <c r="W2001" s="22"/>
      <c r="X2001" s="21" t="str">
        <f aca="false">IF(AND(F2001="Bilbo",E2001&lt;&gt;"",G2001&lt;&gt;"",H2001&lt;&gt;""),E2001&amp;"|"&amp;G2001&amp;"|"&amp;H2001,"")</f>
        <v/>
      </c>
      <c r="Y2001" s="21" t="str">
        <f aca="false">IF(B2001="","",IF(B2001&lt;&gt;B2000,1,0))</f>
        <v/>
      </c>
    </row>
    <row r="2002" customFormat="false" ht="15" hidden="false" customHeight="true" outlineLevel="0" collapsed="false">
      <c r="A2002" s="21" t="str">
        <f aca="false">IF(B2002="","",ROW()-4)</f>
        <v/>
      </c>
      <c r="B2002" s="22"/>
      <c r="C2002" s="21" t="str">
        <f aca="false">IF(B2002="","",CHOOSE(WEEKDAY(B2002,2),"LUNES","MARTES","MIÉRCOLES","JUEVES","VIERNES","SÁBADO","DOMINGO"))</f>
        <v/>
      </c>
      <c r="M2002" s="23"/>
      <c r="Q2002" s="21" t="str">
        <f aca="false">IF(OR(K2002="",N2002=""),"",K2002-N2002)</f>
        <v/>
      </c>
      <c r="R2002" s="21" t="str">
        <f aca="false">IF(OR(J2002="",K2002=""),"",J2002*K2002)</f>
        <v/>
      </c>
      <c r="S2002" s="21" t="str">
        <f aca="false">IF(AND(ISNUMBER(J2002),ISNUMBER(K2002),F2002&lt;&gt;"Calentamiento",F2002&lt;&gt;"Bilbo"),IF(AND(K2002&gt;0,K2002&lt;=12),ROUND(J2002*(1+(K2002+IF(ISNUMBER(L2002),L2002,0))/30),1),""),"")</f>
        <v/>
      </c>
      <c r="T2002" s="21" t="str">
        <f aca="false">IF(AND(F2002="Bilbo",ISNUMBER(J2002),ISNUMBER(K2002)),ROUND(J2002*(1+K2002/30),1),"")</f>
        <v/>
      </c>
      <c r="W2002" s="22"/>
      <c r="X2002" s="21" t="str">
        <f aca="false">IF(AND(F2002="Bilbo",E2002&lt;&gt;"",G2002&lt;&gt;"",H2002&lt;&gt;""),E2002&amp;"|"&amp;G2002&amp;"|"&amp;H2002,"")</f>
        <v/>
      </c>
      <c r="Y2002" s="21" t="str">
        <f aca="false">IF(B2002="","",IF(B2002&lt;&gt;B2001,1,0))</f>
        <v/>
      </c>
    </row>
    <row r="2003" customFormat="false" ht="15" hidden="false" customHeight="true" outlineLevel="0" collapsed="false">
      <c r="A2003" s="21" t="str">
        <f aca="false">IF(B2003="","",ROW()-4)</f>
        <v/>
      </c>
      <c r="B2003" s="22"/>
      <c r="C2003" s="21" t="str">
        <f aca="false">IF(B2003="","",CHOOSE(WEEKDAY(B2003,2),"LUNES","MARTES","MIÉRCOLES","JUEVES","VIERNES","SÁBADO","DOMINGO"))</f>
        <v/>
      </c>
      <c r="M2003" s="23"/>
      <c r="Q2003" s="21" t="str">
        <f aca="false">IF(OR(K2003="",N2003=""),"",K2003-N2003)</f>
        <v/>
      </c>
      <c r="R2003" s="21" t="str">
        <f aca="false">IF(OR(J2003="",K2003=""),"",J2003*K2003)</f>
        <v/>
      </c>
      <c r="S2003" s="21" t="str">
        <f aca="false">IF(AND(ISNUMBER(J2003),ISNUMBER(K2003),F2003&lt;&gt;"Calentamiento",F2003&lt;&gt;"Bilbo"),IF(AND(K2003&gt;0,K2003&lt;=12),ROUND(J2003*(1+(K2003+IF(ISNUMBER(L2003),L2003,0))/30),1),""),"")</f>
        <v/>
      </c>
      <c r="T2003" s="21" t="str">
        <f aca="false">IF(AND(F2003="Bilbo",ISNUMBER(J2003),ISNUMBER(K2003)),ROUND(J2003*(1+K2003/30),1),"")</f>
        <v/>
      </c>
      <c r="W2003" s="22"/>
      <c r="X2003" s="21" t="str">
        <f aca="false">IF(AND(F2003="Bilbo",E2003&lt;&gt;"",G2003&lt;&gt;"",H2003&lt;&gt;""),E2003&amp;"|"&amp;G2003&amp;"|"&amp;H2003,"")</f>
        <v/>
      </c>
      <c r="Y2003" s="21" t="str">
        <f aca="false">IF(B2003="","",IF(B2003&lt;&gt;B2002,1,0))</f>
        <v/>
      </c>
    </row>
    <row r="2004" customFormat="false" ht="15" hidden="false" customHeight="true" outlineLevel="0" collapsed="false">
      <c r="A2004" s="21" t="str">
        <f aca="false">IF(B2004="","",ROW()-4)</f>
        <v/>
      </c>
      <c r="B2004" s="22"/>
      <c r="C2004" s="21" t="str">
        <f aca="false">IF(B2004="","",CHOOSE(WEEKDAY(B2004,2),"LUNES","MARTES","MIÉRCOLES","JUEVES","VIERNES","SÁBADO","DOMINGO"))</f>
        <v/>
      </c>
      <c r="M2004" s="23"/>
      <c r="Q2004" s="21" t="str">
        <f aca="false">IF(OR(K2004="",N2004=""),"",K2004-N2004)</f>
        <v/>
      </c>
      <c r="R2004" s="21" t="str">
        <f aca="false">IF(OR(J2004="",K2004=""),"",J2004*K2004)</f>
        <v/>
      </c>
      <c r="S2004" s="21" t="str">
        <f aca="false">IF(AND(ISNUMBER(J2004),ISNUMBER(K2004),F2004&lt;&gt;"Calentamiento",F2004&lt;&gt;"Bilbo"),IF(AND(K2004&gt;0,K2004&lt;=12),ROUND(J2004*(1+(K2004+IF(ISNUMBER(L2004),L2004,0))/30),1),""),"")</f>
        <v/>
      </c>
      <c r="T2004" s="21" t="str">
        <f aca="false">IF(AND(F2004="Bilbo",ISNUMBER(J2004),ISNUMBER(K2004)),ROUND(J2004*(1+K2004/30),1),"")</f>
        <v/>
      </c>
      <c r="W2004" s="22"/>
      <c r="X2004" s="21" t="str">
        <f aca="false">IF(AND(F2004="Bilbo",E2004&lt;&gt;"",G2004&lt;&gt;"",H2004&lt;&gt;""),E2004&amp;"|"&amp;G2004&amp;"|"&amp;H2004,"")</f>
        <v/>
      </c>
      <c r="Y2004" s="21" t="str">
        <f aca="false">IF(B2004="","",IF(B2004&lt;&gt;B2003,1,0))</f>
        <v/>
      </c>
    </row>
  </sheetData>
  <conditionalFormatting sqref="A5:Y2004">
    <cfRule type="expression" priority="2" aboveAverage="0" equalAverage="0" bottom="0" percent="0" rank="0" text="" dxfId="4">
      <formula>$F5="Bilbo"</formula>
    </cfRule>
    <cfRule type="expression" priority="3" aboveAverage="0" equalAverage="0" bottom="0" percent="0" rank="0" text="" dxfId="5">
      <formula>$F5="Potencia"</formula>
    </cfRule>
  </conditionalFormatting>
  <dataValidations count="11">
    <dataValidation allowBlank="true" error="Introduce una fecha válida" errorStyle="stop" operator="greaterThan" showDropDown="false" showErrorMessage="false" showInputMessage="false" sqref="B5:B2004" type="date">
      <formula1>DATE(2020,1,1)</formula1>
      <formula2>0</formula2>
    </dataValidation>
    <dataValidation allowBlank="true" errorStyle="stop" operator="between" showDropDown="false" showErrorMessage="false" showInputMessage="false" sqref="D5:D2004" type="list">
      <formula1>"LUNES,MARTES,MIÉRCOLES,JUEVES,VIERNES"</formula1>
      <formula2>0</formula2>
    </dataValidation>
    <dataValidation allowBlank="true" error="Ejercicio no definido en CONFIGURACIÓN" errorStyle="stop" operator="between" showDropDown="false" showErrorMessage="false" showInputMessage="false" sqref="E5:E2004" type="list">
      <formula1>CONFIGURACIÓN!$B$42:$B$56</formula1>
      <formula2>0</formula2>
    </dataValidation>
    <dataValidation allowBlank="true" errorStyle="stop" operator="between" showDropDown="false" showErrorMessage="false" showInputMessage="false" sqref="F5:F2004" type="list">
      <formula1>"Bilbo,Post-Bilbo,Trabajo,Potencia,Calentamiento,Movilidad"</formula1>
      <formula2>0</formula2>
    </dataValidation>
    <dataValidation allowBlank="true" errorStyle="stop" operator="between" showDropDown="false" showErrorMessage="false" showInputMessage="false" sqref="G5:H2004" type="whole">
      <formula1>1</formula1>
      <formula2>999</formula2>
    </dataValidation>
    <dataValidation allowBlank="true" errorStyle="stop" operator="between" showDropDown="false" showErrorMessage="false" showInputMessage="false" sqref="I5:I2004" type="whole">
      <formula1>1</formula1>
      <formula2>20</formula2>
    </dataValidation>
    <dataValidation allowBlank="true" errorStyle="stop" operator="between" showDropDown="false" showErrorMessage="false" showInputMessage="false" sqref="J5:J2004" type="decimal">
      <formula1>0</formula1>
      <formula2>1000</formula2>
    </dataValidation>
    <dataValidation allowBlank="true" errorStyle="stop" operator="between" showDropDown="false" showErrorMessage="false" showInputMessage="false" sqref="K5:K2004" type="whole">
      <formula1>0</formula1>
      <formula2>200</formula2>
    </dataValidation>
    <dataValidation allowBlank="true" errorStyle="stop" operator="between" showDropDown="false" showErrorMessage="false" showInputMessage="false" sqref="L5:L2004" type="decimal">
      <formula1>0</formula1>
      <formula2>10</formula2>
    </dataValidation>
    <dataValidation allowBlank="true" errorStyle="stop" operator="between" showDropDown="false" showErrorMessage="false" showInputMessage="false" sqref="M5:M2004" type="decimal">
      <formula1>-0.5</formula1>
      <formula2>1</formula2>
    </dataValidation>
    <dataValidation allowBlank="true" errorStyle="stop" operator="between" showDropDown="false" showErrorMessage="false" showInputMessage="false" sqref="P5:P2004" type="list">
      <formula1>"A,B,C"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A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8"/>
    <col collapsed="false" customWidth="true" hidden="false" outlineLevel="0" max="4" min="4" style="1" width="9"/>
    <col collapsed="false" customWidth="true" hidden="false" outlineLevel="0" max="5" min="5" style="1" width="16"/>
    <col collapsed="false" customWidth="true" hidden="false" outlineLevel="0" max="6" min="6" style="1" width="9"/>
    <col collapsed="false" customWidth="true" hidden="false" outlineLevel="0" max="7" min="7" style="1" width="8"/>
    <col collapsed="false" customWidth="true" hidden="false" outlineLevel="0" max="8" min="8" style="1" width="11"/>
    <col collapsed="false" customWidth="true" hidden="false" outlineLevel="0" max="9" min="9" style="1" width="9"/>
    <col collapsed="false" customWidth="true" hidden="false" outlineLevel="0" max="10" min="10" style="1" width="8"/>
    <col collapsed="false" customWidth="true" hidden="false" outlineLevel="0" max="11" min="11" style="1" width="9"/>
    <col collapsed="false" customWidth="true" hidden="false" outlineLevel="0" max="13" min="12" style="1" width="8"/>
    <col collapsed="false" customWidth="true" hidden="false" outlineLevel="0" max="14" min="14" style="1" width="14"/>
    <col collapsed="false" customWidth="true" hidden="false" outlineLevel="0" max="16" min="15" style="1" width="11"/>
    <col collapsed="false" customWidth="true" hidden="false" outlineLevel="0" max="18" min="17" style="1" width="10"/>
    <col collapsed="false" customWidth="true" hidden="false" outlineLevel="0" max="19" min="19" style="1" width="26"/>
    <col collapsed="false" customWidth="true" hidden="false" outlineLevel="0" max="20" min="20" style="1" width="11"/>
    <col collapsed="false" customWidth="true" hidden="false" outlineLevel="0" max="21" min="21" style="1" width="9"/>
    <col collapsed="false" customWidth="true" hidden="false" outlineLevel="0" max="22" min="22" style="1" width="11"/>
    <col collapsed="false" customWidth="true" hidden="false" outlineLevel="0" max="23" min="23" style="1" width="9"/>
    <col collapsed="false" customWidth="true" hidden="false" outlineLevel="0" max="27" min="24" style="1" width="7"/>
    <col collapsed="false" customWidth="true" hidden="false" outlineLevel="0" max="28" min="28" style="1" width="18"/>
    <col collapsed="false" customWidth="true" hidden="false" outlineLevel="0" max="29" min="29" style="1" width="20"/>
    <col collapsed="false" customWidth="true" hidden="false" outlineLevel="0" max="31" min="30" style="1" width="9"/>
    <col collapsed="false" customWidth="true" hidden="false" outlineLevel="0" max="32" min="32" style="1" width="12"/>
    <col collapsed="false" customWidth="true" hidden="false" outlineLevel="0" max="33" min="33" style="1" width="40"/>
    <col collapsed="false" customWidth="true" hidden="false" outlineLevel="0" max="36" min="34" style="1" width="7"/>
  </cols>
  <sheetData>
    <row r="1" customFormat="false" ht="27.75" hidden="false" customHeight="true" outlineLevel="0" collapsed="false">
      <c r="A1" s="2" t="s">
        <v>402</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customFormat="false" ht="15" hidden="false" customHeight="true" outlineLevel="0" collapsed="false">
      <c r="A2" s="4" t="s">
        <v>403</v>
      </c>
    </row>
    <row r="3" customFormat="false" ht="15" hidden="false" customHeight="true" outlineLevel="0" collapsed="false">
      <c r="A3" s="4" t="s">
        <v>191</v>
      </c>
    </row>
    <row r="4" customFormat="false" ht="15" hidden="false" customHeight="true" outlineLevel="0" collapsed="false">
      <c r="A4" s="24" t="s">
        <v>404</v>
      </c>
      <c r="B4" s="24"/>
      <c r="C4" s="24"/>
      <c r="F4" s="24" t="s">
        <v>405</v>
      </c>
      <c r="G4" s="24"/>
      <c r="H4" s="24"/>
      <c r="I4" s="24"/>
      <c r="J4" s="24"/>
      <c r="K4" s="24"/>
      <c r="L4" s="24"/>
      <c r="M4" s="24"/>
      <c r="N4" s="24" t="s">
        <v>406</v>
      </c>
      <c r="O4" s="24"/>
      <c r="P4" s="24"/>
      <c r="Q4" s="24"/>
      <c r="R4" s="24"/>
      <c r="S4" s="24"/>
      <c r="T4" s="24"/>
      <c r="U4" s="24" t="s">
        <v>407</v>
      </c>
      <c r="V4" s="24"/>
      <c r="W4" s="24"/>
      <c r="X4" s="24"/>
      <c r="Y4" s="24"/>
      <c r="Z4" s="24"/>
      <c r="AA4" s="24"/>
      <c r="AB4" s="24"/>
      <c r="AC4" s="24"/>
      <c r="AD4" s="24"/>
      <c r="AE4" s="24"/>
      <c r="AF4" s="24"/>
      <c r="AG4" s="24" t="s">
        <v>408</v>
      </c>
      <c r="AH4" s="24"/>
      <c r="AI4" s="24"/>
      <c r="AJ4" s="24"/>
    </row>
    <row r="5" customFormat="false" ht="57.75" hidden="false" customHeight="true" outlineLevel="0" collapsed="false">
      <c r="A5" s="5" t="s">
        <v>261</v>
      </c>
      <c r="B5" s="5" t="s">
        <v>267</v>
      </c>
      <c r="C5" s="5" t="s">
        <v>409</v>
      </c>
      <c r="D5" s="5" t="s">
        <v>410</v>
      </c>
      <c r="E5" s="5" t="s">
        <v>411</v>
      </c>
      <c r="F5" s="5" t="s">
        <v>412</v>
      </c>
      <c r="G5" s="5" t="s">
        <v>413</v>
      </c>
      <c r="H5" s="5" t="s">
        <v>414</v>
      </c>
      <c r="I5" s="5" t="s">
        <v>415</v>
      </c>
      <c r="J5" s="5" t="s">
        <v>416</v>
      </c>
      <c r="K5" s="5" t="s">
        <v>417</v>
      </c>
      <c r="L5" s="5" t="s">
        <v>418</v>
      </c>
      <c r="M5" s="5" t="s">
        <v>419</v>
      </c>
      <c r="N5" s="5" t="s">
        <v>420</v>
      </c>
      <c r="O5" s="5" t="s">
        <v>421</v>
      </c>
      <c r="P5" s="5" t="s">
        <v>422</v>
      </c>
      <c r="Q5" s="5" t="s">
        <v>423</v>
      </c>
      <c r="R5" s="5" t="s">
        <v>424</v>
      </c>
      <c r="S5" s="5" t="s">
        <v>425</v>
      </c>
      <c r="T5" s="5" t="s">
        <v>426</v>
      </c>
      <c r="U5" s="5" t="s">
        <v>427</v>
      </c>
      <c r="V5" s="5" t="s">
        <v>428</v>
      </c>
      <c r="W5" s="5" t="s">
        <v>429</v>
      </c>
      <c r="X5" s="5" t="s">
        <v>430</v>
      </c>
      <c r="Y5" s="5" t="s">
        <v>431</v>
      </c>
      <c r="Z5" s="5" t="s">
        <v>432</v>
      </c>
      <c r="AA5" s="5" t="s">
        <v>433</v>
      </c>
      <c r="AB5" s="5" t="s">
        <v>434</v>
      </c>
      <c r="AC5" s="5" t="s">
        <v>435</v>
      </c>
      <c r="AD5" s="5" t="s">
        <v>436</v>
      </c>
      <c r="AE5" s="5" t="s">
        <v>437</v>
      </c>
      <c r="AF5" s="5" t="s">
        <v>438</v>
      </c>
      <c r="AG5" s="5" t="s">
        <v>439</v>
      </c>
      <c r="AH5" s="5" t="s">
        <v>440</v>
      </c>
      <c r="AI5" s="5" t="s">
        <v>441</v>
      </c>
      <c r="AJ5" s="5" t="s">
        <v>442</v>
      </c>
    </row>
    <row r="6" customFormat="false" ht="42" hidden="false" customHeight="true" outlineLevel="0" collapsed="false">
      <c r="A6" s="10" t="s">
        <v>274</v>
      </c>
      <c r="B6" s="25" t="n">
        <f aca="false">INDEX(CONFIGURACIÓN!$H$42:$H$56,MATCH(A6,CONFIGURACIÓN!$B$42:$B$56,0))</f>
        <v>2</v>
      </c>
      <c r="C6" s="14" t="n">
        <v>1</v>
      </c>
      <c r="D6" s="26" t="n">
        <f aca="false">COUNTIFS(HISTORIAL!$E$5:$E$2004,A6,HISTORIAL!$F$5:$F$2004,"Bilbo",HISTORIAL!$G$5:$G$2004,C6)</f>
        <v>0</v>
      </c>
      <c r="E6" s="18" t="str">
        <f aca="false">"Ciclo "&amp;C6&amp;" · sesión "&amp;(D6+1)</f>
        <v>Ciclo 1 · sesión 1</v>
      </c>
      <c r="F6" s="27" t="str">
        <f aca="false">IF(AI6=0,"",INDEX(HISTORIAL!$J$5:$J$2004,AI6))</f>
        <v/>
      </c>
      <c r="G6" s="26" t="str">
        <f aca="false">IF(AI6=0,"",INDEX(HISTORIAL!$K$5:$K$2004,AI6))</f>
        <v/>
      </c>
      <c r="H6" s="28" t="str">
        <f aca="false">IF(AH6=0,"",INDEX(HISTORIAL!$B$5:$B$2004,AH6))</f>
        <v/>
      </c>
      <c r="I6" s="27" t="str">
        <f aca="false">IF(AH6=0,"",INDEX(HISTORIAL!$J$5:$J$2004,AH6))</f>
        <v/>
      </c>
      <c r="J6" s="26" t="str">
        <f aca="false">IF(AH6=0,"",INDEX(HISTORIAL!$K$5:$K$2004,AH6))</f>
        <v/>
      </c>
      <c r="K6" s="26" t="str">
        <f aca="false">IF(AH6=0,"",IF(INDEX(HISTORIAL!$N$5:$N$2004,AH6)="","",INDEX(HISTORIAL!$N$5:$N$2004,AH6)))</f>
        <v/>
      </c>
      <c r="L6" s="26" t="str">
        <f aca="false">IF(OR(J6="",K6=""),"",J6-K6)</f>
        <v/>
      </c>
      <c r="M6" s="29" t="n">
        <f aca="false">IF(AND(D6&gt;=2,ISNUMBER(F6),ISNUMBER(I6),ISNUMBER(G6),ISNUMBER(J6)),IF(I6&lt;&gt;F6,MAX(CONFIGURACIÓN!$C$15,ROUND((G6-J6)/(I6-F6),2)),CONFIGURACIÓN!$C$14),CONFIGURACIÓN!$C$14)</f>
        <v>1.5</v>
      </c>
      <c r="N6" s="27" t="str">
        <f aca="false">IF(I6="","CALIBRAR",IF(D6=0,"Inicio ciclo "&amp;C6&amp;": usar DECISIÓN",IF(J6&lt;=CONFIGURACIÓN!$C$11,MAX(F6+B6,-INT(-F6*(1+CONFIGURACIÓN!$C$17)/B6)*B6),IF(AND(ISNUMBER(L6),L6&lt;=-CONFIGURACIÓN!$C$18),I6,I6+B6))))</f>
        <v>CALIBRAR</v>
      </c>
      <c r="O6" s="13"/>
      <c r="P6" s="26" t="str">
        <f aca="false">IF(NOT(ISNUMBER(O6)),"",IF(NOT(ISNUMBER(I6)),"30–40 (calibración)",MAX(1,ROUND(J6-M6*(O6-I6),0))))</f>
        <v/>
      </c>
      <c r="Q6" s="14"/>
      <c r="R6" s="26" t="str">
        <f aca="false">IF(Q6&lt;&gt;"",Q6,P6)</f>
        <v/>
      </c>
      <c r="S6" s="18" t="str">
        <f aca="false">IF(I6="","SIN DATOS · sesión de calibración",IF(D6=0,"NUEVO CICLO "&amp;C6&amp;" PREPARADO",IF(J6&lt;=CONFIGURACIÓN!$C$11,"CICLO TERMINADO · cerrar ciclo "&amp;C6&amp;" e iniciar ciclo "&amp;(C6+1),IF(AND(ISNUMBER(L6),L6&lt;=-CONFIGURACIÓN!$C$18),"RENDIMIENTO BAJO · analizar fatiga (no subir automáticamente)",IF(AND(ISNUMBER(R6),R6&lt;=CONFIGURACIÓN!$C$11),"ÚLTIMA SESIÓN DEL CICLO PROBABLE",IF(J6&lt;=CONFIGURACIÓN!$C$13,"PRÓXIMO A TERMINAR","EN PROGRESIÓN"))))))</f>
        <v>SIN DATOS · sesión de calibración</v>
      </c>
      <c r="T6" s="28" t="n">
        <f aca="true">IF(ISNUMBER(INDEX(CONFIGURACIÓN!$K$42:$K$56,MATCH(A6,CONFIGURACIÓN!$B$42:$B$56,0))),IF(WEEKDAY(MAX(IF(ISNUMBER(H6),H6,0),TODAY()-1),2)&lt;INDEX(CONFIGURACIÓN!$K$42:$K$56,MATCH(A6,CONFIGURACIÓN!$B$42:$B$56,0)),MAX(IF(ISNUMBER(H6),H6,0),TODAY()-1)+INDEX(CONFIGURACIÓN!$K$42:$K$56,MATCH(A6,CONFIGURACIÓN!$B$42:$B$56,0))-WEEKDAY(MAX(IF(ISNUMBER(H6),H6,0),TODAY()-1),2),IF(WEEKDAY(MAX(IF(ISNUMBER(H6),H6,0),TODAY()-1),2)&lt;IF(ISNUMBER(INDEX(CONFIGURACIÓN!$L$42:$L$56,MATCH(A6,CONFIGURACIÓN!$B$42:$B$56,0))),INDEX(CONFIGURACIÓN!$L$42:$L$56,MATCH(A6,CONFIGURACIÓN!$B$42:$B$56,0)),INDEX(CONFIGURACIÓN!$K$42:$K$56,MATCH(A6,CONFIGURACIÓN!$B$42:$B$56,0))),MAX(IF(ISNUMBER(H6),H6,0),TODAY()-1)+IF(ISNUMBER(INDEX(CONFIGURACIÓN!$L$42:$L$56,MATCH(A6,CONFIGURACIÓN!$B$42:$B$56,0))),INDEX(CONFIGURACIÓN!$L$42:$L$56,MATCH(A6,CONFIGURACIÓN!$B$42:$B$56,0)),INDEX(CONFIGURACIÓN!$K$42:$K$56,MATCH(A6,CONFIGURACIÓN!$B$42:$B$56,0)))-WEEKDAY(MAX(IF(ISNUMBER(H6),H6,0),TODAY()-1),2),MAX(IF(ISNUMBER(H6),H6,0),TODAY()-1)+7-WEEKDAY(MAX(IF(ISNUMBER(H6),H6,0),TODAY()-1),2)+INDEX(CONFIGURACIÓN!$K$42:$K$56,MATCH(A6,CONFIGURACIÓN!$B$42:$B$56,0)))),"")</f>
        <v>46293</v>
      </c>
      <c r="U6" s="30" t="str">
        <f aca="false">IF(AJ6=0,"",INDEX(HISTORIAL!$M$5:$M$2004,AJ6))</f>
        <v/>
      </c>
      <c r="V6" s="28" t="str">
        <f aca="false">IF(AJ6=0,"",INDEX(HISTORIAL!$B$5:$B$2004,AJ6))</f>
        <v/>
      </c>
      <c r="W6" s="27" t="str">
        <f aca="false">IF(AJ6=0,"",INDEX(HISTORIAL!$J$5:$J$2004,AJ6))</f>
        <v/>
      </c>
      <c r="X6" s="26" t="str">
        <f aca="false">IF(V6="","",SUMIFS(HISTORIAL!$K$5:$K$2004,HISTORIAL!$E$5:$E$2004,A6,HISTORIAL!$F$5:$F$2004,"Post-Bilbo",HISTORIAL!$B$5:$B$2004,V6,HISTORIAL!$I$5:$I$2004,1))</f>
        <v/>
      </c>
      <c r="Y6" s="26" t="str">
        <f aca="false">IF(V6="","",SUMIFS(HISTORIAL!$K$5:$K$2004,HISTORIAL!$E$5:$E$2004,A6,HISTORIAL!$F$5:$F$2004,"Post-Bilbo",HISTORIAL!$B$5:$B$2004,V6,HISTORIAL!$I$5:$I$2004,2))</f>
        <v/>
      </c>
      <c r="Z6" s="26" t="str">
        <f aca="false">IF(V6="","",SUMIFS(HISTORIAL!$K$5:$K$2004,HISTORIAL!$E$5:$E$2004,A6,HISTORIAL!$F$5:$F$2004,"Post-Bilbo",HISTORIAL!$B$5:$B$2004,V6,HISTORIAL!$I$5:$I$2004,3))</f>
        <v/>
      </c>
      <c r="AA6" s="26" t="str">
        <f aca="false">IF(V6="","",_xlfn.MINIFS(HISTORIAL!$L$5:$L$2004,HISTORIAL!$E$5:$E$2004,A6,HISTORIAL!$F$5:$F$2004,"Post-Bilbo",HISTORIAL!$B$5:$B$2004,V6))</f>
        <v/>
      </c>
      <c r="AB6" s="18" t="str">
        <f aca="false">IF(V6="","",W6&amp;" kg × "&amp;X6&amp;" / "&amp;Y6&amp;" / "&amp;Z6&amp;" @RIR≥"&amp;AA6)</f>
        <v/>
      </c>
      <c r="AC6" s="18" t="str">
        <f aca="false">IF(V6="","SIN DATOS",IF(MIN(X6:Z6)&lt;CONFIGURACIÓN!$C$20,"BAJAR %",IF(MIN(X6:Z6)&gt;CONFIGURACIÓN!$C$21,"SUBIR %",IF(X6-Z6&gt;=CONFIGURACIÓN!$C$27,"MANTENER · caída alta entre series","MANTENER"))))</f>
        <v>SIN DATOS</v>
      </c>
      <c r="AD6" s="30" t="n">
        <f aca="false">IF(NOT(ISNUMBER(U6)),CONFIGURACIÓN!$C$23,MIN(CONFIGURACIÓN!$C$26,MAX(CONFIGURACIÓN!$C$25,U6+IF(AC6="SUBIR %",CONFIGURACIÓN!$C$24,IF(AC6="BAJAR %",-CONFIGURACIÓN!$C$24,0)))))</f>
        <v>0.15</v>
      </c>
      <c r="AE6" s="16" t="n">
        <v>0.15</v>
      </c>
      <c r="AF6" s="27" t="str">
        <f aca="false">IF(AND(ISNUMBER(O6),ISNUMBER(AE6)),IF(CONFIGURACIÓN!$C$9="ABAJO",INT((O6*(1+AE6))/(B6))*(B6),IF(CONFIGURACIÓN!$C$9="ARRIBA",-INT(-(O6*(1+AE6))/(B6))*(B6),ROUND((O6*(1+AE6))/(B6),0)*(B6))),"")</f>
        <v/>
      </c>
      <c r="AG6" s="11" t="s">
        <v>443</v>
      </c>
      <c r="AH6" s="26" t="n">
        <f aca="false">_xlfn.MAXIFS(HISTORIAL!$A$5:$A$2004,HISTORIAL!$E$5:$E$2004,A6,HISTORIAL!$F$5:$F$2004,"Bilbo")</f>
        <v>0</v>
      </c>
      <c r="AI6" s="26" t="n">
        <f aca="false">_xlfn.MINIFS(HISTORIAL!$A$5:$A$2004,HISTORIAL!$E$5:$E$2004,A6,HISTORIAL!$F$5:$F$2004,"Bilbo",HISTORIAL!$G$5:$G$2004,C6)</f>
        <v>0</v>
      </c>
      <c r="AJ6" s="26" t="n">
        <f aca="false">_xlfn.MAXIFS(HISTORIAL!$A$5:$A$2004,HISTORIAL!$E$5:$E$2004,A6,HISTORIAL!$F$5:$F$2004,"Post-Bilbo")</f>
        <v>0</v>
      </c>
    </row>
    <row r="7" customFormat="false" ht="42" hidden="false" customHeight="true" outlineLevel="0" collapsed="false">
      <c r="A7" s="10" t="s">
        <v>282</v>
      </c>
      <c r="B7" s="25" t="n">
        <f aca="false">INDEX(CONFIGURACIÓN!$H$42:$H$56,MATCH(A7,CONFIGURACIÓN!$B$42:$B$56,0))</f>
        <v>2</v>
      </c>
      <c r="C7" s="14" t="n">
        <v>1</v>
      </c>
      <c r="D7" s="26" t="n">
        <f aca="false">COUNTIFS(HISTORIAL!$E$5:$E$2004,A7,HISTORIAL!$F$5:$F$2004,"Bilbo",HISTORIAL!$G$5:$G$2004,C7)</f>
        <v>0</v>
      </c>
      <c r="E7" s="18" t="str">
        <f aca="false">"Ciclo "&amp;C7&amp;" · sesión "&amp;(D7+1)</f>
        <v>Ciclo 1 · sesión 1</v>
      </c>
      <c r="F7" s="27" t="str">
        <f aca="false">IF(AI7=0,"",INDEX(HISTORIAL!$J$5:$J$2004,AI7))</f>
        <v/>
      </c>
      <c r="G7" s="26" t="str">
        <f aca="false">IF(AI7=0,"",INDEX(HISTORIAL!$K$5:$K$2004,AI7))</f>
        <v/>
      </c>
      <c r="H7" s="28" t="str">
        <f aca="false">IF(AH7=0,"",INDEX(HISTORIAL!$B$5:$B$2004,AH7))</f>
        <v/>
      </c>
      <c r="I7" s="27" t="str">
        <f aca="false">IF(AH7=0,"",INDEX(HISTORIAL!$J$5:$J$2004,AH7))</f>
        <v/>
      </c>
      <c r="J7" s="26" t="str">
        <f aca="false">IF(AH7=0,"",INDEX(HISTORIAL!$K$5:$K$2004,AH7))</f>
        <v/>
      </c>
      <c r="K7" s="26" t="str">
        <f aca="false">IF(AH7=0,"",IF(INDEX(HISTORIAL!$N$5:$N$2004,AH7)="","",INDEX(HISTORIAL!$N$5:$N$2004,AH7)))</f>
        <v/>
      </c>
      <c r="L7" s="26" t="str">
        <f aca="false">IF(OR(J7="",K7=""),"",J7-K7)</f>
        <v/>
      </c>
      <c r="M7" s="29" t="n">
        <f aca="false">IF(AND(D7&gt;=2,ISNUMBER(F7),ISNUMBER(I7),ISNUMBER(G7),ISNUMBER(J7)),IF(I7&lt;&gt;F7,MAX(CONFIGURACIÓN!$C$15,ROUND((G7-J7)/(I7-F7),2)),CONFIGURACIÓN!$C$14),CONFIGURACIÓN!$C$14)</f>
        <v>1.5</v>
      </c>
      <c r="N7" s="27" t="str">
        <f aca="false">IF(I7="","CALIBRAR",IF(D7=0,"Inicio ciclo "&amp;C7&amp;": usar DECISIÓN",IF(J7&lt;=CONFIGURACIÓN!$C$11,MAX(F7+B7,-INT(-F7*(1+CONFIGURACIÓN!$C$17)/B7)*B7),IF(AND(ISNUMBER(L7),L7&lt;=-CONFIGURACIÓN!$C$18),I7,I7+B7))))</f>
        <v>CALIBRAR</v>
      </c>
      <c r="O7" s="13"/>
      <c r="P7" s="26" t="str">
        <f aca="false">IF(NOT(ISNUMBER(O7)),"",IF(NOT(ISNUMBER(I7)),"30–40 (calibración)",MAX(1,ROUND(J7-M7*(O7-I7),0))))</f>
        <v/>
      </c>
      <c r="Q7" s="14"/>
      <c r="R7" s="26" t="str">
        <f aca="false">IF(Q7&lt;&gt;"",Q7,P7)</f>
        <v/>
      </c>
      <c r="S7" s="18" t="str">
        <f aca="false">IF(I7="","SIN DATOS · sesión de calibración",IF(D7=0,"NUEVO CICLO "&amp;C7&amp;" PREPARADO",IF(J7&lt;=CONFIGURACIÓN!$C$11,"CICLO TERMINADO · cerrar ciclo "&amp;C7&amp;" e iniciar ciclo "&amp;(C7+1),IF(AND(ISNUMBER(L7),L7&lt;=-CONFIGURACIÓN!$C$18),"RENDIMIENTO BAJO · analizar fatiga (no subir automáticamente)",IF(AND(ISNUMBER(R7),R7&lt;=CONFIGURACIÓN!$C$11),"ÚLTIMA SESIÓN DEL CICLO PROBABLE",IF(J7&lt;=CONFIGURACIÓN!$C$13,"PRÓXIMO A TERMINAR","EN PROGRESIÓN"))))))</f>
        <v>SIN DATOS · sesión de calibración</v>
      </c>
      <c r="T7" s="28" t="n">
        <f aca="true">IF(ISNUMBER(INDEX(CONFIGURACIÓN!$K$42:$K$56,MATCH(A7,CONFIGURACIÓN!$B$42:$B$56,0))),IF(WEEKDAY(MAX(IF(ISNUMBER(H7),H7,0),TODAY()-1),2)&lt;INDEX(CONFIGURACIÓN!$K$42:$K$56,MATCH(A7,CONFIGURACIÓN!$B$42:$B$56,0)),MAX(IF(ISNUMBER(H7),H7,0),TODAY()-1)+INDEX(CONFIGURACIÓN!$K$42:$K$56,MATCH(A7,CONFIGURACIÓN!$B$42:$B$56,0))-WEEKDAY(MAX(IF(ISNUMBER(H7),H7,0),TODAY()-1),2),IF(WEEKDAY(MAX(IF(ISNUMBER(H7),H7,0),TODAY()-1),2)&lt;IF(ISNUMBER(INDEX(CONFIGURACIÓN!$L$42:$L$56,MATCH(A7,CONFIGURACIÓN!$B$42:$B$56,0))),INDEX(CONFIGURACIÓN!$L$42:$L$56,MATCH(A7,CONFIGURACIÓN!$B$42:$B$56,0)),INDEX(CONFIGURACIÓN!$K$42:$K$56,MATCH(A7,CONFIGURACIÓN!$B$42:$B$56,0))),MAX(IF(ISNUMBER(H7),H7,0),TODAY()-1)+IF(ISNUMBER(INDEX(CONFIGURACIÓN!$L$42:$L$56,MATCH(A7,CONFIGURACIÓN!$B$42:$B$56,0))),INDEX(CONFIGURACIÓN!$L$42:$L$56,MATCH(A7,CONFIGURACIÓN!$B$42:$B$56,0)),INDEX(CONFIGURACIÓN!$K$42:$K$56,MATCH(A7,CONFIGURACIÓN!$B$42:$B$56,0)))-WEEKDAY(MAX(IF(ISNUMBER(H7),H7,0),TODAY()-1),2),MAX(IF(ISNUMBER(H7),H7,0),TODAY()-1)+7-WEEKDAY(MAX(IF(ISNUMBER(H7),H7,0),TODAY()-1),2)+INDEX(CONFIGURACIÓN!$K$42:$K$56,MATCH(A7,CONFIGURACIÓN!$B$42:$B$56,0)))),"")</f>
        <v>46293</v>
      </c>
      <c r="U7" s="30" t="str">
        <f aca="false">IF(AJ7=0,"",INDEX(HISTORIAL!$M$5:$M$2004,AJ7))</f>
        <v/>
      </c>
      <c r="V7" s="28" t="str">
        <f aca="false">IF(AJ7=0,"",INDEX(HISTORIAL!$B$5:$B$2004,AJ7))</f>
        <v/>
      </c>
      <c r="W7" s="27" t="str">
        <f aca="false">IF(AJ7=0,"",INDEX(HISTORIAL!$J$5:$J$2004,AJ7))</f>
        <v/>
      </c>
      <c r="X7" s="26" t="str">
        <f aca="false">IF(V7="","",SUMIFS(HISTORIAL!$K$5:$K$2004,HISTORIAL!$E$5:$E$2004,A7,HISTORIAL!$F$5:$F$2004,"Post-Bilbo",HISTORIAL!$B$5:$B$2004,V7,HISTORIAL!$I$5:$I$2004,1))</f>
        <v/>
      </c>
      <c r="Y7" s="26" t="str">
        <f aca="false">IF(V7="","",SUMIFS(HISTORIAL!$K$5:$K$2004,HISTORIAL!$E$5:$E$2004,A7,HISTORIAL!$F$5:$F$2004,"Post-Bilbo",HISTORIAL!$B$5:$B$2004,V7,HISTORIAL!$I$5:$I$2004,2))</f>
        <v/>
      </c>
      <c r="Z7" s="26" t="str">
        <f aca="false">IF(V7="","",SUMIFS(HISTORIAL!$K$5:$K$2004,HISTORIAL!$E$5:$E$2004,A7,HISTORIAL!$F$5:$F$2004,"Post-Bilbo",HISTORIAL!$B$5:$B$2004,V7,HISTORIAL!$I$5:$I$2004,3))</f>
        <v/>
      </c>
      <c r="AA7" s="26" t="str">
        <f aca="false">IF(V7="","",_xlfn.MINIFS(HISTORIAL!$L$5:$L$2004,HISTORIAL!$E$5:$E$2004,A7,HISTORIAL!$F$5:$F$2004,"Post-Bilbo",HISTORIAL!$B$5:$B$2004,V7))</f>
        <v/>
      </c>
      <c r="AB7" s="18" t="str">
        <f aca="false">IF(V7="","",W7&amp;" kg × "&amp;X7&amp;" / "&amp;Y7&amp;" / "&amp;Z7&amp;" @RIR≥"&amp;AA7)</f>
        <v/>
      </c>
      <c r="AC7" s="18" t="str">
        <f aca="false">IF(V7="","SIN DATOS",IF(MIN(X7:Z7)&lt;CONFIGURACIÓN!$C$20,"BAJAR %",IF(MIN(X7:Z7)&gt;CONFIGURACIÓN!$C$21,"SUBIR %",IF(X7-Z7&gt;=CONFIGURACIÓN!$C$27,"MANTENER · caída alta entre series","MANTENER"))))</f>
        <v>SIN DATOS</v>
      </c>
      <c r="AD7" s="30" t="n">
        <f aca="false">IF(NOT(ISNUMBER(U7)),CONFIGURACIÓN!$C$23,MIN(CONFIGURACIÓN!$C$26,MAX(CONFIGURACIÓN!$C$25,U7+IF(AC7="SUBIR %",CONFIGURACIÓN!$C$24,IF(AC7="BAJAR %",-CONFIGURACIÓN!$C$24,0)))))</f>
        <v>0.15</v>
      </c>
      <c r="AE7" s="16" t="n">
        <v>0.15</v>
      </c>
      <c r="AF7" s="27" t="str">
        <f aca="false">IF(AND(ISNUMBER(O7),ISNUMBER(AE7)),IF(CONFIGURACIÓN!$C$9="ABAJO",INT((O7*(1+AE7))/(B7))*(B7),IF(CONFIGURACIÓN!$C$9="ARRIBA",-INT(-(O7*(1+AE7))/(B7))*(B7),ROUND((O7*(1+AE7))/(B7),0)*(B7))),"")</f>
        <v/>
      </c>
      <c r="AG7" s="11" t="s">
        <v>443</v>
      </c>
      <c r="AH7" s="26" t="n">
        <f aca="false">_xlfn.MAXIFS(HISTORIAL!$A$5:$A$2004,HISTORIAL!$E$5:$E$2004,A7,HISTORIAL!$F$5:$F$2004,"Bilbo")</f>
        <v>0</v>
      </c>
      <c r="AI7" s="26" t="n">
        <f aca="false">_xlfn.MINIFS(HISTORIAL!$A$5:$A$2004,HISTORIAL!$E$5:$E$2004,A7,HISTORIAL!$F$5:$F$2004,"Bilbo",HISTORIAL!$G$5:$G$2004,C7)</f>
        <v>0</v>
      </c>
      <c r="AJ7" s="26" t="n">
        <f aca="false">_xlfn.MAXIFS(HISTORIAL!$A$5:$A$2004,HISTORIAL!$E$5:$E$2004,A7,HISTORIAL!$F$5:$F$2004,"Post-Bilbo")</f>
        <v>0</v>
      </c>
    </row>
    <row r="8" customFormat="false" ht="42" hidden="false" customHeight="true" outlineLevel="0" collapsed="false">
      <c r="A8" s="10" t="s">
        <v>283</v>
      </c>
      <c r="B8" s="25" t="n">
        <f aca="false">INDEX(CONFIGURACIÓN!$H$42:$H$56,MATCH(A8,CONFIGURACIÓN!$B$42:$B$56,0))</f>
        <v>2</v>
      </c>
      <c r="C8" s="14" t="n">
        <v>1</v>
      </c>
      <c r="D8" s="26" t="n">
        <f aca="false">COUNTIFS(HISTORIAL!$E$5:$E$2004,A8,HISTORIAL!$F$5:$F$2004,"Bilbo",HISTORIAL!$G$5:$G$2004,C8)</f>
        <v>0</v>
      </c>
      <c r="E8" s="18" t="str">
        <f aca="false">"Ciclo "&amp;C8&amp;" · sesión "&amp;(D8+1)</f>
        <v>Ciclo 1 · sesión 1</v>
      </c>
      <c r="F8" s="27" t="str">
        <f aca="false">IF(AI8=0,"",INDEX(HISTORIAL!$J$5:$J$2004,AI8))</f>
        <v/>
      </c>
      <c r="G8" s="26" t="str">
        <f aca="false">IF(AI8=0,"",INDEX(HISTORIAL!$K$5:$K$2004,AI8))</f>
        <v/>
      </c>
      <c r="H8" s="28" t="str">
        <f aca="false">IF(AH8=0,"",INDEX(HISTORIAL!$B$5:$B$2004,AH8))</f>
        <v/>
      </c>
      <c r="I8" s="27" t="str">
        <f aca="false">IF(AH8=0,"",INDEX(HISTORIAL!$J$5:$J$2004,AH8))</f>
        <v/>
      </c>
      <c r="J8" s="26" t="str">
        <f aca="false">IF(AH8=0,"",INDEX(HISTORIAL!$K$5:$K$2004,AH8))</f>
        <v/>
      </c>
      <c r="K8" s="26" t="str">
        <f aca="false">IF(AH8=0,"",IF(INDEX(HISTORIAL!$N$5:$N$2004,AH8)="","",INDEX(HISTORIAL!$N$5:$N$2004,AH8)))</f>
        <v/>
      </c>
      <c r="L8" s="26" t="str">
        <f aca="false">IF(OR(J8="",K8=""),"",J8-K8)</f>
        <v/>
      </c>
      <c r="M8" s="29" t="n">
        <f aca="false">IF(AND(D8&gt;=2,ISNUMBER(F8),ISNUMBER(I8),ISNUMBER(G8),ISNUMBER(J8)),IF(I8&lt;&gt;F8,MAX(CONFIGURACIÓN!$C$15,ROUND((G8-J8)/(I8-F8),2)),CONFIGURACIÓN!$C$14),CONFIGURACIÓN!$C$14)</f>
        <v>1.5</v>
      </c>
      <c r="N8" s="27" t="str">
        <f aca="false">IF(I8="","CALIBRAR",IF(D8=0,"Inicio ciclo "&amp;C8&amp;": usar DECISIÓN",IF(J8&lt;=CONFIGURACIÓN!$C$11,MAX(F8+B8,-INT(-F8*(1+CONFIGURACIÓN!$C$17)/B8)*B8),IF(AND(ISNUMBER(L8),L8&lt;=-CONFIGURACIÓN!$C$18),I8,I8+B8))))</f>
        <v>CALIBRAR</v>
      </c>
      <c r="O8" s="13"/>
      <c r="P8" s="26" t="str">
        <f aca="false">IF(NOT(ISNUMBER(O8)),"",IF(NOT(ISNUMBER(I8)),"30–40 (calibración)",MAX(1,ROUND(J8-M8*(O8-I8),0))))</f>
        <v/>
      </c>
      <c r="Q8" s="14"/>
      <c r="R8" s="26" t="str">
        <f aca="false">IF(Q8&lt;&gt;"",Q8,P8)</f>
        <v/>
      </c>
      <c r="S8" s="18" t="str">
        <f aca="false">IF(I8="","SIN DATOS · sesión de calibración",IF(D8=0,"NUEVO CICLO "&amp;C8&amp;" PREPARADO",IF(J8&lt;=CONFIGURACIÓN!$C$11,"CICLO TERMINADO · cerrar ciclo "&amp;C8&amp;" e iniciar ciclo "&amp;(C8+1),IF(AND(ISNUMBER(L8),L8&lt;=-CONFIGURACIÓN!$C$18),"RENDIMIENTO BAJO · analizar fatiga (no subir automáticamente)",IF(AND(ISNUMBER(R8),R8&lt;=CONFIGURACIÓN!$C$11),"ÚLTIMA SESIÓN DEL CICLO PROBABLE",IF(J8&lt;=CONFIGURACIÓN!$C$13,"PRÓXIMO A TERMINAR","EN PROGRESIÓN"))))))</f>
        <v>SIN DATOS · sesión de calibración</v>
      </c>
      <c r="T8" s="28" t="n">
        <f aca="true">IF(ISNUMBER(INDEX(CONFIGURACIÓN!$K$42:$K$56,MATCH(A8,CONFIGURACIÓN!$B$42:$B$56,0))),IF(WEEKDAY(MAX(IF(ISNUMBER(H8),H8,0),TODAY()-1),2)&lt;INDEX(CONFIGURACIÓN!$K$42:$K$56,MATCH(A8,CONFIGURACIÓN!$B$42:$B$56,0)),MAX(IF(ISNUMBER(H8),H8,0),TODAY()-1)+INDEX(CONFIGURACIÓN!$K$42:$K$56,MATCH(A8,CONFIGURACIÓN!$B$42:$B$56,0))-WEEKDAY(MAX(IF(ISNUMBER(H8),H8,0),TODAY()-1),2),IF(WEEKDAY(MAX(IF(ISNUMBER(H8),H8,0),TODAY()-1),2)&lt;IF(ISNUMBER(INDEX(CONFIGURACIÓN!$L$42:$L$56,MATCH(A8,CONFIGURACIÓN!$B$42:$B$56,0))),INDEX(CONFIGURACIÓN!$L$42:$L$56,MATCH(A8,CONFIGURACIÓN!$B$42:$B$56,0)),INDEX(CONFIGURACIÓN!$K$42:$K$56,MATCH(A8,CONFIGURACIÓN!$B$42:$B$56,0))),MAX(IF(ISNUMBER(H8),H8,0),TODAY()-1)+IF(ISNUMBER(INDEX(CONFIGURACIÓN!$L$42:$L$56,MATCH(A8,CONFIGURACIÓN!$B$42:$B$56,0))),INDEX(CONFIGURACIÓN!$L$42:$L$56,MATCH(A8,CONFIGURACIÓN!$B$42:$B$56,0)),INDEX(CONFIGURACIÓN!$K$42:$K$56,MATCH(A8,CONFIGURACIÓN!$B$42:$B$56,0)))-WEEKDAY(MAX(IF(ISNUMBER(H8),H8,0),TODAY()-1),2),MAX(IF(ISNUMBER(H8),H8,0),TODAY()-1)+7-WEEKDAY(MAX(IF(ISNUMBER(H8),H8,0),TODAY()-1),2)+INDEX(CONFIGURACIÓN!$K$42:$K$56,MATCH(A8,CONFIGURACIÓN!$B$42:$B$56,0)))),"")</f>
        <v>46294</v>
      </c>
      <c r="U8" s="30" t="str">
        <f aca="false">IF(AJ8=0,"",INDEX(HISTORIAL!$M$5:$M$2004,AJ8))</f>
        <v/>
      </c>
      <c r="V8" s="28" t="str">
        <f aca="false">IF(AJ8=0,"",INDEX(HISTORIAL!$B$5:$B$2004,AJ8))</f>
        <v/>
      </c>
      <c r="W8" s="27" t="str">
        <f aca="false">IF(AJ8=0,"",INDEX(HISTORIAL!$J$5:$J$2004,AJ8))</f>
        <v/>
      </c>
      <c r="X8" s="26" t="str">
        <f aca="false">IF(V8="","",SUMIFS(HISTORIAL!$K$5:$K$2004,HISTORIAL!$E$5:$E$2004,A8,HISTORIAL!$F$5:$F$2004,"Post-Bilbo",HISTORIAL!$B$5:$B$2004,V8,HISTORIAL!$I$5:$I$2004,1))</f>
        <v/>
      </c>
      <c r="Y8" s="26" t="str">
        <f aca="false">IF(V8="","",SUMIFS(HISTORIAL!$K$5:$K$2004,HISTORIAL!$E$5:$E$2004,A8,HISTORIAL!$F$5:$F$2004,"Post-Bilbo",HISTORIAL!$B$5:$B$2004,V8,HISTORIAL!$I$5:$I$2004,2))</f>
        <v/>
      </c>
      <c r="Z8" s="26" t="str">
        <f aca="false">IF(V8="","",SUMIFS(HISTORIAL!$K$5:$K$2004,HISTORIAL!$E$5:$E$2004,A8,HISTORIAL!$F$5:$F$2004,"Post-Bilbo",HISTORIAL!$B$5:$B$2004,V8,HISTORIAL!$I$5:$I$2004,3))</f>
        <v/>
      </c>
      <c r="AA8" s="26" t="str">
        <f aca="false">IF(V8="","",_xlfn.MINIFS(HISTORIAL!$L$5:$L$2004,HISTORIAL!$E$5:$E$2004,A8,HISTORIAL!$F$5:$F$2004,"Post-Bilbo",HISTORIAL!$B$5:$B$2004,V8))</f>
        <v/>
      </c>
      <c r="AB8" s="18" t="str">
        <f aca="false">IF(V8="","",W8&amp;" kg × "&amp;X8&amp;" / "&amp;Y8&amp;" / "&amp;Z8&amp;" @RIR≥"&amp;AA8)</f>
        <v/>
      </c>
      <c r="AC8" s="18" t="str">
        <f aca="false">IF(V8="","SIN DATOS",IF(MIN(X8:Z8)&lt;CONFIGURACIÓN!$C$20,"BAJAR %",IF(MIN(X8:Z8)&gt;CONFIGURACIÓN!$C$21,"SUBIR %",IF(X8-Z8&gt;=CONFIGURACIÓN!$C$27,"MANTENER · caída alta entre series","MANTENER"))))</f>
        <v>SIN DATOS</v>
      </c>
      <c r="AD8" s="30" t="n">
        <f aca="false">IF(NOT(ISNUMBER(U8)),CONFIGURACIÓN!$C$23,MIN(CONFIGURACIÓN!$C$26,MAX(CONFIGURACIÓN!$C$25,U8+IF(AC8="SUBIR %",CONFIGURACIÓN!$C$24,IF(AC8="BAJAR %",-CONFIGURACIÓN!$C$24,0)))))</f>
        <v>0.15</v>
      </c>
      <c r="AE8" s="16" t="n">
        <v>0.15</v>
      </c>
      <c r="AF8" s="27" t="str">
        <f aca="false">IF(AND(ISNUMBER(O8),ISNUMBER(AE8)),IF(CONFIGURACIÓN!$C$9="ABAJO",INT((O8*(1+AE8))/(B8))*(B8),IF(CONFIGURACIÓN!$C$9="ARRIBA",-INT(-(O8*(1+AE8))/(B8))*(B8),ROUND((O8*(1+AE8))/(B8),0)*(B8))),"")</f>
        <v/>
      </c>
      <c r="AG8" s="11" t="s">
        <v>443</v>
      </c>
      <c r="AH8" s="26" t="n">
        <f aca="false">_xlfn.MAXIFS(HISTORIAL!$A$5:$A$2004,HISTORIAL!$E$5:$E$2004,A8,HISTORIAL!$F$5:$F$2004,"Bilbo")</f>
        <v>0</v>
      </c>
      <c r="AI8" s="26" t="n">
        <f aca="false">_xlfn.MINIFS(HISTORIAL!$A$5:$A$2004,HISTORIAL!$E$5:$E$2004,A8,HISTORIAL!$F$5:$F$2004,"Bilbo",HISTORIAL!$G$5:$G$2004,C8)</f>
        <v>0</v>
      </c>
      <c r="AJ8" s="26" t="n">
        <f aca="false">_xlfn.MAXIFS(HISTORIAL!$A$5:$A$2004,HISTORIAL!$E$5:$E$2004,A8,HISTORIAL!$F$5:$F$2004,"Post-Bilbo")</f>
        <v>0</v>
      </c>
    </row>
    <row r="10" customFormat="false" ht="15" hidden="false" customHeight="true" outlineLevel="0" collapsed="false">
      <c r="A10" s="4" t="s">
        <v>444</v>
      </c>
    </row>
    <row r="11" customFormat="false" ht="15" hidden="false" customHeight="true" outlineLevel="0" collapsed="false">
      <c r="A11" s="4" t="s">
        <v>445</v>
      </c>
    </row>
  </sheetData>
  <mergeCells count="5">
    <mergeCell ref="A4:C4"/>
    <mergeCell ref="F4:M4"/>
    <mergeCell ref="N4:T4"/>
    <mergeCell ref="U4:AF4"/>
    <mergeCell ref="AG4:AJ4"/>
  </mergeCells>
  <conditionalFormatting sqref="S6:S8">
    <cfRule type="expression" priority="2" aboveAverage="0" equalAverage="0" bottom="0" percent="0" rank="0" text="" dxfId="6">
      <formula>ISNUMBER(SEARCH("TERMINADO",S6))</formula>
    </cfRule>
    <cfRule type="expression" priority="3" aboveAverage="0" equalAverage="0" bottom="0" percent="0" rank="0" text="" dxfId="7">
      <formula>OR(ISNUMBER(SEARCH("PRÓXIMO",S6)),ISNUMBER(SEARCH("ÚLTIMA",S6)),ISNUMBER(SEARCH("BAJO",S6)))</formula>
    </cfRule>
    <cfRule type="expression" priority="4" aboveAverage="0" equalAverage="0" bottom="0" percent="0" rank="0" text="" dxfId="8">
      <formula>ISNUMBER(SEARCH("PROGRESIÓN",S6))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X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7"/>
    <col collapsed="false" customWidth="true" hidden="false" outlineLevel="0" max="4" min="3" style="1" width="11"/>
    <col collapsed="false" customWidth="true" hidden="false" outlineLevel="0" max="6" min="5" style="1" width="8"/>
    <col collapsed="false" customWidth="true" hidden="false" outlineLevel="0" max="7" min="7" style="1" width="11"/>
    <col collapsed="false" customWidth="true" hidden="false" outlineLevel="0" max="12" min="8" style="1" width="8"/>
    <col collapsed="false" customWidth="true" hidden="false" outlineLevel="0" max="15" min="13" style="1" width="9"/>
    <col collapsed="false" customWidth="true" hidden="false" outlineLevel="0" max="16" min="16" style="1" width="12"/>
    <col collapsed="false" customWidth="true" hidden="false" outlineLevel="0" max="17" min="17" style="1" width="11"/>
    <col collapsed="false" customWidth="true" hidden="false" outlineLevel="0" max="18" min="18" style="1" width="9"/>
    <col collapsed="false" customWidth="true" hidden="false" outlineLevel="0" max="21" min="19" style="1" width="11"/>
    <col collapsed="false" customWidth="true" hidden="false" outlineLevel="0" max="22" min="22" style="1" width="16"/>
    <col collapsed="false" customWidth="true" hidden="false" outlineLevel="0" max="23" min="23" style="1" width="45"/>
  </cols>
  <sheetData>
    <row r="1" customFormat="false" ht="27.75" hidden="false" customHeight="true" outlineLevel="0" collapsed="false">
      <c r="A1" s="2" t="s">
        <v>446</v>
      </c>
      <c r="B1" s="3"/>
      <c r="C1" s="3"/>
      <c r="D1" s="3"/>
      <c r="E1" s="3"/>
      <c r="F1" s="3"/>
      <c r="G1" s="3"/>
      <c r="H1" s="3"/>
      <c r="I1" s="3"/>
      <c r="J1" s="3"/>
      <c r="K1" s="3"/>
      <c r="L1" s="3"/>
      <c r="M1" s="3"/>
      <c r="N1" s="3"/>
      <c r="O1" s="3"/>
      <c r="P1" s="3"/>
      <c r="Q1" s="3"/>
      <c r="R1" s="3"/>
      <c r="S1" s="3"/>
      <c r="T1" s="3"/>
      <c r="U1" s="3"/>
      <c r="V1" s="3"/>
      <c r="W1" s="3"/>
      <c r="X1" s="3"/>
    </row>
    <row r="2" customFormat="false" ht="15" hidden="false" customHeight="true" outlineLevel="0" collapsed="false">
      <c r="A2" s="4" t="s">
        <v>447</v>
      </c>
    </row>
    <row r="3" customFormat="false" ht="15" hidden="false" customHeight="true" outlineLevel="0" collapsed="false">
      <c r="A3" s="4" t="s">
        <v>191</v>
      </c>
    </row>
    <row r="5" customFormat="false" ht="69.75" hidden="false" customHeight="true" outlineLevel="0" collapsed="false">
      <c r="A5" s="5" t="s">
        <v>261</v>
      </c>
      <c r="B5" s="5" t="s">
        <v>448</v>
      </c>
      <c r="C5" s="5" t="s">
        <v>449</v>
      </c>
      <c r="D5" s="5" t="s">
        <v>450</v>
      </c>
      <c r="E5" s="5" t="s">
        <v>451</v>
      </c>
      <c r="F5" s="5" t="s">
        <v>452</v>
      </c>
      <c r="G5" s="5" t="s">
        <v>453</v>
      </c>
      <c r="H5" s="5" t="s">
        <v>454</v>
      </c>
      <c r="I5" s="5" t="s">
        <v>455</v>
      </c>
      <c r="J5" s="5" t="s">
        <v>456</v>
      </c>
      <c r="K5" s="5" t="s">
        <v>457</v>
      </c>
      <c r="L5" s="5" t="s">
        <v>458</v>
      </c>
      <c r="M5" s="5" t="s">
        <v>459</v>
      </c>
      <c r="N5" s="5" t="s">
        <v>460</v>
      </c>
      <c r="O5" s="5" t="s">
        <v>461</v>
      </c>
      <c r="P5" s="5" t="s">
        <v>462</v>
      </c>
      <c r="Q5" s="5" t="s">
        <v>463</v>
      </c>
      <c r="R5" s="5" t="s">
        <v>464</v>
      </c>
      <c r="S5" s="5" t="s">
        <v>465</v>
      </c>
      <c r="T5" s="5" t="s">
        <v>466</v>
      </c>
      <c r="U5" s="5" t="s">
        <v>467</v>
      </c>
      <c r="V5" s="5" t="s">
        <v>468</v>
      </c>
      <c r="W5" s="5" t="s">
        <v>469</v>
      </c>
    </row>
    <row r="6" customFormat="false" ht="23.25" hidden="false" customHeight="true" outlineLevel="0" collapsed="false">
      <c r="A6" s="11" t="s">
        <v>274</v>
      </c>
      <c r="B6" s="11" t="n">
        <v>1</v>
      </c>
      <c r="C6" s="11" t="s">
        <v>470</v>
      </c>
      <c r="D6" s="28" t="str">
        <f aca="false">IF($A6="","",IF(_xlfn.MINIFS(HISTORIAL!$A$5:$A$2004,HISTORIAL!$E$5:$E$2004,$A6,HISTORIAL!$F$5:$F$2004,"Bilbo",HISTORIAL!$G$5:$G$2004,$B6)=0,"",INDEX(HISTORIAL!$B$5:$B$2004,_xlfn.MINIFS(HISTORIAL!$A$5:$A$2004,HISTORIAL!$E$5:$E$2004,$A6,HISTORIAL!$F$5:$F$2004,"Bilbo",HISTORIAL!$G$5:$G$2004,$B6))))</f>
        <v/>
      </c>
      <c r="E6" s="27" t="str">
        <f aca="false">IF($A6="","",IF(_xlfn.MINIFS(HISTORIAL!$A$5:$A$2004,HISTORIAL!$E$5:$E$2004,$A6,HISTORIAL!$F$5:$F$2004,"Bilbo",HISTORIAL!$G$5:$G$2004,$B6)=0,"",INDEX(HISTORIAL!$J$5:$J$2004,_xlfn.MINIFS(HISTORIAL!$A$5:$A$2004,HISTORIAL!$E$5:$E$2004,$A6,HISTORIAL!$F$5:$F$2004,"Bilbo",HISTORIAL!$G$5:$G$2004,$B6))))</f>
        <v/>
      </c>
      <c r="F6" s="18" t="str">
        <f aca="false">IF($A6="","",IF(_xlfn.MINIFS(HISTORIAL!$A$5:$A$2004,HISTORIAL!$E$5:$E$2004,$A6,HISTORIAL!$F$5:$F$2004,"Bilbo",HISTORIAL!$G$5:$G$2004,$B6)=0,"",INDEX(HISTORIAL!$K$5:$K$2004,_xlfn.MINIFS(HISTORIAL!$A$5:$A$2004,HISTORIAL!$E$5:$E$2004,$A6,HISTORIAL!$F$5:$F$2004,"Bilbo",HISTORIAL!$G$5:$G$2004,$B6))))</f>
        <v/>
      </c>
      <c r="G6" s="28" t="str">
        <f aca="false">IF($A6="","",IF(_xlfn.MAXIFS(HISTORIAL!$A$5:$A$2004,HISTORIAL!$E$5:$E$2004,$A6,HISTORIAL!$F$5:$F$2004,"Bilbo",HISTORIAL!$G$5:$G$2004,$B6)=0,"",INDEX(HISTORIAL!$B$5:$B$2004,_xlfn.MAXIFS(HISTORIAL!$A$5:$A$2004,HISTORIAL!$E$5:$E$2004,$A6,HISTORIAL!$F$5:$F$2004,"Bilbo",HISTORIAL!$G$5:$G$2004,$B6))))</f>
        <v/>
      </c>
      <c r="H6" s="27" t="str">
        <f aca="false">IF($A6="","",IF(_xlfn.MAXIFS(HISTORIAL!$A$5:$A$2004,HISTORIAL!$E$5:$E$2004,$A6,HISTORIAL!$F$5:$F$2004,"Bilbo",HISTORIAL!$G$5:$G$2004,$B6)=0,"",INDEX(HISTORIAL!$J$5:$J$2004,_xlfn.MAXIFS(HISTORIAL!$A$5:$A$2004,HISTORIAL!$E$5:$E$2004,$A6,HISTORIAL!$F$5:$F$2004,"Bilbo",HISTORIAL!$G$5:$G$2004,$B6))))</f>
        <v/>
      </c>
      <c r="I6" s="18" t="str">
        <f aca="false">IF($A6="","",IF(_xlfn.MAXIFS(HISTORIAL!$A$5:$A$2004,HISTORIAL!$E$5:$E$2004,$A6,HISTORIAL!$F$5:$F$2004,"Bilbo",HISTORIAL!$G$5:$G$2004,$B6)=0,"",INDEX(HISTORIAL!$K$5:$K$2004,_xlfn.MAXIFS(HISTORIAL!$A$5:$A$2004,HISTORIAL!$E$5:$E$2004,$A6,HISTORIAL!$F$5:$F$2004,"Bilbo",HISTORIAL!$G$5:$G$2004,$B6))))</f>
        <v/>
      </c>
      <c r="J6" s="18" t="n">
        <f aca="false">IF($A6="","",COUNTIFS(HISTORIAL!$E$5:$E$2004,$A6,HISTORIAL!$F$5:$F$2004,"Bilbo",HISTORIAL!$G$5:$G$2004,$B6))</f>
        <v>0</v>
      </c>
      <c r="K6" s="27" t="str">
        <f aca="false">IF($A6="","",IF(J6=0,"",_xlfn.MAXIFS(HISTORIAL!$J$5:$J$2004,HISTORIAL!$E$5:$E$2004,$A6,HISTORIAL!$F$5:$F$2004,"Bilbo",HISTORIAL!$G$5:$G$2004,$B6)))</f>
        <v/>
      </c>
      <c r="L6" s="18" t="str">
        <f aca="false">IF($A6="","",IF(J6=0,"",_xlfn.MAXIFS(HISTORIAL!$K$5:$K$2004,HISTORIAL!$E$5:$E$2004,$A6,HISTORIAL!$F$5:$F$2004,"Bilbo",HISTORIAL!$G$5:$G$2004,$B6,HISTORIAL!$J$5:$J$2004,K6)))</f>
        <v/>
      </c>
      <c r="M6" s="27" t="str">
        <f aca="false">IF($A6="","",IF(J6=0,"",_xlfn.MAXIFS(HISTORIAL!$T$5:$T$2004,HISTORIAL!$E$5:$E$2004,$A6,HISTORIAL!$F$5:$F$2004,"Bilbo",HISTORIAL!$G$5:$G$2004,$B6)))</f>
        <v/>
      </c>
      <c r="N6" s="27" t="str">
        <f aca="false">IF($A6="","",IF(J6=0,"",H6-E6))</f>
        <v/>
      </c>
      <c r="O6" s="27" t="str">
        <f aca="false">IF($A6="","",IF(COUNTIFS($A$6:$A$105,$A6,$B$6:$B$105,$B6-1)=0,"",SUMIFS($E$6:$E$105,$A$6:$A$105,$A6,$B$6:$B$105,$B6-1)))</f>
        <v/>
      </c>
      <c r="P6" s="18" t="str">
        <f aca="false">IF($A6="","",IF(OR(O6="",NOT(ISNUMBER(E6))),"—",IF(E6&gt;O6,"OK","ERROR: debe ser &gt; "&amp;O6)))</f>
        <v>—</v>
      </c>
      <c r="Q6" s="18" t="str">
        <f aca="false">IF($A6="","",IF(OR(O6="",NOT(ISNUMBER(E6))),"",IF(_xlfn.MAXIFS(HISTORIAL!$K$5:$K$2004,HISTORIAL!$E$5:$E$2004,$A6,HISTORIAL!$F$5:$F$2004,"Bilbo",HISTORIAL!$G$5:$G$2004,$B6-1,HISTORIAL!$J$5:$J$2004,E6)=0,"sin dato comparable",_xlfn.MAXIFS(HISTORIAL!$K$5:$K$2004,HISTORIAL!$E$5:$E$2004,$A6,HISTORIAL!$F$5:$F$2004,"Bilbo",HISTORIAL!$G$5:$G$2004,$B6-1,HISTORIAL!$J$5:$J$2004,E6))))</f>
        <v/>
      </c>
      <c r="R6" s="18" t="str">
        <f aca="false">IF($A6="","",IF(AND(ISNUMBER(Q6),ISNUMBER(F6)),F6-Q6,""))</f>
        <v/>
      </c>
      <c r="S6" s="27" t="n">
        <f aca="false">IF($A6="","",SUMIFS(HISTORIAL!$R$5:$R$2004,HISTORIAL!$E$5:$E$2004,$A6,HISTORIAL!$F$5:$F$2004,"Bilbo",HISTORIAL!$G$5:$G$2004,$B6)+SUMIFS(HISTORIAL!$R$5:$R$2004,HISTORIAL!$E$5:$E$2004,$A6,HISTORIAL!$F$5:$F$2004,"Post-Bilbo",HISTORIAL!$G$5:$G$2004,$B6))</f>
        <v>0</v>
      </c>
      <c r="T6" s="27" t="str">
        <f aca="false">IF($A6="","",IF(NOT(ISNUMBER(E6)),"",MAX(E6+INDEX(CONFIGURACIÓN!$H$42:$H$56,MATCH($A6,CONFIGURACIÓN!$B$42:$B$56,0)),-INT(-E6*(1+CONFIGURACIÓN!$C$17)/(INDEX(CONFIGURACIÓN!$H$42:$H$56,MATCH($A6,CONFIGURACIÓN!$B$42:$B$56,0))))*(INDEX(CONFIGURACIÓN!$H$42:$H$56,MATCH($A6,CONFIGURACIÓN!$B$42:$B$56,0))))))</f>
        <v/>
      </c>
      <c r="U6" s="13"/>
      <c r="V6" s="18" t="str">
        <f aca="false">IF($A6="","",IF(U6="","",IF(NOT(ISNUMBER(E6)),"sin carga inicial registrada",IF(U6&gt;E6,"OK","ERROR: debe ser &gt; "&amp;E6))))</f>
        <v/>
      </c>
      <c r="W6" s="11" t="s">
        <v>471</v>
      </c>
    </row>
    <row r="7" customFormat="false" ht="23.25" hidden="false" customHeight="true" outlineLevel="0" collapsed="false">
      <c r="A7" s="11" t="s">
        <v>282</v>
      </c>
      <c r="B7" s="11" t="n">
        <v>1</v>
      </c>
      <c r="C7" s="11" t="s">
        <v>470</v>
      </c>
      <c r="D7" s="28" t="str">
        <f aca="false">IF($A7="","",IF(_xlfn.MINIFS(HISTORIAL!$A$5:$A$2004,HISTORIAL!$E$5:$E$2004,$A7,HISTORIAL!$F$5:$F$2004,"Bilbo",HISTORIAL!$G$5:$G$2004,$B7)=0,"",INDEX(HISTORIAL!$B$5:$B$2004,_xlfn.MINIFS(HISTORIAL!$A$5:$A$2004,HISTORIAL!$E$5:$E$2004,$A7,HISTORIAL!$F$5:$F$2004,"Bilbo",HISTORIAL!$G$5:$G$2004,$B7))))</f>
        <v/>
      </c>
      <c r="E7" s="27" t="str">
        <f aca="false">IF($A7="","",IF(_xlfn.MINIFS(HISTORIAL!$A$5:$A$2004,HISTORIAL!$E$5:$E$2004,$A7,HISTORIAL!$F$5:$F$2004,"Bilbo",HISTORIAL!$G$5:$G$2004,$B7)=0,"",INDEX(HISTORIAL!$J$5:$J$2004,_xlfn.MINIFS(HISTORIAL!$A$5:$A$2004,HISTORIAL!$E$5:$E$2004,$A7,HISTORIAL!$F$5:$F$2004,"Bilbo",HISTORIAL!$G$5:$G$2004,$B7))))</f>
        <v/>
      </c>
      <c r="F7" s="18" t="str">
        <f aca="false">IF($A7="","",IF(_xlfn.MINIFS(HISTORIAL!$A$5:$A$2004,HISTORIAL!$E$5:$E$2004,$A7,HISTORIAL!$F$5:$F$2004,"Bilbo",HISTORIAL!$G$5:$G$2004,$B7)=0,"",INDEX(HISTORIAL!$K$5:$K$2004,_xlfn.MINIFS(HISTORIAL!$A$5:$A$2004,HISTORIAL!$E$5:$E$2004,$A7,HISTORIAL!$F$5:$F$2004,"Bilbo",HISTORIAL!$G$5:$G$2004,$B7))))</f>
        <v/>
      </c>
      <c r="G7" s="28" t="str">
        <f aca="false">IF($A7="","",IF(_xlfn.MAXIFS(HISTORIAL!$A$5:$A$2004,HISTORIAL!$E$5:$E$2004,$A7,HISTORIAL!$F$5:$F$2004,"Bilbo",HISTORIAL!$G$5:$G$2004,$B7)=0,"",INDEX(HISTORIAL!$B$5:$B$2004,_xlfn.MAXIFS(HISTORIAL!$A$5:$A$2004,HISTORIAL!$E$5:$E$2004,$A7,HISTORIAL!$F$5:$F$2004,"Bilbo",HISTORIAL!$G$5:$G$2004,$B7))))</f>
        <v/>
      </c>
      <c r="H7" s="27" t="str">
        <f aca="false">IF($A7="","",IF(_xlfn.MAXIFS(HISTORIAL!$A$5:$A$2004,HISTORIAL!$E$5:$E$2004,$A7,HISTORIAL!$F$5:$F$2004,"Bilbo",HISTORIAL!$G$5:$G$2004,$B7)=0,"",INDEX(HISTORIAL!$J$5:$J$2004,_xlfn.MAXIFS(HISTORIAL!$A$5:$A$2004,HISTORIAL!$E$5:$E$2004,$A7,HISTORIAL!$F$5:$F$2004,"Bilbo",HISTORIAL!$G$5:$G$2004,$B7))))</f>
        <v/>
      </c>
      <c r="I7" s="18" t="str">
        <f aca="false">IF($A7="","",IF(_xlfn.MAXIFS(HISTORIAL!$A$5:$A$2004,HISTORIAL!$E$5:$E$2004,$A7,HISTORIAL!$F$5:$F$2004,"Bilbo",HISTORIAL!$G$5:$G$2004,$B7)=0,"",INDEX(HISTORIAL!$K$5:$K$2004,_xlfn.MAXIFS(HISTORIAL!$A$5:$A$2004,HISTORIAL!$E$5:$E$2004,$A7,HISTORIAL!$F$5:$F$2004,"Bilbo",HISTORIAL!$G$5:$G$2004,$B7))))</f>
        <v/>
      </c>
      <c r="J7" s="18" t="n">
        <f aca="false">IF($A7="","",COUNTIFS(HISTORIAL!$E$5:$E$2004,$A7,HISTORIAL!$F$5:$F$2004,"Bilbo",HISTORIAL!$G$5:$G$2004,$B7))</f>
        <v>0</v>
      </c>
      <c r="K7" s="27" t="str">
        <f aca="false">IF($A7="","",IF(J7=0,"",_xlfn.MAXIFS(HISTORIAL!$J$5:$J$2004,HISTORIAL!$E$5:$E$2004,$A7,HISTORIAL!$F$5:$F$2004,"Bilbo",HISTORIAL!$G$5:$G$2004,$B7)))</f>
        <v/>
      </c>
      <c r="L7" s="18" t="str">
        <f aca="false">IF($A7="","",IF(J7=0,"",_xlfn.MAXIFS(HISTORIAL!$K$5:$K$2004,HISTORIAL!$E$5:$E$2004,$A7,HISTORIAL!$F$5:$F$2004,"Bilbo",HISTORIAL!$G$5:$G$2004,$B7,HISTORIAL!$J$5:$J$2004,K7)))</f>
        <v/>
      </c>
      <c r="M7" s="27" t="str">
        <f aca="false">IF($A7="","",IF(J7=0,"",_xlfn.MAXIFS(HISTORIAL!$T$5:$T$2004,HISTORIAL!$E$5:$E$2004,$A7,HISTORIAL!$F$5:$F$2004,"Bilbo",HISTORIAL!$G$5:$G$2004,$B7)))</f>
        <v/>
      </c>
      <c r="N7" s="27" t="str">
        <f aca="false">IF($A7="","",IF(J7=0,"",H7-E7))</f>
        <v/>
      </c>
      <c r="O7" s="27" t="str">
        <f aca="false">IF($A7="","",IF(COUNTIFS($A$6:$A$105,$A7,$B$6:$B$105,$B7-1)=0,"",SUMIFS($E$6:$E$105,$A$6:$A$105,$A7,$B$6:$B$105,$B7-1)))</f>
        <v/>
      </c>
      <c r="P7" s="18" t="str">
        <f aca="false">IF($A7="","",IF(OR(O7="",NOT(ISNUMBER(E7))),"—",IF(E7&gt;O7,"OK","ERROR: debe ser &gt; "&amp;O7)))</f>
        <v>—</v>
      </c>
      <c r="Q7" s="18" t="str">
        <f aca="false">IF($A7="","",IF(OR(O7="",NOT(ISNUMBER(E7))),"",IF(_xlfn.MAXIFS(HISTORIAL!$K$5:$K$2004,HISTORIAL!$E$5:$E$2004,$A7,HISTORIAL!$F$5:$F$2004,"Bilbo",HISTORIAL!$G$5:$G$2004,$B7-1,HISTORIAL!$J$5:$J$2004,E7)=0,"sin dato comparable",_xlfn.MAXIFS(HISTORIAL!$K$5:$K$2004,HISTORIAL!$E$5:$E$2004,$A7,HISTORIAL!$F$5:$F$2004,"Bilbo",HISTORIAL!$G$5:$G$2004,$B7-1,HISTORIAL!$J$5:$J$2004,E7))))</f>
        <v/>
      </c>
      <c r="R7" s="18" t="str">
        <f aca="false">IF($A7="","",IF(AND(ISNUMBER(Q7),ISNUMBER(F7)),F7-Q7,""))</f>
        <v/>
      </c>
      <c r="S7" s="27" t="n">
        <f aca="false">IF($A7="","",SUMIFS(HISTORIAL!$R$5:$R$2004,HISTORIAL!$E$5:$E$2004,$A7,HISTORIAL!$F$5:$F$2004,"Bilbo",HISTORIAL!$G$5:$G$2004,$B7)+SUMIFS(HISTORIAL!$R$5:$R$2004,HISTORIAL!$E$5:$E$2004,$A7,HISTORIAL!$F$5:$F$2004,"Post-Bilbo",HISTORIAL!$G$5:$G$2004,$B7))</f>
        <v>0</v>
      </c>
      <c r="T7" s="27" t="str">
        <f aca="false">IF($A7="","",IF(NOT(ISNUMBER(E7)),"",MAX(E7+INDEX(CONFIGURACIÓN!$H$42:$H$56,MATCH($A7,CONFIGURACIÓN!$B$42:$B$56,0)),-INT(-E7*(1+CONFIGURACIÓN!$C$17)/(INDEX(CONFIGURACIÓN!$H$42:$H$56,MATCH($A7,CONFIGURACIÓN!$B$42:$B$56,0))))*(INDEX(CONFIGURACIÓN!$H$42:$H$56,MATCH($A7,CONFIGURACIÓN!$B$42:$B$56,0))))))</f>
        <v/>
      </c>
      <c r="U7" s="13"/>
      <c r="V7" s="18" t="str">
        <f aca="false">IF($A7="","",IF(U7="","",IF(NOT(ISNUMBER(E7)),"sin carga inicial registrada",IF(U7&gt;E7,"OK","ERROR: debe ser &gt; "&amp;E7))))</f>
        <v/>
      </c>
      <c r="W7" s="11" t="s">
        <v>471</v>
      </c>
    </row>
    <row r="8" customFormat="false" ht="23.25" hidden="false" customHeight="true" outlineLevel="0" collapsed="false">
      <c r="A8" s="11" t="s">
        <v>283</v>
      </c>
      <c r="B8" s="11" t="n">
        <v>1</v>
      </c>
      <c r="C8" s="11" t="s">
        <v>470</v>
      </c>
      <c r="D8" s="28" t="str">
        <f aca="false">IF($A8="","",IF(_xlfn.MINIFS(HISTORIAL!$A$5:$A$2004,HISTORIAL!$E$5:$E$2004,$A8,HISTORIAL!$F$5:$F$2004,"Bilbo",HISTORIAL!$G$5:$G$2004,$B8)=0,"",INDEX(HISTORIAL!$B$5:$B$2004,_xlfn.MINIFS(HISTORIAL!$A$5:$A$2004,HISTORIAL!$E$5:$E$2004,$A8,HISTORIAL!$F$5:$F$2004,"Bilbo",HISTORIAL!$G$5:$G$2004,$B8))))</f>
        <v/>
      </c>
      <c r="E8" s="27" t="str">
        <f aca="false">IF($A8="","",IF(_xlfn.MINIFS(HISTORIAL!$A$5:$A$2004,HISTORIAL!$E$5:$E$2004,$A8,HISTORIAL!$F$5:$F$2004,"Bilbo",HISTORIAL!$G$5:$G$2004,$B8)=0,"",INDEX(HISTORIAL!$J$5:$J$2004,_xlfn.MINIFS(HISTORIAL!$A$5:$A$2004,HISTORIAL!$E$5:$E$2004,$A8,HISTORIAL!$F$5:$F$2004,"Bilbo",HISTORIAL!$G$5:$G$2004,$B8))))</f>
        <v/>
      </c>
      <c r="F8" s="18" t="str">
        <f aca="false">IF($A8="","",IF(_xlfn.MINIFS(HISTORIAL!$A$5:$A$2004,HISTORIAL!$E$5:$E$2004,$A8,HISTORIAL!$F$5:$F$2004,"Bilbo",HISTORIAL!$G$5:$G$2004,$B8)=0,"",INDEX(HISTORIAL!$K$5:$K$2004,_xlfn.MINIFS(HISTORIAL!$A$5:$A$2004,HISTORIAL!$E$5:$E$2004,$A8,HISTORIAL!$F$5:$F$2004,"Bilbo",HISTORIAL!$G$5:$G$2004,$B8))))</f>
        <v/>
      </c>
      <c r="G8" s="28" t="str">
        <f aca="false">IF($A8="","",IF(_xlfn.MAXIFS(HISTORIAL!$A$5:$A$2004,HISTORIAL!$E$5:$E$2004,$A8,HISTORIAL!$F$5:$F$2004,"Bilbo",HISTORIAL!$G$5:$G$2004,$B8)=0,"",INDEX(HISTORIAL!$B$5:$B$2004,_xlfn.MAXIFS(HISTORIAL!$A$5:$A$2004,HISTORIAL!$E$5:$E$2004,$A8,HISTORIAL!$F$5:$F$2004,"Bilbo",HISTORIAL!$G$5:$G$2004,$B8))))</f>
        <v/>
      </c>
      <c r="H8" s="27" t="str">
        <f aca="false">IF($A8="","",IF(_xlfn.MAXIFS(HISTORIAL!$A$5:$A$2004,HISTORIAL!$E$5:$E$2004,$A8,HISTORIAL!$F$5:$F$2004,"Bilbo",HISTORIAL!$G$5:$G$2004,$B8)=0,"",INDEX(HISTORIAL!$J$5:$J$2004,_xlfn.MAXIFS(HISTORIAL!$A$5:$A$2004,HISTORIAL!$E$5:$E$2004,$A8,HISTORIAL!$F$5:$F$2004,"Bilbo",HISTORIAL!$G$5:$G$2004,$B8))))</f>
        <v/>
      </c>
      <c r="I8" s="18" t="str">
        <f aca="false">IF($A8="","",IF(_xlfn.MAXIFS(HISTORIAL!$A$5:$A$2004,HISTORIAL!$E$5:$E$2004,$A8,HISTORIAL!$F$5:$F$2004,"Bilbo",HISTORIAL!$G$5:$G$2004,$B8)=0,"",INDEX(HISTORIAL!$K$5:$K$2004,_xlfn.MAXIFS(HISTORIAL!$A$5:$A$2004,HISTORIAL!$E$5:$E$2004,$A8,HISTORIAL!$F$5:$F$2004,"Bilbo",HISTORIAL!$G$5:$G$2004,$B8))))</f>
        <v/>
      </c>
      <c r="J8" s="18" t="n">
        <f aca="false">IF($A8="","",COUNTIFS(HISTORIAL!$E$5:$E$2004,$A8,HISTORIAL!$F$5:$F$2004,"Bilbo",HISTORIAL!$G$5:$G$2004,$B8))</f>
        <v>0</v>
      </c>
      <c r="K8" s="27" t="str">
        <f aca="false">IF($A8="","",IF(J8=0,"",_xlfn.MAXIFS(HISTORIAL!$J$5:$J$2004,HISTORIAL!$E$5:$E$2004,$A8,HISTORIAL!$F$5:$F$2004,"Bilbo",HISTORIAL!$G$5:$G$2004,$B8)))</f>
        <v/>
      </c>
      <c r="L8" s="18" t="str">
        <f aca="false">IF($A8="","",IF(J8=0,"",_xlfn.MAXIFS(HISTORIAL!$K$5:$K$2004,HISTORIAL!$E$5:$E$2004,$A8,HISTORIAL!$F$5:$F$2004,"Bilbo",HISTORIAL!$G$5:$G$2004,$B8,HISTORIAL!$J$5:$J$2004,K8)))</f>
        <v/>
      </c>
      <c r="M8" s="27" t="str">
        <f aca="false">IF($A8="","",IF(J8=0,"",_xlfn.MAXIFS(HISTORIAL!$T$5:$T$2004,HISTORIAL!$E$5:$E$2004,$A8,HISTORIAL!$F$5:$F$2004,"Bilbo",HISTORIAL!$G$5:$G$2004,$B8)))</f>
        <v/>
      </c>
      <c r="N8" s="27" t="str">
        <f aca="false">IF($A8="","",IF(J8=0,"",H8-E8))</f>
        <v/>
      </c>
      <c r="O8" s="27" t="str">
        <f aca="false">IF($A8="","",IF(COUNTIFS($A$6:$A$105,$A8,$B$6:$B$105,$B8-1)=0,"",SUMIFS($E$6:$E$105,$A$6:$A$105,$A8,$B$6:$B$105,$B8-1)))</f>
        <v/>
      </c>
      <c r="P8" s="18" t="str">
        <f aca="false">IF($A8="","",IF(OR(O8="",NOT(ISNUMBER(E8))),"—",IF(E8&gt;O8,"OK","ERROR: debe ser &gt; "&amp;O8)))</f>
        <v>—</v>
      </c>
      <c r="Q8" s="18" t="str">
        <f aca="false">IF($A8="","",IF(OR(O8="",NOT(ISNUMBER(E8))),"",IF(_xlfn.MAXIFS(HISTORIAL!$K$5:$K$2004,HISTORIAL!$E$5:$E$2004,$A8,HISTORIAL!$F$5:$F$2004,"Bilbo",HISTORIAL!$G$5:$G$2004,$B8-1,HISTORIAL!$J$5:$J$2004,E8)=0,"sin dato comparable",_xlfn.MAXIFS(HISTORIAL!$K$5:$K$2004,HISTORIAL!$E$5:$E$2004,$A8,HISTORIAL!$F$5:$F$2004,"Bilbo",HISTORIAL!$G$5:$G$2004,$B8-1,HISTORIAL!$J$5:$J$2004,E8))))</f>
        <v/>
      </c>
      <c r="R8" s="18" t="str">
        <f aca="false">IF($A8="","",IF(AND(ISNUMBER(Q8),ISNUMBER(F8)),F8-Q8,""))</f>
        <v/>
      </c>
      <c r="S8" s="27" t="n">
        <f aca="false">IF($A8="","",SUMIFS(HISTORIAL!$R$5:$R$2004,HISTORIAL!$E$5:$E$2004,$A8,HISTORIAL!$F$5:$F$2004,"Bilbo",HISTORIAL!$G$5:$G$2004,$B8)+SUMIFS(HISTORIAL!$R$5:$R$2004,HISTORIAL!$E$5:$E$2004,$A8,HISTORIAL!$F$5:$F$2004,"Post-Bilbo",HISTORIAL!$G$5:$G$2004,$B8))</f>
        <v>0</v>
      </c>
      <c r="T8" s="27" t="str">
        <f aca="false">IF($A8="","",IF(NOT(ISNUMBER(E8)),"",MAX(E8+INDEX(CONFIGURACIÓN!$H$42:$H$56,MATCH($A8,CONFIGURACIÓN!$B$42:$B$56,0)),-INT(-E8*(1+CONFIGURACIÓN!$C$17)/(INDEX(CONFIGURACIÓN!$H$42:$H$56,MATCH($A8,CONFIGURACIÓN!$B$42:$B$56,0))))*(INDEX(CONFIGURACIÓN!$H$42:$H$56,MATCH($A8,CONFIGURACIÓN!$B$42:$B$56,0))))))</f>
        <v/>
      </c>
      <c r="U8" s="13"/>
      <c r="V8" s="18" t="str">
        <f aca="false">IF($A8="","",IF(U8="","",IF(NOT(ISNUMBER(E8)),"sin carga inicial registrada",IF(U8&gt;E8,"OK","ERROR: debe ser &gt; "&amp;E8))))</f>
        <v/>
      </c>
      <c r="W8" s="11" t="s">
        <v>471</v>
      </c>
    </row>
    <row r="9" customFormat="false" ht="15" hidden="false" customHeight="true" outlineLevel="0" collapsed="false">
      <c r="A9" s="11"/>
      <c r="B9" s="11"/>
      <c r="C9" s="11"/>
      <c r="D9" s="28" t="str">
        <f aca="false">IF($A9="","",IF(_xlfn.MINIFS(HISTORIAL!$A$5:$A$2004,HISTORIAL!$E$5:$E$2004,$A9,HISTORIAL!$F$5:$F$2004,"Bilbo",HISTORIAL!$G$5:$G$2004,$B9)=0,"",INDEX(HISTORIAL!$B$5:$B$2004,_xlfn.MINIFS(HISTORIAL!$A$5:$A$2004,HISTORIAL!$E$5:$E$2004,$A9,HISTORIAL!$F$5:$F$2004,"Bilbo",HISTORIAL!$G$5:$G$2004,$B9))))</f>
        <v/>
      </c>
      <c r="E9" s="27" t="str">
        <f aca="false">IF($A9="","",IF(_xlfn.MINIFS(HISTORIAL!$A$5:$A$2004,HISTORIAL!$E$5:$E$2004,$A9,HISTORIAL!$F$5:$F$2004,"Bilbo",HISTORIAL!$G$5:$G$2004,$B9)=0,"",INDEX(HISTORIAL!$J$5:$J$2004,_xlfn.MINIFS(HISTORIAL!$A$5:$A$2004,HISTORIAL!$E$5:$E$2004,$A9,HISTORIAL!$F$5:$F$2004,"Bilbo",HISTORIAL!$G$5:$G$2004,$B9))))</f>
        <v/>
      </c>
      <c r="F9" s="18" t="str">
        <f aca="false">IF($A9="","",IF(_xlfn.MINIFS(HISTORIAL!$A$5:$A$2004,HISTORIAL!$E$5:$E$2004,$A9,HISTORIAL!$F$5:$F$2004,"Bilbo",HISTORIAL!$G$5:$G$2004,$B9)=0,"",INDEX(HISTORIAL!$K$5:$K$2004,_xlfn.MINIFS(HISTORIAL!$A$5:$A$2004,HISTORIAL!$E$5:$E$2004,$A9,HISTORIAL!$F$5:$F$2004,"Bilbo",HISTORIAL!$G$5:$G$2004,$B9))))</f>
        <v/>
      </c>
      <c r="G9" s="28" t="str">
        <f aca="false">IF($A9="","",IF(_xlfn.MAXIFS(HISTORIAL!$A$5:$A$2004,HISTORIAL!$E$5:$E$2004,$A9,HISTORIAL!$F$5:$F$2004,"Bilbo",HISTORIAL!$G$5:$G$2004,$B9)=0,"",INDEX(HISTORIAL!$B$5:$B$2004,_xlfn.MAXIFS(HISTORIAL!$A$5:$A$2004,HISTORIAL!$E$5:$E$2004,$A9,HISTORIAL!$F$5:$F$2004,"Bilbo",HISTORIAL!$G$5:$G$2004,$B9))))</f>
        <v/>
      </c>
      <c r="H9" s="27" t="str">
        <f aca="false">IF($A9="","",IF(_xlfn.MAXIFS(HISTORIAL!$A$5:$A$2004,HISTORIAL!$E$5:$E$2004,$A9,HISTORIAL!$F$5:$F$2004,"Bilbo",HISTORIAL!$G$5:$G$2004,$B9)=0,"",INDEX(HISTORIAL!$J$5:$J$2004,_xlfn.MAXIFS(HISTORIAL!$A$5:$A$2004,HISTORIAL!$E$5:$E$2004,$A9,HISTORIAL!$F$5:$F$2004,"Bilbo",HISTORIAL!$G$5:$G$2004,$B9))))</f>
        <v/>
      </c>
      <c r="I9" s="18" t="str">
        <f aca="false">IF($A9="","",IF(_xlfn.MAXIFS(HISTORIAL!$A$5:$A$2004,HISTORIAL!$E$5:$E$2004,$A9,HISTORIAL!$F$5:$F$2004,"Bilbo",HISTORIAL!$G$5:$G$2004,$B9)=0,"",INDEX(HISTORIAL!$K$5:$K$2004,_xlfn.MAXIFS(HISTORIAL!$A$5:$A$2004,HISTORIAL!$E$5:$E$2004,$A9,HISTORIAL!$F$5:$F$2004,"Bilbo",HISTORIAL!$G$5:$G$2004,$B9))))</f>
        <v/>
      </c>
      <c r="J9" s="18" t="str">
        <f aca="false">IF($A9="","",COUNTIFS(HISTORIAL!$E$5:$E$2004,$A9,HISTORIAL!$F$5:$F$2004,"Bilbo",HISTORIAL!$G$5:$G$2004,$B9))</f>
        <v/>
      </c>
      <c r="K9" s="27" t="str">
        <f aca="false">IF($A9="","",IF(J9=0,"",_xlfn.MAXIFS(HISTORIAL!$J$5:$J$2004,HISTORIAL!$E$5:$E$2004,$A9,HISTORIAL!$F$5:$F$2004,"Bilbo",HISTORIAL!$G$5:$G$2004,$B9)))</f>
        <v/>
      </c>
      <c r="L9" s="18" t="str">
        <f aca="false">IF($A9="","",IF(J9=0,"",_xlfn.MAXIFS(HISTORIAL!$K$5:$K$2004,HISTORIAL!$E$5:$E$2004,$A9,HISTORIAL!$F$5:$F$2004,"Bilbo",HISTORIAL!$G$5:$G$2004,$B9,HISTORIAL!$J$5:$J$2004,K9)))</f>
        <v/>
      </c>
      <c r="M9" s="27" t="str">
        <f aca="false">IF($A9="","",IF(J9=0,"",_xlfn.MAXIFS(HISTORIAL!$T$5:$T$2004,HISTORIAL!$E$5:$E$2004,$A9,HISTORIAL!$F$5:$F$2004,"Bilbo",HISTORIAL!$G$5:$G$2004,$B9)))</f>
        <v/>
      </c>
      <c r="N9" s="27" t="str">
        <f aca="false">IF($A9="","",IF(J9=0,"",H9-E9))</f>
        <v/>
      </c>
      <c r="O9" s="27" t="str">
        <f aca="false">IF($A9="","",IF(COUNTIFS($A$6:$A$105,$A9,$B$6:$B$105,$B9-1)=0,"",SUMIFS($E$6:$E$105,$A$6:$A$105,$A9,$B$6:$B$105,$B9-1)))</f>
        <v/>
      </c>
      <c r="P9" s="18" t="str">
        <f aca="false">IF($A9="","",IF(OR(O9="",NOT(ISNUMBER(E9))),"—",IF(E9&gt;O9,"OK","ERROR: debe ser &gt; "&amp;O9)))</f>
        <v/>
      </c>
      <c r="Q9" s="18" t="str">
        <f aca="false">IF($A9="","",IF(OR(O9="",NOT(ISNUMBER(E9))),"",IF(_xlfn.MAXIFS(HISTORIAL!$K$5:$K$2004,HISTORIAL!$E$5:$E$2004,$A9,HISTORIAL!$F$5:$F$2004,"Bilbo",HISTORIAL!$G$5:$G$2004,$B9-1,HISTORIAL!$J$5:$J$2004,E9)=0,"sin dato comparable",_xlfn.MAXIFS(HISTORIAL!$K$5:$K$2004,HISTORIAL!$E$5:$E$2004,$A9,HISTORIAL!$F$5:$F$2004,"Bilbo",HISTORIAL!$G$5:$G$2004,$B9-1,HISTORIAL!$J$5:$J$2004,E9))))</f>
        <v/>
      </c>
      <c r="R9" s="18" t="str">
        <f aca="false">IF($A9="","",IF(AND(ISNUMBER(Q9),ISNUMBER(F9)),F9-Q9,""))</f>
        <v/>
      </c>
      <c r="S9" s="27" t="str">
        <f aca="false">IF($A9="","",SUMIFS(HISTORIAL!$R$5:$R$2004,HISTORIAL!$E$5:$E$2004,$A9,HISTORIAL!$F$5:$F$2004,"Bilbo",HISTORIAL!$G$5:$G$2004,$B9)+SUMIFS(HISTORIAL!$R$5:$R$2004,HISTORIAL!$E$5:$E$2004,$A9,HISTORIAL!$F$5:$F$2004,"Post-Bilbo",HISTORIAL!$G$5:$G$2004,$B9))</f>
        <v/>
      </c>
      <c r="T9" s="27" t="str">
        <f aca="false">IF($A9="","",IF(NOT(ISNUMBER(E9)),"",MAX(E9+INDEX(CONFIGURACIÓN!$H$42:$H$56,MATCH($A9,CONFIGURACIÓN!$B$42:$B$56,0)),-INT(-E9*(1+CONFIGURACIÓN!$C$17)/(INDEX(CONFIGURACIÓN!$H$42:$H$56,MATCH($A9,CONFIGURACIÓN!$B$42:$B$56,0))))*(INDEX(CONFIGURACIÓN!$H$42:$H$56,MATCH($A9,CONFIGURACIÓN!$B$42:$B$56,0))))))</f>
        <v/>
      </c>
      <c r="U9" s="13"/>
      <c r="V9" s="18" t="str">
        <f aca="false">IF($A9="","",IF(U9="","",IF(NOT(ISNUMBER(E9)),"sin carga inicial registrada",IF(U9&gt;E9,"OK","ERROR: debe ser &gt; "&amp;E9))))</f>
        <v/>
      </c>
      <c r="W9" s="11"/>
    </row>
    <row r="10" customFormat="false" ht="15" hidden="false" customHeight="true" outlineLevel="0" collapsed="false">
      <c r="A10" s="11"/>
      <c r="B10" s="11"/>
      <c r="C10" s="11"/>
      <c r="D10" s="28" t="str">
        <f aca="false">IF($A10="","",IF(_xlfn.MINIFS(HISTORIAL!$A$5:$A$2004,HISTORIAL!$E$5:$E$2004,$A10,HISTORIAL!$F$5:$F$2004,"Bilbo",HISTORIAL!$G$5:$G$2004,$B10)=0,"",INDEX(HISTORIAL!$B$5:$B$2004,_xlfn.MINIFS(HISTORIAL!$A$5:$A$2004,HISTORIAL!$E$5:$E$2004,$A10,HISTORIAL!$F$5:$F$2004,"Bilbo",HISTORIAL!$G$5:$G$2004,$B10))))</f>
        <v/>
      </c>
      <c r="E10" s="27" t="str">
        <f aca="false">IF($A10="","",IF(_xlfn.MINIFS(HISTORIAL!$A$5:$A$2004,HISTORIAL!$E$5:$E$2004,$A10,HISTORIAL!$F$5:$F$2004,"Bilbo",HISTORIAL!$G$5:$G$2004,$B10)=0,"",INDEX(HISTORIAL!$J$5:$J$2004,_xlfn.MINIFS(HISTORIAL!$A$5:$A$2004,HISTORIAL!$E$5:$E$2004,$A10,HISTORIAL!$F$5:$F$2004,"Bilbo",HISTORIAL!$G$5:$G$2004,$B10))))</f>
        <v/>
      </c>
      <c r="F10" s="18" t="str">
        <f aca="false">IF($A10="","",IF(_xlfn.MINIFS(HISTORIAL!$A$5:$A$2004,HISTORIAL!$E$5:$E$2004,$A10,HISTORIAL!$F$5:$F$2004,"Bilbo",HISTORIAL!$G$5:$G$2004,$B10)=0,"",INDEX(HISTORIAL!$K$5:$K$2004,_xlfn.MINIFS(HISTORIAL!$A$5:$A$2004,HISTORIAL!$E$5:$E$2004,$A10,HISTORIAL!$F$5:$F$2004,"Bilbo",HISTORIAL!$G$5:$G$2004,$B10))))</f>
        <v/>
      </c>
      <c r="G10" s="28" t="str">
        <f aca="false">IF($A10="","",IF(_xlfn.MAXIFS(HISTORIAL!$A$5:$A$2004,HISTORIAL!$E$5:$E$2004,$A10,HISTORIAL!$F$5:$F$2004,"Bilbo",HISTORIAL!$G$5:$G$2004,$B10)=0,"",INDEX(HISTORIAL!$B$5:$B$2004,_xlfn.MAXIFS(HISTORIAL!$A$5:$A$2004,HISTORIAL!$E$5:$E$2004,$A10,HISTORIAL!$F$5:$F$2004,"Bilbo",HISTORIAL!$G$5:$G$2004,$B10))))</f>
        <v/>
      </c>
      <c r="H10" s="27" t="str">
        <f aca="false">IF($A10="","",IF(_xlfn.MAXIFS(HISTORIAL!$A$5:$A$2004,HISTORIAL!$E$5:$E$2004,$A10,HISTORIAL!$F$5:$F$2004,"Bilbo",HISTORIAL!$G$5:$G$2004,$B10)=0,"",INDEX(HISTORIAL!$J$5:$J$2004,_xlfn.MAXIFS(HISTORIAL!$A$5:$A$2004,HISTORIAL!$E$5:$E$2004,$A10,HISTORIAL!$F$5:$F$2004,"Bilbo",HISTORIAL!$G$5:$G$2004,$B10))))</f>
        <v/>
      </c>
      <c r="I10" s="18" t="str">
        <f aca="false">IF($A10="","",IF(_xlfn.MAXIFS(HISTORIAL!$A$5:$A$2004,HISTORIAL!$E$5:$E$2004,$A10,HISTORIAL!$F$5:$F$2004,"Bilbo",HISTORIAL!$G$5:$G$2004,$B10)=0,"",INDEX(HISTORIAL!$K$5:$K$2004,_xlfn.MAXIFS(HISTORIAL!$A$5:$A$2004,HISTORIAL!$E$5:$E$2004,$A10,HISTORIAL!$F$5:$F$2004,"Bilbo",HISTORIAL!$G$5:$G$2004,$B10))))</f>
        <v/>
      </c>
      <c r="J10" s="18" t="str">
        <f aca="false">IF($A10="","",COUNTIFS(HISTORIAL!$E$5:$E$2004,$A10,HISTORIAL!$F$5:$F$2004,"Bilbo",HISTORIAL!$G$5:$G$2004,$B10))</f>
        <v/>
      </c>
      <c r="K10" s="27" t="str">
        <f aca="false">IF($A10="","",IF(J10=0,"",_xlfn.MAXIFS(HISTORIAL!$J$5:$J$2004,HISTORIAL!$E$5:$E$2004,$A10,HISTORIAL!$F$5:$F$2004,"Bilbo",HISTORIAL!$G$5:$G$2004,$B10)))</f>
        <v/>
      </c>
      <c r="L10" s="18" t="str">
        <f aca="false">IF($A10="","",IF(J10=0,"",_xlfn.MAXIFS(HISTORIAL!$K$5:$K$2004,HISTORIAL!$E$5:$E$2004,$A10,HISTORIAL!$F$5:$F$2004,"Bilbo",HISTORIAL!$G$5:$G$2004,$B10,HISTORIAL!$J$5:$J$2004,K10)))</f>
        <v/>
      </c>
      <c r="M10" s="27" t="str">
        <f aca="false">IF($A10="","",IF(J10=0,"",_xlfn.MAXIFS(HISTORIAL!$T$5:$T$2004,HISTORIAL!$E$5:$E$2004,$A10,HISTORIAL!$F$5:$F$2004,"Bilbo",HISTORIAL!$G$5:$G$2004,$B10)))</f>
        <v/>
      </c>
      <c r="N10" s="27" t="str">
        <f aca="false">IF($A10="","",IF(J10=0,"",H10-E10))</f>
        <v/>
      </c>
      <c r="O10" s="27" t="str">
        <f aca="false">IF($A10="","",IF(COUNTIFS($A$6:$A$105,$A10,$B$6:$B$105,$B10-1)=0,"",SUMIFS($E$6:$E$105,$A$6:$A$105,$A10,$B$6:$B$105,$B10-1)))</f>
        <v/>
      </c>
      <c r="P10" s="18" t="str">
        <f aca="false">IF($A10="","",IF(OR(O10="",NOT(ISNUMBER(E10))),"—",IF(E10&gt;O10,"OK","ERROR: debe ser &gt; "&amp;O10)))</f>
        <v/>
      </c>
      <c r="Q10" s="18" t="str">
        <f aca="false">IF($A10="","",IF(OR(O10="",NOT(ISNUMBER(E10))),"",IF(_xlfn.MAXIFS(HISTORIAL!$K$5:$K$2004,HISTORIAL!$E$5:$E$2004,$A10,HISTORIAL!$F$5:$F$2004,"Bilbo",HISTORIAL!$G$5:$G$2004,$B10-1,HISTORIAL!$J$5:$J$2004,E10)=0,"sin dato comparable",_xlfn.MAXIFS(HISTORIAL!$K$5:$K$2004,HISTORIAL!$E$5:$E$2004,$A10,HISTORIAL!$F$5:$F$2004,"Bilbo",HISTORIAL!$G$5:$G$2004,$B10-1,HISTORIAL!$J$5:$J$2004,E10))))</f>
        <v/>
      </c>
      <c r="R10" s="18" t="str">
        <f aca="false">IF($A10="","",IF(AND(ISNUMBER(Q10),ISNUMBER(F10)),F10-Q10,""))</f>
        <v/>
      </c>
      <c r="S10" s="27" t="str">
        <f aca="false">IF($A10="","",SUMIFS(HISTORIAL!$R$5:$R$2004,HISTORIAL!$E$5:$E$2004,$A10,HISTORIAL!$F$5:$F$2004,"Bilbo",HISTORIAL!$G$5:$G$2004,$B10)+SUMIFS(HISTORIAL!$R$5:$R$2004,HISTORIAL!$E$5:$E$2004,$A10,HISTORIAL!$F$5:$F$2004,"Post-Bilbo",HISTORIAL!$G$5:$G$2004,$B10))</f>
        <v/>
      </c>
      <c r="T10" s="27" t="str">
        <f aca="false">IF($A10="","",IF(NOT(ISNUMBER(E10)),"",MAX(E10+INDEX(CONFIGURACIÓN!$H$42:$H$56,MATCH($A10,CONFIGURACIÓN!$B$42:$B$56,0)),-INT(-E10*(1+CONFIGURACIÓN!$C$17)/(INDEX(CONFIGURACIÓN!$H$42:$H$56,MATCH($A10,CONFIGURACIÓN!$B$42:$B$56,0))))*(INDEX(CONFIGURACIÓN!$H$42:$H$56,MATCH($A10,CONFIGURACIÓN!$B$42:$B$56,0))))))</f>
        <v/>
      </c>
      <c r="U10" s="13"/>
      <c r="V10" s="18" t="str">
        <f aca="false">IF($A10="","",IF(U10="","",IF(NOT(ISNUMBER(E10)),"sin carga inicial registrada",IF(U10&gt;E10,"OK","ERROR: debe ser &gt; "&amp;E10))))</f>
        <v/>
      </c>
      <c r="W10" s="11"/>
    </row>
    <row r="11" customFormat="false" ht="15" hidden="false" customHeight="true" outlineLevel="0" collapsed="false">
      <c r="A11" s="11"/>
      <c r="B11" s="11"/>
      <c r="C11" s="11"/>
      <c r="D11" s="28" t="str">
        <f aca="false">IF($A11="","",IF(_xlfn.MINIFS(HISTORIAL!$A$5:$A$2004,HISTORIAL!$E$5:$E$2004,$A11,HISTORIAL!$F$5:$F$2004,"Bilbo",HISTORIAL!$G$5:$G$2004,$B11)=0,"",INDEX(HISTORIAL!$B$5:$B$2004,_xlfn.MINIFS(HISTORIAL!$A$5:$A$2004,HISTORIAL!$E$5:$E$2004,$A11,HISTORIAL!$F$5:$F$2004,"Bilbo",HISTORIAL!$G$5:$G$2004,$B11))))</f>
        <v/>
      </c>
      <c r="E11" s="27" t="str">
        <f aca="false">IF($A11="","",IF(_xlfn.MINIFS(HISTORIAL!$A$5:$A$2004,HISTORIAL!$E$5:$E$2004,$A11,HISTORIAL!$F$5:$F$2004,"Bilbo",HISTORIAL!$G$5:$G$2004,$B11)=0,"",INDEX(HISTORIAL!$J$5:$J$2004,_xlfn.MINIFS(HISTORIAL!$A$5:$A$2004,HISTORIAL!$E$5:$E$2004,$A11,HISTORIAL!$F$5:$F$2004,"Bilbo",HISTORIAL!$G$5:$G$2004,$B11))))</f>
        <v/>
      </c>
      <c r="F11" s="18" t="str">
        <f aca="false">IF($A11="","",IF(_xlfn.MINIFS(HISTORIAL!$A$5:$A$2004,HISTORIAL!$E$5:$E$2004,$A11,HISTORIAL!$F$5:$F$2004,"Bilbo",HISTORIAL!$G$5:$G$2004,$B11)=0,"",INDEX(HISTORIAL!$K$5:$K$2004,_xlfn.MINIFS(HISTORIAL!$A$5:$A$2004,HISTORIAL!$E$5:$E$2004,$A11,HISTORIAL!$F$5:$F$2004,"Bilbo",HISTORIAL!$G$5:$G$2004,$B11))))</f>
        <v/>
      </c>
      <c r="G11" s="28" t="str">
        <f aca="false">IF($A11="","",IF(_xlfn.MAXIFS(HISTORIAL!$A$5:$A$2004,HISTORIAL!$E$5:$E$2004,$A11,HISTORIAL!$F$5:$F$2004,"Bilbo",HISTORIAL!$G$5:$G$2004,$B11)=0,"",INDEX(HISTORIAL!$B$5:$B$2004,_xlfn.MAXIFS(HISTORIAL!$A$5:$A$2004,HISTORIAL!$E$5:$E$2004,$A11,HISTORIAL!$F$5:$F$2004,"Bilbo",HISTORIAL!$G$5:$G$2004,$B11))))</f>
        <v/>
      </c>
      <c r="H11" s="27" t="str">
        <f aca="false">IF($A11="","",IF(_xlfn.MAXIFS(HISTORIAL!$A$5:$A$2004,HISTORIAL!$E$5:$E$2004,$A11,HISTORIAL!$F$5:$F$2004,"Bilbo",HISTORIAL!$G$5:$G$2004,$B11)=0,"",INDEX(HISTORIAL!$J$5:$J$2004,_xlfn.MAXIFS(HISTORIAL!$A$5:$A$2004,HISTORIAL!$E$5:$E$2004,$A11,HISTORIAL!$F$5:$F$2004,"Bilbo",HISTORIAL!$G$5:$G$2004,$B11))))</f>
        <v/>
      </c>
      <c r="I11" s="18" t="str">
        <f aca="false">IF($A11="","",IF(_xlfn.MAXIFS(HISTORIAL!$A$5:$A$2004,HISTORIAL!$E$5:$E$2004,$A11,HISTORIAL!$F$5:$F$2004,"Bilbo",HISTORIAL!$G$5:$G$2004,$B11)=0,"",INDEX(HISTORIAL!$K$5:$K$2004,_xlfn.MAXIFS(HISTORIAL!$A$5:$A$2004,HISTORIAL!$E$5:$E$2004,$A11,HISTORIAL!$F$5:$F$2004,"Bilbo",HISTORIAL!$G$5:$G$2004,$B11))))</f>
        <v/>
      </c>
      <c r="J11" s="18" t="str">
        <f aca="false">IF($A11="","",COUNTIFS(HISTORIAL!$E$5:$E$2004,$A11,HISTORIAL!$F$5:$F$2004,"Bilbo",HISTORIAL!$G$5:$G$2004,$B11))</f>
        <v/>
      </c>
      <c r="K11" s="27" t="str">
        <f aca="false">IF($A11="","",IF(J11=0,"",_xlfn.MAXIFS(HISTORIAL!$J$5:$J$2004,HISTORIAL!$E$5:$E$2004,$A11,HISTORIAL!$F$5:$F$2004,"Bilbo",HISTORIAL!$G$5:$G$2004,$B11)))</f>
        <v/>
      </c>
      <c r="L11" s="18" t="str">
        <f aca="false">IF($A11="","",IF(J11=0,"",_xlfn.MAXIFS(HISTORIAL!$K$5:$K$2004,HISTORIAL!$E$5:$E$2004,$A11,HISTORIAL!$F$5:$F$2004,"Bilbo",HISTORIAL!$G$5:$G$2004,$B11,HISTORIAL!$J$5:$J$2004,K11)))</f>
        <v/>
      </c>
      <c r="M11" s="27" t="str">
        <f aca="false">IF($A11="","",IF(J11=0,"",_xlfn.MAXIFS(HISTORIAL!$T$5:$T$2004,HISTORIAL!$E$5:$E$2004,$A11,HISTORIAL!$F$5:$F$2004,"Bilbo",HISTORIAL!$G$5:$G$2004,$B11)))</f>
        <v/>
      </c>
      <c r="N11" s="27" t="str">
        <f aca="false">IF($A11="","",IF(J11=0,"",H11-E11))</f>
        <v/>
      </c>
      <c r="O11" s="27" t="str">
        <f aca="false">IF($A11="","",IF(COUNTIFS($A$6:$A$105,$A11,$B$6:$B$105,$B11-1)=0,"",SUMIFS($E$6:$E$105,$A$6:$A$105,$A11,$B$6:$B$105,$B11-1)))</f>
        <v/>
      </c>
      <c r="P11" s="18" t="str">
        <f aca="false">IF($A11="","",IF(OR(O11="",NOT(ISNUMBER(E11))),"—",IF(E11&gt;O11,"OK","ERROR: debe ser &gt; "&amp;O11)))</f>
        <v/>
      </c>
      <c r="Q11" s="18" t="str">
        <f aca="false">IF($A11="","",IF(OR(O11="",NOT(ISNUMBER(E11))),"",IF(_xlfn.MAXIFS(HISTORIAL!$K$5:$K$2004,HISTORIAL!$E$5:$E$2004,$A11,HISTORIAL!$F$5:$F$2004,"Bilbo",HISTORIAL!$G$5:$G$2004,$B11-1,HISTORIAL!$J$5:$J$2004,E11)=0,"sin dato comparable",_xlfn.MAXIFS(HISTORIAL!$K$5:$K$2004,HISTORIAL!$E$5:$E$2004,$A11,HISTORIAL!$F$5:$F$2004,"Bilbo",HISTORIAL!$G$5:$G$2004,$B11-1,HISTORIAL!$J$5:$J$2004,E11))))</f>
        <v/>
      </c>
      <c r="R11" s="18" t="str">
        <f aca="false">IF($A11="","",IF(AND(ISNUMBER(Q11),ISNUMBER(F11)),F11-Q11,""))</f>
        <v/>
      </c>
      <c r="S11" s="27" t="str">
        <f aca="false">IF($A11="","",SUMIFS(HISTORIAL!$R$5:$R$2004,HISTORIAL!$E$5:$E$2004,$A11,HISTORIAL!$F$5:$F$2004,"Bilbo",HISTORIAL!$G$5:$G$2004,$B11)+SUMIFS(HISTORIAL!$R$5:$R$2004,HISTORIAL!$E$5:$E$2004,$A11,HISTORIAL!$F$5:$F$2004,"Post-Bilbo",HISTORIAL!$G$5:$G$2004,$B11))</f>
        <v/>
      </c>
      <c r="T11" s="27" t="str">
        <f aca="false">IF($A11="","",IF(NOT(ISNUMBER(E11)),"",MAX(E11+INDEX(CONFIGURACIÓN!$H$42:$H$56,MATCH($A11,CONFIGURACIÓN!$B$42:$B$56,0)),-INT(-E11*(1+CONFIGURACIÓN!$C$17)/(INDEX(CONFIGURACIÓN!$H$42:$H$56,MATCH($A11,CONFIGURACIÓN!$B$42:$B$56,0))))*(INDEX(CONFIGURACIÓN!$H$42:$H$56,MATCH($A11,CONFIGURACIÓN!$B$42:$B$56,0))))))</f>
        <v/>
      </c>
      <c r="U11" s="13"/>
      <c r="V11" s="18" t="str">
        <f aca="false">IF($A11="","",IF(U11="","",IF(NOT(ISNUMBER(E11)),"sin carga inicial registrada",IF(U11&gt;E11,"OK","ERROR: debe ser &gt; "&amp;E11))))</f>
        <v/>
      </c>
      <c r="W11" s="11"/>
    </row>
    <row r="12" customFormat="false" ht="15" hidden="false" customHeight="true" outlineLevel="0" collapsed="false">
      <c r="A12" s="11"/>
      <c r="B12" s="11"/>
      <c r="C12" s="11"/>
      <c r="D12" s="28" t="str">
        <f aca="false">IF($A12="","",IF(_xlfn.MINIFS(HISTORIAL!$A$5:$A$2004,HISTORIAL!$E$5:$E$2004,$A12,HISTORIAL!$F$5:$F$2004,"Bilbo",HISTORIAL!$G$5:$G$2004,$B12)=0,"",INDEX(HISTORIAL!$B$5:$B$2004,_xlfn.MINIFS(HISTORIAL!$A$5:$A$2004,HISTORIAL!$E$5:$E$2004,$A12,HISTORIAL!$F$5:$F$2004,"Bilbo",HISTORIAL!$G$5:$G$2004,$B12))))</f>
        <v/>
      </c>
      <c r="E12" s="27" t="str">
        <f aca="false">IF($A12="","",IF(_xlfn.MINIFS(HISTORIAL!$A$5:$A$2004,HISTORIAL!$E$5:$E$2004,$A12,HISTORIAL!$F$5:$F$2004,"Bilbo",HISTORIAL!$G$5:$G$2004,$B12)=0,"",INDEX(HISTORIAL!$J$5:$J$2004,_xlfn.MINIFS(HISTORIAL!$A$5:$A$2004,HISTORIAL!$E$5:$E$2004,$A12,HISTORIAL!$F$5:$F$2004,"Bilbo",HISTORIAL!$G$5:$G$2004,$B12))))</f>
        <v/>
      </c>
      <c r="F12" s="18" t="str">
        <f aca="false">IF($A12="","",IF(_xlfn.MINIFS(HISTORIAL!$A$5:$A$2004,HISTORIAL!$E$5:$E$2004,$A12,HISTORIAL!$F$5:$F$2004,"Bilbo",HISTORIAL!$G$5:$G$2004,$B12)=0,"",INDEX(HISTORIAL!$K$5:$K$2004,_xlfn.MINIFS(HISTORIAL!$A$5:$A$2004,HISTORIAL!$E$5:$E$2004,$A12,HISTORIAL!$F$5:$F$2004,"Bilbo",HISTORIAL!$G$5:$G$2004,$B12))))</f>
        <v/>
      </c>
      <c r="G12" s="28" t="str">
        <f aca="false">IF($A12="","",IF(_xlfn.MAXIFS(HISTORIAL!$A$5:$A$2004,HISTORIAL!$E$5:$E$2004,$A12,HISTORIAL!$F$5:$F$2004,"Bilbo",HISTORIAL!$G$5:$G$2004,$B12)=0,"",INDEX(HISTORIAL!$B$5:$B$2004,_xlfn.MAXIFS(HISTORIAL!$A$5:$A$2004,HISTORIAL!$E$5:$E$2004,$A12,HISTORIAL!$F$5:$F$2004,"Bilbo",HISTORIAL!$G$5:$G$2004,$B12))))</f>
        <v/>
      </c>
      <c r="H12" s="27" t="str">
        <f aca="false">IF($A12="","",IF(_xlfn.MAXIFS(HISTORIAL!$A$5:$A$2004,HISTORIAL!$E$5:$E$2004,$A12,HISTORIAL!$F$5:$F$2004,"Bilbo",HISTORIAL!$G$5:$G$2004,$B12)=0,"",INDEX(HISTORIAL!$J$5:$J$2004,_xlfn.MAXIFS(HISTORIAL!$A$5:$A$2004,HISTORIAL!$E$5:$E$2004,$A12,HISTORIAL!$F$5:$F$2004,"Bilbo",HISTORIAL!$G$5:$G$2004,$B12))))</f>
        <v/>
      </c>
      <c r="I12" s="18" t="str">
        <f aca="false">IF($A12="","",IF(_xlfn.MAXIFS(HISTORIAL!$A$5:$A$2004,HISTORIAL!$E$5:$E$2004,$A12,HISTORIAL!$F$5:$F$2004,"Bilbo",HISTORIAL!$G$5:$G$2004,$B12)=0,"",INDEX(HISTORIAL!$K$5:$K$2004,_xlfn.MAXIFS(HISTORIAL!$A$5:$A$2004,HISTORIAL!$E$5:$E$2004,$A12,HISTORIAL!$F$5:$F$2004,"Bilbo",HISTORIAL!$G$5:$G$2004,$B12))))</f>
        <v/>
      </c>
      <c r="J12" s="18" t="str">
        <f aca="false">IF($A12="","",COUNTIFS(HISTORIAL!$E$5:$E$2004,$A12,HISTORIAL!$F$5:$F$2004,"Bilbo",HISTORIAL!$G$5:$G$2004,$B12))</f>
        <v/>
      </c>
      <c r="K12" s="27" t="str">
        <f aca="false">IF($A12="","",IF(J12=0,"",_xlfn.MAXIFS(HISTORIAL!$J$5:$J$2004,HISTORIAL!$E$5:$E$2004,$A12,HISTORIAL!$F$5:$F$2004,"Bilbo",HISTORIAL!$G$5:$G$2004,$B12)))</f>
        <v/>
      </c>
      <c r="L12" s="18" t="str">
        <f aca="false">IF($A12="","",IF(J12=0,"",_xlfn.MAXIFS(HISTORIAL!$K$5:$K$2004,HISTORIAL!$E$5:$E$2004,$A12,HISTORIAL!$F$5:$F$2004,"Bilbo",HISTORIAL!$G$5:$G$2004,$B12,HISTORIAL!$J$5:$J$2004,K12)))</f>
        <v/>
      </c>
      <c r="M12" s="27" t="str">
        <f aca="false">IF($A12="","",IF(J12=0,"",_xlfn.MAXIFS(HISTORIAL!$T$5:$T$2004,HISTORIAL!$E$5:$E$2004,$A12,HISTORIAL!$F$5:$F$2004,"Bilbo",HISTORIAL!$G$5:$G$2004,$B12)))</f>
        <v/>
      </c>
      <c r="N12" s="27" t="str">
        <f aca="false">IF($A12="","",IF(J12=0,"",H12-E12))</f>
        <v/>
      </c>
      <c r="O12" s="27" t="str">
        <f aca="false">IF($A12="","",IF(COUNTIFS($A$6:$A$105,$A12,$B$6:$B$105,$B12-1)=0,"",SUMIFS($E$6:$E$105,$A$6:$A$105,$A12,$B$6:$B$105,$B12-1)))</f>
        <v/>
      </c>
      <c r="P12" s="18" t="str">
        <f aca="false">IF($A12="","",IF(OR(O12="",NOT(ISNUMBER(E12))),"—",IF(E12&gt;O12,"OK","ERROR: debe ser &gt; "&amp;O12)))</f>
        <v/>
      </c>
      <c r="Q12" s="18" t="str">
        <f aca="false">IF($A12="","",IF(OR(O12="",NOT(ISNUMBER(E12))),"",IF(_xlfn.MAXIFS(HISTORIAL!$K$5:$K$2004,HISTORIAL!$E$5:$E$2004,$A12,HISTORIAL!$F$5:$F$2004,"Bilbo",HISTORIAL!$G$5:$G$2004,$B12-1,HISTORIAL!$J$5:$J$2004,E12)=0,"sin dato comparable",_xlfn.MAXIFS(HISTORIAL!$K$5:$K$2004,HISTORIAL!$E$5:$E$2004,$A12,HISTORIAL!$F$5:$F$2004,"Bilbo",HISTORIAL!$G$5:$G$2004,$B12-1,HISTORIAL!$J$5:$J$2004,E12))))</f>
        <v/>
      </c>
      <c r="R12" s="18" t="str">
        <f aca="false">IF($A12="","",IF(AND(ISNUMBER(Q12),ISNUMBER(F12)),F12-Q12,""))</f>
        <v/>
      </c>
      <c r="S12" s="27" t="str">
        <f aca="false">IF($A12="","",SUMIFS(HISTORIAL!$R$5:$R$2004,HISTORIAL!$E$5:$E$2004,$A12,HISTORIAL!$F$5:$F$2004,"Bilbo",HISTORIAL!$G$5:$G$2004,$B12)+SUMIFS(HISTORIAL!$R$5:$R$2004,HISTORIAL!$E$5:$E$2004,$A12,HISTORIAL!$F$5:$F$2004,"Post-Bilbo",HISTORIAL!$G$5:$G$2004,$B12))</f>
        <v/>
      </c>
      <c r="T12" s="27" t="str">
        <f aca="false">IF($A12="","",IF(NOT(ISNUMBER(E12)),"",MAX(E12+INDEX(CONFIGURACIÓN!$H$42:$H$56,MATCH($A12,CONFIGURACIÓN!$B$42:$B$56,0)),-INT(-E12*(1+CONFIGURACIÓN!$C$17)/(INDEX(CONFIGURACIÓN!$H$42:$H$56,MATCH($A12,CONFIGURACIÓN!$B$42:$B$56,0))))*(INDEX(CONFIGURACIÓN!$H$42:$H$56,MATCH($A12,CONFIGURACIÓN!$B$42:$B$56,0))))))</f>
        <v/>
      </c>
      <c r="U12" s="13"/>
      <c r="V12" s="18" t="str">
        <f aca="false">IF($A12="","",IF(U12="","",IF(NOT(ISNUMBER(E12)),"sin carga inicial registrada",IF(U12&gt;E12,"OK","ERROR: debe ser &gt; "&amp;E12))))</f>
        <v/>
      </c>
      <c r="W12" s="11"/>
    </row>
    <row r="13" customFormat="false" ht="15" hidden="false" customHeight="true" outlineLevel="0" collapsed="false">
      <c r="A13" s="11"/>
      <c r="B13" s="11"/>
      <c r="C13" s="11"/>
      <c r="D13" s="28" t="str">
        <f aca="false">IF($A13="","",IF(_xlfn.MINIFS(HISTORIAL!$A$5:$A$2004,HISTORIAL!$E$5:$E$2004,$A13,HISTORIAL!$F$5:$F$2004,"Bilbo",HISTORIAL!$G$5:$G$2004,$B13)=0,"",INDEX(HISTORIAL!$B$5:$B$2004,_xlfn.MINIFS(HISTORIAL!$A$5:$A$2004,HISTORIAL!$E$5:$E$2004,$A13,HISTORIAL!$F$5:$F$2004,"Bilbo",HISTORIAL!$G$5:$G$2004,$B13))))</f>
        <v/>
      </c>
      <c r="E13" s="27" t="str">
        <f aca="false">IF($A13="","",IF(_xlfn.MINIFS(HISTORIAL!$A$5:$A$2004,HISTORIAL!$E$5:$E$2004,$A13,HISTORIAL!$F$5:$F$2004,"Bilbo",HISTORIAL!$G$5:$G$2004,$B13)=0,"",INDEX(HISTORIAL!$J$5:$J$2004,_xlfn.MINIFS(HISTORIAL!$A$5:$A$2004,HISTORIAL!$E$5:$E$2004,$A13,HISTORIAL!$F$5:$F$2004,"Bilbo",HISTORIAL!$G$5:$G$2004,$B13))))</f>
        <v/>
      </c>
      <c r="F13" s="18" t="str">
        <f aca="false">IF($A13="","",IF(_xlfn.MINIFS(HISTORIAL!$A$5:$A$2004,HISTORIAL!$E$5:$E$2004,$A13,HISTORIAL!$F$5:$F$2004,"Bilbo",HISTORIAL!$G$5:$G$2004,$B13)=0,"",INDEX(HISTORIAL!$K$5:$K$2004,_xlfn.MINIFS(HISTORIAL!$A$5:$A$2004,HISTORIAL!$E$5:$E$2004,$A13,HISTORIAL!$F$5:$F$2004,"Bilbo",HISTORIAL!$G$5:$G$2004,$B13))))</f>
        <v/>
      </c>
      <c r="G13" s="28" t="str">
        <f aca="false">IF($A13="","",IF(_xlfn.MAXIFS(HISTORIAL!$A$5:$A$2004,HISTORIAL!$E$5:$E$2004,$A13,HISTORIAL!$F$5:$F$2004,"Bilbo",HISTORIAL!$G$5:$G$2004,$B13)=0,"",INDEX(HISTORIAL!$B$5:$B$2004,_xlfn.MAXIFS(HISTORIAL!$A$5:$A$2004,HISTORIAL!$E$5:$E$2004,$A13,HISTORIAL!$F$5:$F$2004,"Bilbo",HISTORIAL!$G$5:$G$2004,$B13))))</f>
        <v/>
      </c>
      <c r="H13" s="27" t="str">
        <f aca="false">IF($A13="","",IF(_xlfn.MAXIFS(HISTORIAL!$A$5:$A$2004,HISTORIAL!$E$5:$E$2004,$A13,HISTORIAL!$F$5:$F$2004,"Bilbo",HISTORIAL!$G$5:$G$2004,$B13)=0,"",INDEX(HISTORIAL!$J$5:$J$2004,_xlfn.MAXIFS(HISTORIAL!$A$5:$A$2004,HISTORIAL!$E$5:$E$2004,$A13,HISTORIAL!$F$5:$F$2004,"Bilbo",HISTORIAL!$G$5:$G$2004,$B13))))</f>
        <v/>
      </c>
      <c r="I13" s="18" t="str">
        <f aca="false">IF($A13="","",IF(_xlfn.MAXIFS(HISTORIAL!$A$5:$A$2004,HISTORIAL!$E$5:$E$2004,$A13,HISTORIAL!$F$5:$F$2004,"Bilbo",HISTORIAL!$G$5:$G$2004,$B13)=0,"",INDEX(HISTORIAL!$K$5:$K$2004,_xlfn.MAXIFS(HISTORIAL!$A$5:$A$2004,HISTORIAL!$E$5:$E$2004,$A13,HISTORIAL!$F$5:$F$2004,"Bilbo",HISTORIAL!$G$5:$G$2004,$B13))))</f>
        <v/>
      </c>
      <c r="J13" s="18" t="str">
        <f aca="false">IF($A13="","",COUNTIFS(HISTORIAL!$E$5:$E$2004,$A13,HISTORIAL!$F$5:$F$2004,"Bilbo",HISTORIAL!$G$5:$G$2004,$B13))</f>
        <v/>
      </c>
      <c r="K13" s="27" t="str">
        <f aca="false">IF($A13="","",IF(J13=0,"",_xlfn.MAXIFS(HISTORIAL!$J$5:$J$2004,HISTORIAL!$E$5:$E$2004,$A13,HISTORIAL!$F$5:$F$2004,"Bilbo",HISTORIAL!$G$5:$G$2004,$B13)))</f>
        <v/>
      </c>
      <c r="L13" s="18" t="str">
        <f aca="false">IF($A13="","",IF(J13=0,"",_xlfn.MAXIFS(HISTORIAL!$K$5:$K$2004,HISTORIAL!$E$5:$E$2004,$A13,HISTORIAL!$F$5:$F$2004,"Bilbo",HISTORIAL!$G$5:$G$2004,$B13,HISTORIAL!$J$5:$J$2004,K13)))</f>
        <v/>
      </c>
      <c r="M13" s="27" t="str">
        <f aca="false">IF($A13="","",IF(J13=0,"",_xlfn.MAXIFS(HISTORIAL!$T$5:$T$2004,HISTORIAL!$E$5:$E$2004,$A13,HISTORIAL!$F$5:$F$2004,"Bilbo",HISTORIAL!$G$5:$G$2004,$B13)))</f>
        <v/>
      </c>
      <c r="N13" s="27" t="str">
        <f aca="false">IF($A13="","",IF(J13=0,"",H13-E13))</f>
        <v/>
      </c>
      <c r="O13" s="27" t="str">
        <f aca="false">IF($A13="","",IF(COUNTIFS($A$6:$A$105,$A13,$B$6:$B$105,$B13-1)=0,"",SUMIFS($E$6:$E$105,$A$6:$A$105,$A13,$B$6:$B$105,$B13-1)))</f>
        <v/>
      </c>
      <c r="P13" s="18" t="str">
        <f aca="false">IF($A13="","",IF(OR(O13="",NOT(ISNUMBER(E13))),"—",IF(E13&gt;O13,"OK","ERROR: debe ser &gt; "&amp;O13)))</f>
        <v/>
      </c>
      <c r="Q13" s="18" t="str">
        <f aca="false">IF($A13="","",IF(OR(O13="",NOT(ISNUMBER(E13))),"",IF(_xlfn.MAXIFS(HISTORIAL!$K$5:$K$2004,HISTORIAL!$E$5:$E$2004,$A13,HISTORIAL!$F$5:$F$2004,"Bilbo",HISTORIAL!$G$5:$G$2004,$B13-1,HISTORIAL!$J$5:$J$2004,E13)=0,"sin dato comparable",_xlfn.MAXIFS(HISTORIAL!$K$5:$K$2004,HISTORIAL!$E$5:$E$2004,$A13,HISTORIAL!$F$5:$F$2004,"Bilbo",HISTORIAL!$G$5:$G$2004,$B13-1,HISTORIAL!$J$5:$J$2004,E13))))</f>
        <v/>
      </c>
      <c r="R13" s="18" t="str">
        <f aca="false">IF($A13="","",IF(AND(ISNUMBER(Q13),ISNUMBER(F13)),F13-Q13,""))</f>
        <v/>
      </c>
      <c r="S13" s="27" t="str">
        <f aca="false">IF($A13="","",SUMIFS(HISTORIAL!$R$5:$R$2004,HISTORIAL!$E$5:$E$2004,$A13,HISTORIAL!$F$5:$F$2004,"Bilbo",HISTORIAL!$G$5:$G$2004,$B13)+SUMIFS(HISTORIAL!$R$5:$R$2004,HISTORIAL!$E$5:$E$2004,$A13,HISTORIAL!$F$5:$F$2004,"Post-Bilbo",HISTORIAL!$G$5:$G$2004,$B13))</f>
        <v/>
      </c>
      <c r="T13" s="27" t="str">
        <f aca="false">IF($A13="","",IF(NOT(ISNUMBER(E13)),"",MAX(E13+INDEX(CONFIGURACIÓN!$H$42:$H$56,MATCH($A13,CONFIGURACIÓN!$B$42:$B$56,0)),-INT(-E13*(1+CONFIGURACIÓN!$C$17)/(INDEX(CONFIGURACIÓN!$H$42:$H$56,MATCH($A13,CONFIGURACIÓN!$B$42:$B$56,0))))*(INDEX(CONFIGURACIÓN!$H$42:$H$56,MATCH($A13,CONFIGURACIÓN!$B$42:$B$56,0))))))</f>
        <v/>
      </c>
      <c r="U13" s="13"/>
      <c r="V13" s="18" t="str">
        <f aca="false">IF($A13="","",IF(U13="","",IF(NOT(ISNUMBER(E13)),"sin carga inicial registrada",IF(U13&gt;E13,"OK","ERROR: debe ser &gt; "&amp;E13))))</f>
        <v/>
      </c>
      <c r="W13" s="11"/>
    </row>
    <row r="14" customFormat="false" ht="15" hidden="false" customHeight="true" outlineLevel="0" collapsed="false">
      <c r="A14" s="11"/>
      <c r="B14" s="11"/>
      <c r="C14" s="11"/>
      <c r="D14" s="28" t="str">
        <f aca="false">IF($A14="","",IF(_xlfn.MINIFS(HISTORIAL!$A$5:$A$2004,HISTORIAL!$E$5:$E$2004,$A14,HISTORIAL!$F$5:$F$2004,"Bilbo",HISTORIAL!$G$5:$G$2004,$B14)=0,"",INDEX(HISTORIAL!$B$5:$B$2004,_xlfn.MINIFS(HISTORIAL!$A$5:$A$2004,HISTORIAL!$E$5:$E$2004,$A14,HISTORIAL!$F$5:$F$2004,"Bilbo",HISTORIAL!$G$5:$G$2004,$B14))))</f>
        <v/>
      </c>
      <c r="E14" s="27" t="str">
        <f aca="false">IF($A14="","",IF(_xlfn.MINIFS(HISTORIAL!$A$5:$A$2004,HISTORIAL!$E$5:$E$2004,$A14,HISTORIAL!$F$5:$F$2004,"Bilbo",HISTORIAL!$G$5:$G$2004,$B14)=0,"",INDEX(HISTORIAL!$J$5:$J$2004,_xlfn.MINIFS(HISTORIAL!$A$5:$A$2004,HISTORIAL!$E$5:$E$2004,$A14,HISTORIAL!$F$5:$F$2004,"Bilbo",HISTORIAL!$G$5:$G$2004,$B14))))</f>
        <v/>
      </c>
      <c r="F14" s="18" t="str">
        <f aca="false">IF($A14="","",IF(_xlfn.MINIFS(HISTORIAL!$A$5:$A$2004,HISTORIAL!$E$5:$E$2004,$A14,HISTORIAL!$F$5:$F$2004,"Bilbo",HISTORIAL!$G$5:$G$2004,$B14)=0,"",INDEX(HISTORIAL!$K$5:$K$2004,_xlfn.MINIFS(HISTORIAL!$A$5:$A$2004,HISTORIAL!$E$5:$E$2004,$A14,HISTORIAL!$F$5:$F$2004,"Bilbo",HISTORIAL!$G$5:$G$2004,$B14))))</f>
        <v/>
      </c>
      <c r="G14" s="28" t="str">
        <f aca="false">IF($A14="","",IF(_xlfn.MAXIFS(HISTORIAL!$A$5:$A$2004,HISTORIAL!$E$5:$E$2004,$A14,HISTORIAL!$F$5:$F$2004,"Bilbo",HISTORIAL!$G$5:$G$2004,$B14)=0,"",INDEX(HISTORIAL!$B$5:$B$2004,_xlfn.MAXIFS(HISTORIAL!$A$5:$A$2004,HISTORIAL!$E$5:$E$2004,$A14,HISTORIAL!$F$5:$F$2004,"Bilbo",HISTORIAL!$G$5:$G$2004,$B14))))</f>
        <v/>
      </c>
      <c r="H14" s="27" t="str">
        <f aca="false">IF($A14="","",IF(_xlfn.MAXIFS(HISTORIAL!$A$5:$A$2004,HISTORIAL!$E$5:$E$2004,$A14,HISTORIAL!$F$5:$F$2004,"Bilbo",HISTORIAL!$G$5:$G$2004,$B14)=0,"",INDEX(HISTORIAL!$J$5:$J$2004,_xlfn.MAXIFS(HISTORIAL!$A$5:$A$2004,HISTORIAL!$E$5:$E$2004,$A14,HISTORIAL!$F$5:$F$2004,"Bilbo",HISTORIAL!$G$5:$G$2004,$B14))))</f>
        <v/>
      </c>
      <c r="I14" s="18" t="str">
        <f aca="false">IF($A14="","",IF(_xlfn.MAXIFS(HISTORIAL!$A$5:$A$2004,HISTORIAL!$E$5:$E$2004,$A14,HISTORIAL!$F$5:$F$2004,"Bilbo",HISTORIAL!$G$5:$G$2004,$B14)=0,"",INDEX(HISTORIAL!$K$5:$K$2004,_xlfn.MAXIFS(HISTORIAL!$A$5:$A$2004,HISTORIAL!$E$5:$E$2004,$A14,HISTORIAL!$F$5:$F$2004,"Bilbo",HISTORIAL!$G$5:$G$2004,$B14))))</f>
        <v/>
      </c>
      <c r="J14" s="18" t="str">
        <f aca="false">IF($A14="","",COUNTIFS(HISTORIAL!$E$5:$E$2004,$A14,HISTORIAL!$F$5:$F$2004,"Bilbo",HISTORIAL!$G$5:$G$2004,$B14))</f>
        <v/>
      </c>
      <c r="K14" s="27" t="str">
        <f aca="false">IF($A14="","",IF(J14=0,"",_xlfn.MAXIFS(HISTORIAL!$J$5:$J$2004,HISTORIAL!$E$5:$E$2004,$A14,HISTORIAL!$F$5:$F$2004,"Bilbo",HISTORIAL!$G$5:$G$2004,$B14)))</f>
        <v/>
      </c>
      <c r="L14" s="18" t="str">
        <f aca="false">IF($A14="","",IF(J14=0,"",_xlfn.MAXIFS(HISTORIAL!$K$5:$K$2004,HISTORIAL!$E$5:$E$2004,$A14,HISTORIAL!$F$5:$F$2004,"Bilbo",HISTORIAL!$G$5:$G$2004,$B14,HISTORIAL!$J$5:$J$2004,K14)))</f>
        <v/>
      </c>
      <c r="M14" s="27" t="str">
        <f aca="false">IF($A14="","",IF(J14=0,"",_xlfn.MAXIFS(HISTORIAL!$T$5:$T$2004,HISTORIAL!$E$5:$E$2004,$A14,HISTORIAL!$F$5:$F$2004,"Bilbo",HISTORIAL!$G$5:$G$2004,$B14)))</f>
        <v/>
      </c>
      <c r="N14" s="27" t="str">
        <f aca="false">IF($A14="","",IF(J14=0,"",H14-E14))</f>
        <v/>
      </c>
      <c r="O14" s="27" t="str">
        <f aca="false">IF($A14="","",IF(COUNTIFS($A$6:$A$105,$A14,$B$6:$B$105,$B14-1)=0,"",SUMIFS($E$6:$E$105,$A$6:$A$105,$A14,$B$6:$B$105,$B14-1)))</f>
        <v/>
      </c>
      <c r="P14" s="18" t="str">
        <f aca="false">IF($A14="","",IF(OR(O14="",NOT(ISNUMBER(E14))),"—",IF(E14&gt;O14,"OK","ERROR: debe ser &gt; "&amp;O14)))</f>
        <v/>
      </c>
      <c r="Q14" s="18" t="str">
        <f aca="false">IF($A14="","",IF(OR(O14="",NOT(ISNUMBER(E14))),"",IF(_xlfn.MAXIFS(HISTORIAL!$K$5:$K$2004,HISTORIAL!$E$5:$E$2004,$A14,HISTORIAL!$F$5:$F$2004,"Bilbo",HISTORIAL!$G$5:$G$2004,$B14-1,HISTORIAL!$J$5:$J$2004,E14)=0,"sin dato comparable",_xlfn.MAXIFS(HISTORIAL!$K$5:$K$2004,HISTORIAL!$E$5:$E$2004,$A14,HISTORIAL!$F$5:$F$2004,"Bilbo",HISTORIAL!$G$5:$G$2004,$B14-1,HISTORIAL!$J$5:$J$2004,E14))))</f>
        <v/>
      </c>
      <c r="R14" s="18" t="str">
        <f aca="false">IF($A14="","",IF(AND(ISNUMBER(Q14),ISNUMBER(F14)),F14-Q14,""))</f>
        <v/>
      </c>
      <c r="S14" s="27" t="str">
        <f aca="false">IF($A14="","",SUMIFS(HISTORIAL!$R$5:$R$2004,HISTORIAL!$E$5:$E$2004,$A14,HISTORIAL!$F$5:$F$2004,"Bilbo",HISTORIAL!$G$5:$G$2004,$B14)+SUMIFS(HISTORIAL!$R$5:$R$2004,HISTORIAL!$E$5:$E$2004,$A14,HISTORIAL!$F$5:$F$2004,"Post-Bilbo",HISTORIAL!$G$5:$G$2004,$B14))</f>
        <v/>
      </c>
      <c r="T14" s="27" t="str">
        <f aca="false">IF($A14="","",IF(NOT(ISNUMBER(E14)),"",MAX(E14+INDEX(CONFIGURACIÓN!$H$42:$H$56,MATCH($A14,CONFIGURACIÓN!$B$42:$B$56,0)),-INT(-E14*(1+CONFIGURACIÓN!$C$17)/(INDEX(CONFIGURACIÓN!$H$42:$H$56,MATCH($A14,CONFIGURACIÓN!$B$42:$B$56,0))))*(INDEX(CONFIGURACIÓN!$H$42:$H$56,MATCH($A14,CONFIGURACIÓN!$B$42:$B$56,0))))))</f>
        <v/>
      </c>
      <c r="U14" s="13"/>
      <c r="V14" s="18" t="str">
        <f aca="false">IF($A14="","",IF(U14="","",IF(NOT(ISNUMBER(E14)),"sin carga inicial registrada",IF(U14&gt;E14,"OK","ERROR: debe ser &gt; "&amp;E14))))</f>
        <v/>
      </c>
      <c r="W14" s="11"/>
    </row>
    <row r="15" customFormat="false" ht="15" hidden="false" customHeight="true" outlineLevel="0" collapsed="false">
      <c r="A15" s="11"/>
      <c r="B15" s="11"/>
      <c r="C15" s="11"/>
      <c r="D15" s="28" t="str">
        <f aca="false">IF($A15="","",IF(_xlfn.MINIFS(HISTORIAL!$A$5:$A$2004,HISTORIAL!$E$5:$E$2004,$A15,HISTORIAL!$F$5:$F$2004,"Bilbo",HISTORIAL!$G$5:$G$2004,$B15)=0,"",INDEX(HISTORIAL!$B$5:$B$2004,_xlfn.MINIFS(HISTORIAL!$A$5:$A$2004,HISTORIAL!$E$5:$E$2004,$A15,HISTORIAL!$F$5:$F$2004,"Bilbo",HISTORIAL!$G$5:$G$2004,$B15))))</f>
        <v/>
      </c>
      <c r="E15" s="27" t="str">
        <f aca="false">IF($A15="","",IF(_xlfn.MINIFS(HISTORIAL!$A$5:$A$2004,HISTORIAL!$E$5:$E$2004,$A15,HISTORIAL!$F$5:$F$2004,"Bilbo",HISTORIAL!$G$5:$G$2004,$B15)=0,"",INDEX(HISTORIAL!$J$5:$J$2004,_xlfn.MINIFS(HISTORIAL!$A$5:$A$2004,HISTORIAL!$E$5:$E$2004,$A15,HISTORIAL!$F$5:$F$2004,"Bilbo",HISTORIAL!$G$5:$G$2004,$B15))))</f>
        <v/>
      </c>
      <c r="F15" s="18" t="str">
        <f aca="false">IF($A15="","",IF(_xlfn.MINIFS(HISTORIAL!$A$5:$A$2004,HISTORIAL!$E$5:$E$2004,$A15,HISTORIAL!$F$5:$F$2004,"Bilbo",HISTORIAL!$G$5:$G$2004,$B15)=0,"",INDEX(HISTORIAL!$K$5:$K$2004,_xlfn.MINIFS(HISTORIAL!$A$5:$A$2004,HISTORIAL!$E$5:$E$2004,$A15,HISTORIAL!$F$5:$F$2004,"Bilbo",HISTORIAL!$G$5:$G$2004,$B15))))</f>
        <v/>
      </c>
      <c r="G15" s="28" t="str">
        <f aca="false">IF($A15="","",IF(_xlfn.MAXIFS(HISTORIAL!$A$5:$A$2004,HISTORIAL!$E$5:$E$2004,$A15,HISTORIAL!$F$5:$F$2004,"Bilbo",HISTORIAL!$G$5:$G$2004,$B15)=0,"",INDEX(HISTORIAL!$B$5:$B$2004,_xlfn.MAXIFS(HISTORIAL!$A$5:$A$2004,HISTORIAL!$E$5:$E$2004,$A15,HISTORIAL!$F$5:$F$2004,"Bilbo",HISTORIAL!$G$5:$G$2004,$B15))))</f>
        <v/>
      </c>
      <c r="H15" s="27" t="str">
        <f aca="false">IF($A15="","",IF(_xlfn.MAXIFS(HISTORIAL!$A$5:$A$2004,HISTORIAL!$E$5:$E$2004,$A15,HISTORIAL!$F$5:$F$2004,"Bilbo",HISTORIAL!$G$5:$G$2004,$B15)=0,"",INDEX(HISTORIAL!$J$5:$J$2004,_xlfn.MAXIFS(HISTORIAL!$A$5:$A$2004,HISTORIAL!$E$5:$E$2004,$A15,HISTORIAL!$F$5:$F$2004,"Bilbo",HISTORIAL!$G$5:$G$2004,$B15))))</f>
        <v/>
      </c>
      <c r="I15" s="18" t="str">
        <f aca="false">IF($A15="","",IF(_xlfn.MAXIFS(HISTORIAL!$A$5:$A$2004,HISTORIAL!$E$5:$E$2004,$A15,HISTORIAL!$F$5:$F$2004,"Bilbo",HISTORIAL!$G$5:$G$2004,$B15)=0,"",INDEX(HISTORIAL!$K$5:$K$2004,_xlfn.MAXIFS(HISTORIAL!$A$5:$A$2004,HISTORIAL!$E$5:$E$2004,$A15,HISTORIAL!$F$5:$F$2004,"Bilbo",HISTORIAL!$G$5:$G$2004,$B15))))</f>
        <v/>
      </c>
      <c r="J15" s="18" t="str">
        <f aca="false">IF($A15="","",COUNTIFS(HISTORIAL!$E$5:$E$2004,$A15,HISTORIAL!$F$5:$F$2004,"Bilbo",HISTORIAL!$G$5:$G$2004,$B15))</f>
        <v/>
      </c>
      <c r="K15" s="27" t="str">
        <f aca="false">IF($A15="","",IF(J15=0,"",_xlfn.MAXIFS(HISTORIAL!$J$5:$J$2004,HISTORIAL!$E$5:$E$2004,$A15,HISTORIAL!$F$5:$F$2004,"Bilbo",HISTORIAL!$G$5:$G$2004,$B15)))</f>
        <v/>
      </c>
      <c r="L15" s="18" t="str">
        <f aca="false">IF($A15="","",IF(J15=0,"",_xlfn.MAXIFS(HISTORIAL!$K$5:$K$2004,HISTORIAL!$E$5:$E$2004,$A15,HISTORIAL!$F$5:$F$2004,"Bilbo",HISTORIAL!$G$5:$G$2004,$B15,HISTORIAL!$J$5:$J$2004,K15)))</f>
        <v/>
      </c>
      <c r="M15" s="27" t="str">
        <f aca="false">IF($A15="","",IF(J15=0,"",_xlfn.MAXIFS(HISTORIAL!$T$5:$T$2004,HISTORIAL!$E$5:$E$2004,$A15,HISTORIAL!$F$5:$F$2004,"Bilbo",HISTORIAL!$G$5:$G$2004,$B15)))</f>
        <v/>
      </c>
      <c r="N15" s="27" t="str">
        <f aca="false">IF($A15="","",IF(J15=0,"",H15-E15))</f>
        <v/>
      </c>
      <c r="O15" s="27" t="str">
        <f aca="false">IF($A15="","",IF(COUNTIFS($A$6:$A$105,$A15,$B$6:$B$105,$B15-1)=0,"",SUMIFS($E$6:$E$105,$A$6:$A$105,$A15,$B$6:$B$105,$B15-1)))</f>
        <v/>
      </c>
      <c r="P15" s="18" t="str">
        <f aca="false">IF($A15="","",IF(OR(O15="",NOT(ISNUMBER(E15))),"—",IF(E15&gt;O15,"OK","ERROR: debe ser &gt; "&amp;O15)))</f>
        <v/>
      </c>
      <c r="Q15" s="18" t="str">
        <f aca="false">IF($A15="","",IF(OR(O15="",NOT(ISNUMBER(E15))),"",IF(_xlfn.MAXIFS(HISTORIAL!$K$5:$K$2004,HISTORIAL!$E$5:$E$2004,$A15,HISTORIAL!$F$5:$F$2004,"Bilbo",HISTORIAL!$G$5:$G$2004,$B15-1,HISTORIAL!$J$5:$J$2004,E15)=0,"sin dato comparable",_xlfn.MAXIFS(HISTORIAL!$K$5:$K$2004,HISTORIAL!$E$5:$E$2004,$A15,HISTORIAL!$F$5:$F$2004,"Bilbo",HISTORIAL!$G$5:$G$2004,$B15-1,HISTORIAL!$J$5:$J$2004,E15))))</f>
        <v/>
      </c>
      <c r="R15" s="18" t="str">
        <f aca="false">IF($A15="","",IF(AND(ISNUMBER(Q15),ISNUMBER(F15)),F15-Q15,""))</f>
        <v/>
      </c>
      <c r="S15" s="27" t="str">
        <f aca="false">IF($A15="","",SUMIFS(HISTORIAL!$R$5:$R$2004,HISTORIAL!$E$5:$E$2004,$A15,HISTORIAL!$F$5:$F$2004,"Bilbo",HISTORIAL!$G$5:$G$2004,$B15)+SUMIFS(HISTORIAL!$R$5:$R$2004,HISTORIAL!$E$5:$E$2004,$A15,HISTORIAL!$F$5:$F$2004,"Post-Bilbo",HISTORIAL!$G$5:$G$2004,$B15))</f>
        <v/>
      </c>
      <c r="T15" s="27" t="str">
        <f aca="false">IF($A15="","",IF(NOT(ISNUMBER(E15)),"",MAX(E15+INDEX(CONFIGURACIÓN!$H$42:$H$56,MATCH($A15,CONFIGURACIÓN!$B$42:$B$56,0)),-INT(-E15*(1+CONFIGURACIÓN!$C$17)/(INDEX(CONFIGURACIÓN!$H$42:$H$56,MATCH($A15,CONFIGURACIÓN!$B$42:$B$56,0))))*(INDEX(CONFIGURACIÓN!$H$42:$H$56,MATCH($A15,CONFIGURACIÓN!$B$42:$B$56,0))))))</f>
        <v/>
      </c>
      <c r="U15" s="13"/>
      <c r="V15" s="18" t="str">
        <f aca="false">IF($A15="","",IF(U15="","",IF(NOT(ISNUMBER(E15)),"sin carga inicial registrada",IF(U15&gt;E15,"OK","ERROR: debe ser &gt; "&amp;E15))))</f>
        <v/>
      </c>
      <c r="W15" s="11"/>
    </row>
    <row r="16" customFormat="false" ht="15" hidden="false" customHeight="true" outlineLevel="0" collapsed="false">
      <c r="A16" s="11"/>
      <c r="B16" s="11"/>
      <c r="C16" s="11"/>
      <c r="D16" s="28" t="str">
        <f aca="false">IF($A16="","",IF(_xlfn.MINIFS(HISTORIAL!$A$5:$A$2004,HISTORIAL!$E$5:$E$2004,$A16,HISTORIAL!$F$5:$F$2004,"Bilbo",HISTORIAL!$G$5:$G$2004,$B16)=0,"",INDEX(HISTORIAL!$B$5:$B$2004,_xlfn.MINIFS(HISTORIAL!$A$5:$A$2004,HISTORIAL!$E$5:$E$2004,$A16,HISTORIAL!$F$5:$F$2004,"Bilbo",HISTORIAL!$G$5:$G$2004,$B16))))</f>
        <v/>
      </c>
      <c r="E16" s="27" t="str">
        <f aca="false">IF($A16="","",IF(_xlfn.MINIFS(HISTORIAL!$A$5:$A$2004,HISTORIAL!$E$5:$E$2004,$A16,HISTORIAL!$F$5:$F$2004,"Bilbo",HISTORIAL!$G$5:$G$2004,$B16)=0,"",INDEX(HISTORIAL!$J$5:$J$2004,_xlfn.MINIFS(HISTORIAL!$A$5:$A$2004,HISTORIAL!$E$5:$E$2004,$A16,HISTORIAL!$F$5:$F$2004,"Bilbo",HISTORIAL!$G$5:$G$2004,$B16))))</f>
        <v/>
      </c>
      <c r="F16" s="18" t="str">
        <f aca="false">IF($A16="","",IF(_xlfn.MINIFS(HISTORIAL!$A$5:$A$2004,HISTORIAL!$E$5:$E$2004,$A16,HISTORIAL!$F$5:$F$2004,"Bilbo",HISTORIAL!$G$5:$G$2004,$B16)=0,"",INDEX(HISTORIAL!$K$5:$K$2004,_xlfn.MINIFS(HISTORIAL!$A$5:$A$2004,HISTORIAL!$E$5:$E$2004,$A16,HISTORIAL!$F$5:$F$2004,"Bilbo",HISTORIAL!$G$5:$G$2004,$B16))))</f>
        <v/>
      </c>
      <c r="G16" s="28" t="str">
        <f aca="false">IF($A16="","",IF(_xlfn.MAXIFS(HISTORIAL!$A$5:$A$2004,HISTORIAL!$E$5:$E$2004,$A16,HISTORIAL!$F$5:$F$2004,"Bilbo",HISTORIAL!$G$5:$G$2004,$B16)=0,"",INDEX(HISTORIAL!$B$5:$B$2004,_xlfn.MAXIFS(HISTORIAL!$A$5:$A$2004,HISTORIAL!$E$5:$E$2004,$A16,HISTORIAL!$F$5:$F$2004,"Bilbo",HISTORIAL!$G$5:$G$2004,$B16))))</f>
        <v/>
      </c>
      <c r="H16" s="27" t="str">
        <f aca="false">IF($A16="","",IF(_xlfn.MAXIFS(HISTORIAL!$A$5:$A$2004,HISTORIAL!$E$5:$E$2004,$A16,HISTORIAL!$F$5:$F$2004,"Bilbo",HISTORIAL!$G$5:$G$2004,$B16)=0,"",INDEX(HISTORIAL!$J$5:$J$2004,_xlfn.MAXIFS(HISTORIAL!$A$5:$A$2004,HISTORIAL!$E$5:$E$2004,$A16,HISTORIAL!$F$5:$F$2004,"Bilbo",HISTORIAL!$G$5:$G$2004,$B16))))</f>
        <v/>
      </c>
      <c r="I16" s="18" t="str">
        <f aca="false">IF($A16="","",IF(_xlfn.MAXIFS(HISTORIAL!$A$5:$A$2004,HISTORIAL!$E$5:$E$2004,$A16,HISTORIAL!$F$5:$F$2004,"Bilbo",HISTORIAL!$G$5:$G$2004,$B16)=0,"",INDEX(HISTORIAL!$K$5:$K$2004,_xlfn.MAXIFS(HISTORIAL!$A$5:$A$2004,HISTORIAL!$E$5:$E$2004,$A16,HISTORIAL!$F$5:$F$2004,"Bilbo",HISTORIAL!$G$5:$G$2004,$B16))))</f>
        <v/>
      </c>
      <c r="J16" s="18" t="str">
        <f aca="false">IF($A16="","",COUNTIFS(HISTORIAL!$E$5:$E$2004,$A16,HISTORIAL!$F$5:$F$2004,"Bilbo",HISTORIAL!$G$5:$G$2004,$B16))</f>
        <v/>
      </c>
      <c r="K16" s="27" t="str">
        <f aca="false">IF($A16="","",IF(J16=0,"",_xlfn.MAXIFS(HISTORIAL!$J$5:$J$2004,HISTORIAL!$E$5:$E$2004,$A16,HISTORIAL!$F$5:$F$2004,"Bilbo",HISTORIAL!$G$5:$G$2004,$B16)))</f>
        <v/>
      </c>
      <c r="L16" s="18" t="str">
        <f aca="false">IF($A16="","",IF(J16=0,"",_xlfn.MAXIFS(HISTORIAL!$K$5:$K$2004,HISTORIAL!$E$5:$E$2004,$A16,HISTORIAL!$F$5:$F$2004,"Bilbo",HISTORIAL!$G$5:$G$2004,$B16,HISTORIAL!$J$5:$J$2004,K16)))</f>
        <v/>
      </c>
      <c r="M16" s="27" t="str">
        <f aca="false">IF($A16="","",IF(J16=0,"",_xlfn.MAXIFS(HISTORIAL!$T$5:$T$2004,HISTORIAL!$E$5:$E$2004,$A16,HISTORIAL!$F$5:$F$2004,"Bilbo",HISTORIAL!$G$5:$G$2004,$B16)))</f>
        <v/>
      </c>
      <c r="N16" s="27" t="str">
        <f aca="false">IF($A16="","",IF(J16=0,"",H16-E16))</f>
        <v/>
      </c>
      <c r="O16" s="27" t="str">
        <f aca="false">IF($A16="","",IF(COUNTIFS($A$6:$A$105,$A16,$B$6:$B$105,$B16-1)=0,"",SUMIFS($E$6:$E$105,$A$6:$A$105,$A16,$B$6:$B$105,$B16-1)))</f>
        <v/>
      </c>
      <c r="P16" s="18" t="str">
        <f aca="false">IF($A16="","",IF(OR(O16="",NOT(ISNUMBER(E16))),"—",IF(E16&gt;O16,"OK","ERROR: debe ser &gt; "&amp;O16)))</f>
        <v/>
      </c>
      <c r="Q16" s="18" t="str">
        <f aca="false">IF($A16="","",IF(OR(O16="",NOT(ISNUMBER(E16))),"",IF(_xlfn.MAXIFS(HISTORIAL!$K$5:$K$2004,HISTORIAL!$E$5:$E$2004,$A16,HISTORIAL!$F$5:$F$2004,"Bilbo",HISTORIAL!$G$5:$G$2004,$B16-1,HISTORIAL!$J$5:$J$2004,E16)=0,"sin dato comparable",_xlfn.MAXIFS(HISTORIAL!$K$5:$K$2004,HISTORIAL!$E$5:$E$2004,$A16,HISTORIAL!$F$5:$F$2004,"Bilbo",HISTORIAL!$G$5:$G$2004,$B16-1,HISTORIAL!$J$5:$J$2004,E16))))</f>
        <v/>
      </c>
      <c r="R16" s="18" t="str">
        <f aca="false">IF($A16="","",IF(AND(ISNUMBER(Q16),ISNUMBER(F16)),F16-Q16,""))</f>
        <v/>
      </c>
      <c r="S16" s="27" t="str">
        <f aca="false">IF($A16="","",SUMIFS(HISTORIAL!$R$5:$R$2004,HISTORIAL!$E$5:$E$2004,$A16,HISTORIAL!$F$5:$F$2004,"Bilbo",HISTORIAL!$G$5:$G$2004,$B16)+SUMIFS(HISTORIAL!$R$5:$R$2004,HISTORIAL!$E$5:$E$2004,$A16,HISTORIAL!$F$5:$F$2004,"Post-Bilbo",HISTORIAL!$G$5:$G$2004,$B16))</f>
        <v/>
      </c>
      <c r="T16" s="27" t="str">
        <f aca="false">IF($A16="","",IF(NOT(ISNUMBER(E16)),"",MAX(E16+INDEX(CONFIGURACIÓN!$H$42:$H$56,MATCH($A16,CONFIGURACIÓN!$B$42:$B$56,0)),-INT(-E16*(1+CONFIGURACIÓN!$C$17)/(INDEX(CONFIGURACIÓN!$H$42:$H$56,MATCH($A16,CONFIGURACIÓN!$B$42:$B$56,0))))*(INDEX(CONFIGURACIÓN!$H$42:$H$56,MATCH($A16,CONFIGURACIÓN!$B$42:$B$56,0))))))</f>
        <v/>
      </c>
      <c r="U16" s="13"/>
      <c r="V16" s="18" t="str">
        <f aca="false">IF($A16="","",IF(U16="","",IF(NOT(ISNUMBER(E16)),"sin carga inicial registrada",IF(U16&gt;E16,"OK","ERROR: debe ser &gt; "&amp;E16))))</f>
        <v/>
      </c>
      <c r="W16" s="11"/>
    </row>
    <row r="17" customFormat="false" ht="15" hidden="false" customHeight="true" outlineLevel="0" collapsed="false">
      <c r="A17" s="11"/>
      <c r="B17" s="11"/>
      <c r="C17" s="11"/>
      <c r="D17" s="28" t="str">
        <f aca="false">IF($A17="","",IF(_xlfn.MINIFS(HISTORIAL!$A$5:$A$2004,HISTORIAL!$E$5:$E$2004,$A17,HISTORIAL!$F$5:$F$2004,"Bilbo",HISTORIAL!$G$5:$G$2004,$B17)=0,"",INDEX(HISTORIAL!$B$5:$B$2004,_xlfn.MINIFS(HISTORIAL!$A$5:$A$2004,HISTORIAL!$E$5:$E$2004,$A17,HISTORIAL!$F$5:$F$2004,"Bilbo",HISTORIAL!$G$5:$G$2004,$B17))))</f>
        <v/>
      </c>
      <c r="E17" s="27" t="str">
        <f aca="false">IF($A17="","",IF(_xlfn.MINIFS(HISTORIAL!$A$5:$A$2004,HISTORIAL!$E$5:$E$2004,$A17,HISTORIAL!$F$5:$F$2004,"Bilbo",HISTORIAL!$G$5:$G$2004,$B17)=0,"",INDEX(HISTORIAL!$J$5:$J$2004,_xlfn.MINIFS(HISTORIAL!$A$5:$A$2004,HISTORIAL!$E$5:$E$2004,$A17,HISTORIAL!$F$5:$F$2004,"Bilbo",HISTORIAL!$G$5:$G$2004,$B17))))</f>
        <v/>
      </c>
      <c r="F17" s="18" t="str">
        <f aca="false">IF($A17="","",IF(_xlfn.MINIFS(HISTORIAL!$A$5:$A$2004,HISTORIAL!$E$5:$E$2004,$A17,HISTORIAL!$F$5:$F$2004,"Bilbo",HISTORIAL!$G$5:$G$2004,$B17)=0,"",INDEX(HISTORIAL!$K$5:$K$2004,_xlfn.MINIFS(HISTORIAL!$A$5:$A$2004,HISTORIAL!$E$5:$E$2004,$A17,HISTORIAL!$F$5:$F$2004,"Bilbo",HISTORIAL!$G$5:$G$2004,$B17))))</f>
        <v/>
      </c>
      <c r="G17" s="28" t="str">
        <f aca="false">IF($A17="","",IF(_xlfn.MAXIFS(HISTORIAL!$A$5:$A$2004,HISTORIAL!$E$5:$E$2004,$A17,HISTORIAL!$F$5:$F$2004,"Bilbo",HISTORIAL!$G$5:$G$2004,$B17)=0,"",INDEX(HISTORIAL!$B$5:$B$2004,_xlfn.MAXIFS(HISTORIAL!$A$5:$A$2004,HISTORIAL!$E$5:$E$2004,$A17,HISTORIAL!$F$5:$F$2004,"Bilbo",HISTORIAL!$G$5:$G$2004,$B17))))</f>
        <v/>
      </c>
      <c r="H17" s="27" t="str">
        <f aca="false">IF($A17="","",IF(_xlfn.MAXIFS(HISTORIAL!$A$5:$A$2004,HISTORIAL!$E$5:$E$2004,$A17,HISTORIAL!$F$5:$F$2004,"Bilbo",HISTORIAL!$G$5:$G$2004,$B17)=0,"",INDEX(HISTORIAL!$J$5:$J$2004,_xlfn.MAXIFS(HISTORIAL!$A$5:$A$2004,HISTORIAL!$E$5:$E$2004,$A17,HISTORIAL!$F$5:$F$2004,"Bilbo",HISTORIAL!$G$5:$G$2004,$B17))))</f>
        <v/>
      </c>
      <c r="I17" s="18" t="str">
        <f aca="false">IF($A17="","",IF(_xlfn.MAXIFS(HISTORIAL!$A$5:$A$2004,HISTORIAL!$E$5:$E$2004,$A17,HISTORIAL!$F$5:$F$2004,"Bilbo",HISTORIAL!$G$5:$G$2004,$B17)=0,"",INDEX(HISTORIAL!$K$5:$K$2004,_xlfn.MAXIFS(HISTORIAL!$A$5:$A$2004,HISTORIAL!$E$5:$E$2004,$A17,HISTORIAL!$F$5:$F$2004,"Bilbo",HISTORIAL!$G$5:$G$2004,$B17))))</f>
        <v/>
      </c>
      <c r="J17" s="18" t="str">
        <f aca="false">IF($A17="","",COUNTIFS(HISTORIAL!$E$5:$E$2004,$A17,HISTORIAL!$F$5:$F$2004,"Bilbo",HISTORIAL!$G$5:$G$2004,$B17))</f>
        <v/>
      </c>
      <c r="K17" s="27" t="str">
        <f aca="false">IF($A17="","",IF(J17=0,"",_xlfn.MAXIFS(HISTORIAL!$J$5:$J$2004,HISTORIAL!$E$5:$E$2004,$A17,HISTORIAL!$F$5:$F$2004,"Bilbo",HISTORIAL!$G$5:$G$2004,$B17)))</f>
        <v/>
      </c>
      <c r="L17" s="18" t="str">
        <f aca="false">IF($A17="","",IF(J17=0,"",_xlfn.MAXIFS(HISTORIAL!$K$5:$K$2004,HISTORIAL!$E$5:$E$2004,$A17,HISTORIAL!$F$5:$F$2004,"Bilbo",HISTORIAL!$G$5:$G$2004,$B17,HISTORIAL!$J$5:$J$2004,K17)))</f>
        <v/>
      </c>
      <c r="M17" s="27" t="str">
        <f aca="false">IF($A17="","",IF(J17=0,"",_xlfn.MAXIFS(HISTORIAL!$T$5:$T$2004,HISTORIAL!$E$5:$E$2004,$A17,HISTORIAL!$F$5:$F$2004,"Bilbo",HISTORIAL!$G$5:$G$2004,$B17)))</f>
        <v/>
      </c>
      <c r="N17" s="27" t="str">
        <f aca="false">IF($A17="","",IF(J17=0,"",H17-E17))</f>
        <v/>
      </c>
      <c r="O17" s="27" t="str">
        <f aca="false">IF($A17="","",IF(COUNTIFS($A$6:$A$105,$A17,$B$6:$B$105,$B17-1)=0,"",SUMIFS($E$6:$E$105,$A$6:$A$105,$A17,$B$6:$B$105,$B17-1)))</f>
        <v/>
      </c>
      <c r="P17" s="18" t="str">
        <f aca="false">IF($A17="","",IF(OR(O17="",NOT(ISNUMBER(E17))),"—",IF(E17&gt;O17,"OK","ERROR: debe ser &gt; "&amp;O17)))</f>
        <v/>
      </c>
      <c r="Q17" s="18" t="str">
        <f aca="false">IF($A17="","",IF(OR(O17="",NOT(ISNUMBER(E17))),"",IF(_xlfn.MAXIFS(HISTORIAL!$K$5:$K$2004,HISTORIAL!$E$5:$E$2004,$A17,HISTORIAL!$F$5:$F$2004,"Bilbo",HISTORIAL!$G$5:$G$2004,$B17-1,HISTORIAL!$J$5:$J$2004,E17)=0,"sin dato comparable",_xlfn.MAXIFS(HISTORIAL!$K$5:$K$2004,HISTORIAL!$E$5:$E$2004,$A17,HISTORIAL!$F$5:$F$2004,"Bilbo",HISTORIAL!$G$5:$G$2004,$B17-1,HISTORIAL!$J$5:$J$2004,E17))))</f>
        <v/>
      </c>
      <c r="R17" s="18" t="str">
        <f aca="false">IF($A17="","",IF(AND(ISNUMBER(Q17),ISNUMBER(F17)),F17-Q17,""))</f>
        <v/>
      </c>
      <c r="S17" s="27" t="str">
        <f aca="false">IF($A17="","",SUMIFS(HISTORIAL!$R$5:$R$2004,HISTORIAL!$E$5:$E$2004,$A17,HISTORIAL!$F$5:$F$2004,"Bilbo",HISTORIAL!$G$5:$G$2004,$B17)+SUMIFS(HISTORIAL!$R$5:$R$2004,HISTORIAL!$E$5:$E$2004,$A17,HISTORIAL!$F$5:$F$2004,"Post-Bilbo",HISTORIAL!$G$5:$G$2004,$B17))</f>
        <v/>
      </c>
      <c r="T17" s="27" t="str">
        <f aca="false">IF($A17="","",IF(NOT(ISNUMBER(E17)),"",MAX(E17+INDEX(CONFIGURACIÓN!$H$42:$H$56,MATCH($A17,CONFIGURACIÓN!$B$42:$B$56,0)),-INT(-E17*(1+CONFIGURACIÓN!$C$17)/(INDEX(CONFIGURACIÓN!$H$42:$H$56,MATCH($A17,CONFIGURACIÓN!$B$42:$B$56,0))))*(INDEX(CONFIGURACIÓN!$H$42:$H$56,MATCH($A17,CONFIGURACIÓN!$B$42:$B$56,0))))))</f>
        <v/>
      </c>
      <c r="U17" s="13"/>
      <c r="V17" s="18" t="str">
        <f aca="false">IF($A17="","",IF(U17="","",IF(NOT(ISNUMBER(E17)),"sin carga inicial registrada",IF(U17&gt;E17,"OK","ERROR: debe ser &gt; "&amp;E17))))</f>
        <v/>
      </c>
      <c r="W17" s="11"/>
    </row>
    <row r="18" customFormat="false" ht="15" hidden="false" customHeight="true" outlineLevel="0" collapsed="false">
      <c r="A18" s="11"/>
      <c r="B18" s="11"/>
      <c r="C18" s="11"/>
      <c r="D18" s="28" t="str">
        <f aca="false">IF($A18="","",IF(_xlfn.MINIFS(HISTORIAL!$A$5:$A$2004,HISTORIAL!$E$5:$E$2004,$A18,HISTORIAL!$F$5:$F$2004,"Bilbo",HISTORIAL!$G$5:$G$2004,$B18)=0,"",INDEX(HISTORIAL!$B$5:$B$2004,_xlfn.MINIFS(HISTORIAL!$A$5:$A$2004,HISTORIAL!$E$5:$E$2004,$A18,HISTORIAL!$F$5:$F$2004,"Bilbo",HISTORIAL!$G$5:$G$2004,$B18))))</f>
        <v/>
      </c>
      <c r="E18" s="27" t="str">
        <f aca="false">IF($A18="","",IF(_xlfn.MINIFS(HISTORIAL!$A$5:$A$2004,HISTORIAL!$E$5:$E$2004,$A18,HISTORIAL!$F$5:$F$2004,"Bilbo",HISTORIAL!$G$5:$G$2004,$B18)=0,"",INDEX(HISTORIAL!$J$5:$J$2004,_xlfn.MINIFS(HISTORIAL!$A$5:$A$2004,HISTORIAL!$E$5:$E$2004,$A18,HISTORIAL!$F$5:$F$2004,"Bilbo",HISTORIAL!$G$5:$G$2004,$B18))))</f>
        <v/>
      </c>
      <c r="F18" s="18" t="str">
        <f aca="false">IF($A18="","",IF(_xlfn.MINIFS(HISTORIAL!$A$5:$A$2004,HISTORIAL!$E$5:$E$2004,$A18,HISTORIAL!$F$5:$F$2004,"Bilbo",HISTORIAL!$G$5:$G$2004,$B18)=0,"",INDEX(HISTORIAL!$K$5:$K$2004,_xlfn.MINIFS(HISTORIAL!$A$5:$A$2004,HISTORIAL!$E$5:$E$2004,$A18,HISTORIAL!$F$5:$F$2004,"Bilbo",HISTORIAL!$G$5:$G$2004,$B18))))</f>
        <v/>
      </c>
      <c r="G18" s="28" t="str">
        <f aca="false">IF($A18="","",IF(_xlfn.MAXIFS(HISTORIAL!$A$5:$A$2004,HISTORIAL!$E$5:$E$2004,$A18,HISTORIAL!$F$5:$F$2004,"Bilbo",HISTORIAL!$G$5:$G$2004,$B18)=0,"",INDEX(HISTORIAL!$B$5:$B$2004,_xlfn.MAXIFS(HISTORIAL!$A$5:$A$2004,HISTORIAL!$E$5:$E$2004,$A18,HISTORIAL!$F$5:$F$2004,"Bilbo",HISTORIAL!$G$5:$G$2004,$B18))))</f>
        <v/>
      </c>
      <c r="H18" s="27" t="str">
        <f aca="false">IF($A18="","",IF(_xlfn.MAXIFS(HISTORIAL!$A$5:$A$2004,HISTORIAL!$E$5:$E$2004,$A18,HISTORIAL!$F$5:$F$2004,"Bilbo",HISTORIAL!$G$5:$G$2004,$B18)=0,"",INDEX(HISTORIAL!$J$5:$J$2004,_xlfn.MAXIFS(HISTORIAL!$A$5:$A$2004,HISTORIAL!$E$5:$E$2004,$A18,HISTORIAL!$F$5:$F$2004,"Bilbo",HISTORIAL!$G$5:$G$2004,$B18))))</f>
        <v/>
      </c>
      <c r="I18" s="18" t="str">
        <f aca="false">IF($A18="","",IF(_xlfn.MAXIFS(HISTORIAL!$A$5:$A$2004,HISTORIAL!$E$5:$E$2004,$A18,HISTORIAL!$F$5:$F$2004,"Bilbo",HISTORIAL!$G$5:$G$2004,$B18)=0,"",INDEX(HISTORIAL!$K$5:$K$2004,_xlfn.MAXIFS(HISTORIAL!$A$5:$A$2004,HISTORIAL!$E$5:$E$2004,$A18,HISTORIAL!$F$5:$F$2004,"Bilbo",HISTORIAL!$G$5:$G$2004,$B18))))</f>
        <v/>
      </c>
      <c r="J18" s="18" t="str">
        <f aca="false">IF($A18="","",COUNTIFS(HISTORIAL!$E$5:$E$2004,$A18,HISTORIAL!$F$5:$F$2004,"Bilbo",HISTORIAL!$G$5:$G$2004,$B18))</f>
        <v/>
      </c>
      <c r="K18" s="27" t="str">
        <f aca="false">IF($A18="","",IF(J18=0,"",_xlfn.MAXIFS(HISTORIAL!$J$5:$J$2004,HISTORIAL!$E$5:$E$2004,$A18,HISTORIAL!$F$5:$F$2004,"Bilbo",HISTORIAL!$G$5:$G$2004,$B18)))</f>
        <v/>
      </c>
      <c r="L18" s="18" t="str">
        <f aca="false">IF($A18="","",IF(J18=0,"",_xlfn.MAXIFS(HISTORIAL!$K$5:$K$2004,HISTORIAL!$E$5:$E$2004,$A18,HISTORIAL!$F$5:$F$2004,"Bilbo",HISTORIAL!$G$5:$G$2004,$B18,HISTORIAL!$J$5:$J$2004,K18)))</f>
        <v/>
      </c>
      <c r="M18" s="27" t="str">
        <f aca="false">IF($A18="","",IF(J18=0,"",_xlfn.MAXIFS(HISTORIAL!$T$5:$T$2004,HISTORIAL!$E$5:$E$2004,$A18,HISTORIAL!$F$5:$F$2004,"Bilbo",HISTORIAL!$G$5:$G$2004,$B18)))</f>
        <v/>
      </c>
      <c r="N18" s="27" t="str">
        <f aca="false">IF($A18="","",IF(J18=0,"",H18-E18))</f>
        <v/>
      </c>
      <c r="O18" s="27" t="str">
        <f aca="false">IF($A18="","",IF(COUNTIFS($A$6:$A$105,$A18,$B$6:$B$105,$B18-1)=0,"",SUMIFS($E$6:$E$105,$A$6:$A$105,$A18,$B$6:$B$105,$B18-1)))</f>
        <v/>
      </c>
      <c r="P18" s="18" t="str">
        <f aca="false">IF($A18="","",IF(OR(O18="",NOT(ISNUMBER(E18))),"—",IF(E18&gt;O18,"OK","ERROR: debe ser &gt; "&amp;O18)))</f>
        <v/>
      </c>
      <c r="Q18" s="18" t="str">
        <f aca="false">IF($A18="","",IF(OR(O18="",NOT(ISNUMBER(E18))),"",IF(_xlfn.MAXIFS(HISTORIAL!$K$5:$K$2004,HISTORIAL!$E$5:$E$2004,$A18,HISTORIAL!$F$5:$F$2004,"Bilbo",HISTORIAL!$G$5:$G$2004,$B18-1,HISTORIAL!$J$5:$J$2004,E18)=0,"sin dato comparable",_xlfn.MAXIFS(HISTORIAL!$K$5:$K$2004,HISTORIAL!$E$5:$E$2004,$A18,HISTORIAL!$F$5:$F$2004,"Bilbo",HISTORIAL!$G$5:$G$2004,$B18-1,HISTORIAL!$J$5:$J$2004,E18))))</f>
        <v/>
      </c>
      <c r="R18" s="18" t="str">
        <f aca="false">IF($A18="","",IF(AND(ISNUMBER(Q18),ISNUMBER(F18)),F18-Q18,""))</f>
        <v/>
      </c>
      <c r="S18" s="27" t="str">
        <f aca="false">IF($A18="","",SUMIFS(HISTORIAL!$R$5:$R$2004,HISTORIAL!$E$5:$E$2004,$A18,HISTORIAL!$F$5:$F$2004,"Bilbo",HISTORIAL!$G$5:$G$2004,$B18)+SUMIFS(HISTORIAL!$R$5:$R$2004,HISTORIAL!$E$5:$E$2004,$A18,HISTORIAL!$F$5:$F$2004,"Post-Bilbo",HISTORIAL!$G$5:$G$2004,$B18))</f>
        <v/>
      </c>
      <c r="T18" s="27" t="str">
        <f aca="false">IF($A18="","",IF(NOT(ISNUMBER(E18)),"",MAX(E18+INDEX(CONFIGURACIÓN!$H$42:$H$56,MATCH($A18,CONFIGURACIÓN!$B$42:$B$56,0)),-INT(-E18*(1+CONFIGURACIÓN!$C$17)/(INDEX(CONFIGURACIÓN!$H$42:$H$56,MATCH($A18,CONFIGURACIÓN!$B$42:$B$56,0))))*(INDEX(CONFIGURACIÓN!$H$42:$H$56,MATCH($A18,CONFIGURACIÓN!$B$42:$B$56,0))))))</f>
        <v/>
      </c>
      <c r="U18" s="13"/>
      <c r="V18" s="18" t="str">
        <f aca="false">IF($A18="","",IF(U18="","",IF(NOT(ISNUMBER(E18)),"sin carga inicial registrada",IF(U18&gt;E18,"OK","ERROR: debe ser &gt; "&amp;E18))))</f>
        <v/>
      </c>
      <c r="W18" s="11"/>
    </row>
    <row r="19" customFormat="false" ht="15" hidden="false" customHeight="true" outlineLevel="0" collapsed="false">
      <c r="A19" s="11"/>
      <c r="B19" s="11"/>
      <c r="C19" s="11"/>
      <c r="D19" s="28" t="str">
        <f aca="false">IF($A19="","",IF(_xlfn.MINIFS(HISTORIAL!$A$5:$A$2004,HISTORIAL!$E$5:$E$2004,$A19,HISTORIAL!$F$5:$F$2004,"Bilbo",HISTORIAL!$G$5:$G$2004,$B19)=0,"",INDEX(HISTORIAL!$B$5:$B$2004,_xlfn.MINIFS(HISTORIAL!$A$5:$A$2004,HISTORIAL!$E$5:$E$2004,$A19,HISTORIAL!$F$5:$F$2004,"Bilbo",HISTORIAL!$G$5:$G$2004,$B19))))</f>
        <v/>
      </c>
      <c r="E19" s="27" t="str">
        <f aca="false">IF($A19="","",IF(_xlfn.MINIFS(HISTORIAL!$A$5:$A$2004,HISTORIAL!$E$5:$E$2004,$A19,HISTORIAL!$F$5:$F$2004,"Bilbo",HISTORIAL!$G$5:$G$2004,$B19)=0,"",INDEX(HISTORIAL!$J$5:$J$2004,_xlfn.MINIFS(HISTORIAL!$A$5:$A$2004,HISTORIAL!$E$5:$E$2004,$A19,HISTORIAL!$F$5:$F$2004,"Bilbo",HISTORIAL!$G$5:$G$2004,$B19))))</f>
        <v/>
      </c>
      <c r="F19" s="18" t="str">
        <f aca="false">IF($A19="","",IF(_xlfn.MINIFS(HISTORIAL!$A$5:$A$2004,HISTORIAL!$E$5:$E$2004,$A19,HISTORIAL!$F$5:$F$2004,"Bilbo",HISTORIAL!$G$5:$G$2004,$B19)=0,"",INDEX(HISTORIAL!$K$5:$K$2004,_xlfn.MINIFS(HISTORIAL!$A$5:$A$2004,HISTORIAL!$E$5:$E$2004,$A19,HISTORIAL!$F$5:$F$2004,"Bilbo",HISTORIAL!$G$5:$G$2004,$B19))))</f>
        <v/>
      </c>
      <c r="G19" s="28" t="str">
        <f aca="false">IF($A19="","",IF(_xlfn.MAXIFS(HISTORIAL!$A$5:$A$2004,HISTORIAL!$E$5:$E$2004,$A19,HISTORIAL!$F$5:$F$2004,"Bilbo",HISTORIAL!$G$5:$G$2004,$B19)=0,"",INDEX(HISTORIAL!$B$5:$B$2004,_xlfn.MAXIFS(HISTORIAL!$A$5:$A$2004,HISTORIAL!$E$5:$E$2004,$A19,HISTORIAL!$F$5:$F$2004,"Bilbo",HISTORIAL!$G$5:$G$2004,$B19))))</f>
        <v/>
      </c>
      <c r="H19" s="27" t="str">
        <f aca="false">IF($A19="","",IF(_xlfn.MAXIFS(HISTORIAL!$A$5:$A$2004,HISTORIAL!$E$5:$E$2004,$A19,HISTORIAL!$F$5:$F$2004,"Bilbo",HISTORIAL!$G$5:$G$2004,$B19)=0,"",INDEX(HISTORIAL!$J$5:$J$2004,_xlfn.MAXIFS(HISTORIAL!$A$5:$A$2004,HISTORIAL!$E$5:$E$2004,$A19,HISTORIAL!$F$5:$F$2004,"Bilbo",HISTORIAL!$G$5:$G$2004,$B19))))</f>
        <v/>
      </c>
      <c r="I19" s="18" t="str">
        <f aca="false">IF($A19="","",IF(_xlfn.MAXIFS(HISTORIAL!$A$5:$A$2004,HISTORIAL!$E$5:$E$2004,$A19,HISTORIAL!$F$5:$F$2004,"Bilbo",HISTORIAL!$G$5:$G$2004,$B19)=0,"",INDEX(HISTORIAL!$K$5:$K$2004,_xlfn.MAXIFS(HISTORIAL!$A$5:$A$2004,HISTORIAL!$E$5:$E$2004,$A19,HISTORIAL!$F$5:$F$2004,"Bilbo",HISTORIAL!$G$5:$G$2004,$B19))))</f>
        <v/>
      </c>
      <c r="J19" s="18" t="str">
        <f aca="false">IF($A19="","",COUNTIFS(HISTORIAL!$E$5:$E$2004,$A19,HISTORIAL!$F$5:$F$2004,"Bilbo",HISTORIAL!$G$5:$G$2004,$B19))</f>
        <v/>
      </c>
      <c r="K19" s="27" t="str">
        <f aca="false">IF($A19="","",IF(J19=0,"",_xlfn.MAXIFS(HISTORIAL!$J$5:$J$2004,HISTORIAL!$E$5:$E$2004,$A19,HISTORIAL!$F$5:$F$2004,"Bilbo",HISTORIAL!$G$5:$G$2004,$B19)))</f>
        <v/>
      </c>
      <c r="L19" s="18" t="str">
        <f aca="false">IF($A19="","",IF(J19=0,"",_xlfn.MAXIFS(HISTORIAL!$K$5:$K$2004,HISTORIAL!$E$5:$E$2004,$A19,HISTORIAL!$F$5:$F$2004,"Bilbo",HISTORIAL!$G$5:$G$2004,$B19,HISTORIAL!$J$5:$J$2004,K19)))</f>
        <v/>
      </c>
      <c r="M19" s="27" t="str">
        <f aca="false">IF($A19="","",IF(J19=0,"",_xlfn.MAXIFS(HISTORIAL!$T$5:$T$2004,HISTORIAL!$E$5:$E$2004,$A19,HISTORIAL!$F$5:$F$2004,"Bilbo",HISTORIAL!$G$5:$G$2004,$B19)))</f>
        <v/>
      </c>
      <c r="N19" s="27" t="str">
        <f aca="false">IF($A19="","",IF(J19=0,"",H19-E19))</f>
        <v/>
      </c>
      <c r="O19" s="27" t="str">
        <f aca="false">IF($A19="","",IF(COUNTIFS($A$6:$A$105,$A19,$B$6:$B$105,$B19-1)=0,"",SUMIFS($E$6:$E$105,$A$6:$A$105,$A19,$B$6:$B$105,$B19-1)))</f>
        <v/>
      </c>
      <c r="P19" s="18" t="str">
        <f aca="false">IF($A19="","",IF(OR(O19="",NOT(ISNUMBER(E19))),"—",IF(E19&gt;O19,"OK","ERROR: debe ser &gt; "&amp;O19)))</f>
        <v/>
      </c>
      <c r="Q19" s="18" t="str">
        <f aca="false">IF($A19="","",IF(OR(O19="",NOT(ISNUMBER(E19))),"",IF(_xlfn.MAXIFS(HISTORIAL!$K$5:$K$2004,HISTORIAL!$E$5:$E$2004,$A19,HISTORIAL!$F$5:$F$2004,"Bilbo",HISTORIAL!$G$5:$G$2004,$B19-1,HISTORIAL!$J$5:$J$2004,E19)=0,"sin dato comparable",_xlfn.MAXIFS(HISTORIAL!$K$5:$K$2004,HISTORIAL!$E$5:$E$2004,$A19,HISTORIAL!$F$5:$F$2004,"Bilbo",HISTORIAL!$G$5:$G$2004,$B19-1,HISTORIAL!$J$5:$J$2004,E19))))</f>
        <v/>
      </c>
      <c r="R19" s="18" t="str">
        <f aca="false">IF($A19="","",IF(AND(ISNUMBER(Q19),ISNUMBER(F19)),F19-Q19,""))</f>
        <v/>
      </c>
      <c r="S19" s="27" t="str">
        <f aca="false">IF($A19="","",SUMIFS(HISTORIAL!$R$5:$R$2004,HISTORIAL!$E$5:$E$2004,$A19,HISTORIAL!$F$5:$F$2004,"Bilbo",HISTORIAL!$G$5:$G$2004,$B19)+SUMIFS(HISTORIAL!$R$5:$R$2004,HISTORIAL!$E$5:$E$2004,$A19,HISTORIAL!$F$5:$F$2004,"Post-Bilbo",HISTORIAL!$G$5:$G$2004,$B19))</f>
        <v/>
      </c>
      <c r="T19" s="27" t="str">
        <f aca="false">IF($A19="","",IF(NOT(ISNUMBER(E19)),"",MAX(E19+INDEX(CONFIGURACIÓN!$H$42:$H$56,MATCH($A19,CONFIGURACIÓN!$B$42:$B$56,0)),-INT(-E19*(1+CONFIGURACIÓN!$C$17)/(INDEX(CONFIGURACIÓN!$H$42:$H$56,MATCH($A19,CONFIGURACIÓN!$B$42:$B$56,0))))*(INDEX(CONFIGURACIÓN!$H$42:$H$56,MATCH($A19,CONFIGURACIÓN!$B$42:$B$56,0))))))</f>
        <v/>
      </c>
      <c r="U19" s="13"/>
      <c r="V19" s="18" t="str">
        <f aca="false">IF($A19="","",IF(U19="","",IF(NOT(ISNUMBER(E19)),"sin carga inicial registrada",IF(U19&gt;E19,"OK","ERROR: debe ser &gt; "&amp;E19))))</f>
        <v/>
      </c>
      <c r="W19" s="11"/>
    </row>
    <row r="20" customFormat="false" ht="15" hidden="false" customHeight="true" outlineLevel="0" collapsed="false">
      <c r="A20" s="11"/>
      <c r="B20" s="11"/>
      <c r="C20" s="11"/>
      <c r="D20" s="28" t="str">
        <f aca="false">IF($A20="","",IF(_xlfn.MINIFS(HISTORIAL!$A$5:$A$2004,HISTORIAL!$E$5:$E$2004,$A20,HISTORIAL!$F$5:$F$2004,"Bilbo",HISTORIAL!$G$5:$G$2004,$B20)=0,"",INDEX(HISTORIAL!$B$5:$B$2004,_xlfn.MINIFS(HISTORIAL!$A$5:$A$2004,HISTORIAL!$E$5:$E$2004,$A20,HISTORIAL!$F$5:$F$2004,"Bilbo",HISTORIAL!$G$5:$G$2004,$B20))))</f>
        <v/>
      </c>
      <c r="E20" s="27" t="str">
        <f aca="false">IF($A20="","",IF(_xlfn.MINIFS(HISTORIAL!$A$5:$A$2004,HISTORIAL!$E$5:$E$2004,$A20,HISTORIAL!$F$5:$F$2004,"Bilbo",HISTORIAL!$G$5:$G$2004,$B20)=0,"",INDEX(HISTORIAL!$J$5:$J$2004,_xlfn.MINIFS(HISTORIAL!$A$5:$A$2004,HISTORIAL!$E$5:$E$2004,$A20,HISTORIAL!$F$5:$F$2004,"Bilbo",HISTORIAL!$G$5:$G$2004,$B20))))</f>
        <v/>
      </c>
      <c r="F20" s="18" t="str">
        <f aca="false">IF($A20="","",IF(_xlfn.MINIFS(HISTORIAL!$A$5:$A$2004,HISTORIAL!$E$5:$E$2004,$A20,HISTORIAL!$F$5:$F$2004,"Bilbo",HISTORIAL!$G$5:$G$2004,$B20)=0,"",INDEX(HISTORIAL!$K$5:$K$2004,_xlfn.MINIFS(HISTORIAL!$A$5:$A$2004,HISTORIAL!$E$5:$E$2004,$A20,HISTORIAL!$F$5:$F$2004,"Bilbo",HISTORIAL!$G$5:$G$2004,$B20))))</f>
        <v/>
      </c>
      <c r="G20" s="28" t="str">
        <f aca="false">IF($A20="","",IF(_xlfn.MAXIFS(HISTORIAL!$A$5:$A$2004,HISTORIAL!$E$5:$E$2004,$A20,HISTORIAL!$F$5:$F$2004,"Bilbo",HISTORIAL!$G$5:$G$2004,$B20)=0,"",INDEX(HISTORIAL!$B$5:$B$2004,_xlfn.MAXIFS(HISTORIAL!$A$5:$A$2004,HISTORIAL!$E$5:$E$2004,$A20,HISTORIAL!$F$5:$F$2004,"Bilbo",HISTORIAL!$G$5:$G$2004,$B20))))</f>
        <v/>
      </c>
      <c r="H20" s="27" t="str">
        <f aca="false">IF($A20="","",IF(_xlfn.MAXIFS(HISTORIAL!$A$5:$A$2004,HISTORIAL!$E$5:$E$2004,$A20,HISTORIAL!$F$5:$F$2004,"Bilbo",HISTORIAL!$G$5:$G$2004,$B20)=0,"",INDEX(HISTORIAL!$J$5:$J$2004,_xlfn.MAXIFS(HISTORIAL!$A$5:$A$2004,HISTORIAL!$E$5:$E$2004,$A20,HISTORIAL!$F$5:$F$2004,"Bilbo",HISTORIAL!$G$5:$G$2004,$B20))))</f>
        <v/>
      </c>
      <c r="I20" s="18" t="str">
        <f aca="false">IF($A20="","",IF(_xlfn.MAXIFS(HISTORIAL!$A$5:$A$2004,HISTORIAL!$E$5:$E$2004,$A20,HISTORIAL!$F$5:$F$2004,"Bilbo",HISTORIAL!$G$5:$G$2004,$B20)=0,"",INDEX(HISTORIAL!$K$5:$K$2004,_xlfn.MAXIFS(HISTORIAL!$A$5:$A$2004,HISTORIAL!$E$5:$E$2004,$A20,HISTORIAL!$F$5:$F$2004,"Bilbo",HISTORIAL!$G$5:$G$2004,$B20))))</f>
        <v/>
      </c>
      <c r="J20" s="18" t="str">
        <f aca="false">IF($A20="","",COUNTIFS(HISTORIAL!$E$5:$E$2004,$A20,HISTORIAL!$F$5:$F$2004,"Bilbo",HISTORIAL!$G$5:$G$2004,$B20))</f>
        <v/>
      </c>
      <c r="K20" s="27" t="str">
        <f aca="false">IF($A20="","",IF(J20=0,"",_xlfn.MAXIFS(HISTORIAL!$J$5:$J$2004,HISTORIAL!$E$5:$E$2004,$A20,HISTORIAL!$F$5:$F$2004,"Bilbo",HISTORIAL!$G$5:$G$2004,$B20)))</f>
        <v/>
      </c>
      <c r="L20" s="18" t="str">
        <f aca="false">IF($A20="","",IF(J20=0,"",_xlfn.MAXIFS(HISTORIAL!$K$5:$K$2004,HISTORIAL!$E$5:$E$2004,$A20,HISTORIAL!$F$5:$F$2004,"Bilbo",HISTORIAL!$G$5:$G$2004,$B20,HISTORIAL!$J$5:$J$2004,K20)))</f>
        <v/>
      </c>
      <c r="M20" s="27" t="str">
        <f aca="false">IF($A20="","",IF(J20=0,"",_xlfn.MAXIFS(HISTORIAL!$T$5:$T$2004,HISTORIAL!$E$5:$E$2004,$A20,HISTORIAL!$F$5:$F$2004,"Bilbo",HISTORIAL!$G$5:$G$2004,$B20)))</f>
        <v/>
      </c>
      <c r="N20" s="27" t="str">
        <f aca="false">IF($A20="","",IF(J20=0,"",H20-E20))</f>
        <v/>
      </c>
      <c r="O20" s="27" t="str">
        <f aca="false">IF($A20="","",IF(COUNTIFS($A$6:$A$105,$A20,$B$6:$B$105,$B20-1)=0,"",SUMIFS($E$6:$E$105,$A$6:$A$105,$A20,$B$6:$B$105,$B20-1)))</f>
        <v/>
      </c>
      <c r="P20" s="18" t="str">
        <f aca="false">IF($A20="","",IF(OR(O20="",NOT(ISNUMBER(E20))),"—",IF(E20&gt;O20,"OK","ERROR: debe ser &gt; "&amp;O20)))</f>
        <v/>
      </c>
      <c r="Q20" s="18" t="str">
        <f aca="false">IF($A20="","",IF(OR(O20="",NOT(ISNUMBER(E20))),"",IF(_xlfn.MAXIFS(HISTORIAL!$K$5:$K$2004,HISTORIAL!$E$5:$E$2004,$A20,HISTORIAL!$F$5:$F$2004,"Bilbo",HISTORIAL!$G$5:$G$2004,$B20-1,HISTORIAL!$J$5:$J$2004,E20)=0,"sin dato comparable",_xlfn.MAXIFS(HISTORIAL!$K$5:$K$2004,HISTORIAL!$E$5:$E$2004,$A20,HISTORIAL!$F$5:$F$2004,"Bilbo",HISTORIAL!$G$5:$G$2004,$B20-1,HISTORIAL!$J$5:$J$2004,E20))))</f>
        <v/>
      </c>
      <c r="R20" s="18" t="str">
        <f aca="false">IF($A20="","",IF(AND(ISNUMBER(Q20),ISNUMBER(F20)),F20-Q20,""))</f>
        <v/>
      </c>
      <c r="S20" s="27" t="str">
        <f aca="false">IF($A20="","",SUMIFS(HISTORIAL!$R$5:$R$2004,HISTORIAL!$E$5:$E$2004,$A20,HISTORIAL!$F$5:$F$2004,"Bilbo",HISTORIAL!$G$5:$G$2004,$B20)+SUMIFS(HISTORIAL!$R$5:$R$2004,HISTORIAL!$E$5:$E$2004,$A20,HISTORIAL!$F$5:$F$2004,"Post-Bilbo",HISTORIAL!$G$5:$G$2004,$B20))</f>
        <v/>
      </c>
      <c r="T20" s="27" t="str">
        <f aca="false">IF($A20="","",IF(NOT(ISNUMBER(E20)),"",MAX(E20+INDEX(CONFIGURACIÓN!$H$42:$H$56,MATCH($A20,CONFIGURACIÓN!$B$42:$B$56,0)),-INT(-E20*(1+CONFIGURACIÓN!$C$17)/(INDEX(CONFIGURACIÓN!$H$42:$H$56,MATCH($A20,CONFIGURACIÓN!$B$42:$B$56,0))))*(INDEX(CONFIGURACIÓN!$H$42:$H$56,MATCH($A20,CONFIGURACIÓN!$B$42:$B$56,0))))))</f>
        <v/>
      </c>
      <c r="U20" s="13"/>
      <c r="V20" s="18" t="str">
        <f aca="false">IF($A20="","",IF(U20="","",IF(NOT(ISNUMBER(E20)),"sin carga inicial registrada",IF(U20&gt;E20,"OK","ERROR: debe ser &gt; "&amp;E20))))</f>
        <v/>
      </c>
      <c r="W20" s="11"/>
    </row>
    <row r="21" customFormat="false" ht="15" hidden="false" customHeight="true" outlineLevel="0" collapsed="false">
      <c r="A21" s="11"/>
      <c r="B21" s="11"/>
      <c r="C21" s="11"/>
      <c r="D21" s="28" t="str">
        <f aca="false">IF($A21="","",IF(_xlfn.MINIFS(HISTORIAL!$A$5:$A$2004,HISTORIAL!$E$5:$E$2004,$A21,HISTORIAL!$F$5:$F$2004,"Bilbo",HISTORIAL!$G$5:$G$2004,$B21)=0,"",INDEX(HISTORIAL!$B$5:$B$2004,_xlfn.MINIFS(HISTORIAL!$A$5:$A$2004,HISTORIAL!$E$5:$E$2004,$A21,HISTORIAL!$F$5:$F$2004,"Bilbo",HISTORIAL!$G$5:$G$2004,$B21))))</f>
        <v/>
      </c>
      <c r="E21" s="27" t="str">
        <f aca="false">IF($A21="","",IF(_xlfn.MINIFS(HISTORIAL!$A$5:$A$2004,HISTORIAL!$E$5:$E$2004,$A21,HISTORIAL!$F$5:$F$2004,"Bilbo",HISTORIAL!$G$5:$G$2004,$B21)=0,"",INDEX(HISTORIAL!$J$5:$J$2004,_xlfn.MINIFS(HISTORIAL!$A$5:$A$2004,HISTORIAL!$E$5:$E$2004,$A21,HISTORIAL!$F$5:$F$2004,"Bilbo",HISTORIAL!$G$5:$G$2004,$B21))))</f>
        <v/>
      </c>
      <c r="F21" s="18" t="str">
        <f aca="false">IF($A21="","",IF(_xlfn.MINIFS(HISTORIAL!$A$5:$A$2004,HISTORIAL!$E$5:$E$2004,$A21,HISTORIAL!$F$5:$F$2004,"Bilbo",HISTORIAL!$G$5:$G$2004,$B21)=0,"",INDEX(HISTORIAL!$K$5:$K$2004,_xlfn.MINIFS(HISTORIAL!$A$5:$A$2004,HISTORIAL!$E$5:$E$2004,$A21,HISTORIAL!$F$5:$F$2004,"Bilbo",HISTORIAL!$G$5:$G$2004,$B21))))</f>
        <v/>
      </c>
      <c r="G21" s="28" t="str">
        <f aca="false">IF($A21="","",IF(_xlfn.MAXIFS(HISTORIAL!$A$5:$A$2004,HISTORIAL!$E$5:$E$2004,$A21,HISTORIAL!$F$5:$F$2004,"Bilbo",HISTORIAL!$G$5:$G$2004,$B21)=0,"",INDEX(HISTORIAL!$B$5:$B$2004,_xlfn.MAXIFS(HISTORIAL!$A$5:$A$2004,HISTORIAL!$E$5:$E$2004,$A21,HISTORIAL!$F$5:$F$2004,"Bilbo",HISTORIAL!$G$5:$G$2004,$B21))))</f>
        <v/>
      </c>
      <c r="H21" s="27" t="str">
        <f aca="false">IF($A21="","",IF(_xlfn.MAXIFS(HISTORIAL!$A$5:$A$2004,HISTORIAL!$E$5:$E$2004,$A21,HISTORIAL!$F$5:$F$2004,"Bilbo",HISTORIAL!$G$5:$G$2004,$B21)=0,"",INDEX(HISTORIAL!$J$5:$J$2004,_xlfn.MAXIFS(HISTORIAL!$A$5:$A$2004,HISTORIAL!$E$5:$E$2004,$A21,HISTORIAL!$F$5:$F$2004,"Bilbo",HISTORIAL!$G$5:$G$2004,$B21))))</f>
        <v/>
      </c>
      <c r="I21" s="18" t="str">
        <f aca="false">IF($A21="","",IF(_xlfn.MAXIFS(HISTORIAL!$A$5:$A$2004,HISTORIAL!$E$5:$E$2004,$A21,HISTORIAL!$F$5:$F$2004,"Bilbo",HISTORIAL!$G$5:$G$2004,$B21)=0,"",INDEX(HISTORIAL!$K$5:$K$2004,_xlfn.MAXIFS(HISTORIAL!$A$5:$A$2004,HISTORIAL!$E$5:$E$2004,$A21,HISTORIAL!$F$5:$F$2004,"Bilbo",HISTORIAL!$G$5:$G$2004,$B21))))</f>
        <v/>
      </c>
      <c r="J21" s="18" t="str">
        <f aca="false">IF($A21="","",COUNTIFS(HISTORIAL!$E$5:$E$2004,$A21,HISTORIAL!$F$5:$F$2004,"Bilbo",HISTORIAL!$G$5:$G$2004,$B21))</f>
        <v/>
      </c>
      <c r="K21" s="27" t="str">
        <f aca="false">IF($A21="","",IF(J21=0,"",_xlfn.MAXIFS(HISTORIAL!$J$5:$J$2004,HISTORIAL!$E$5:$E$2004,$A21,HISTORIAL!$F$5:$F$2004,"Bilbo",HISTORIAL!$G$5:$G$2004,$B21)))</f>
        <v/>
      </c>
      <c r="L21" s="18" t="str">
        <f aca="false">IF($A21="","",IF(J21=0,"",_xlfn.MAXIFS(HISTORIAL!$K$5:$K$2004,HISTORIAL!$E$5:$E$2004,$A21,HISTORIAL!$F$5:$F$2004,"Bilbo",HISTORIAL!$G$5:$G$2004,$B21,HISTORIAL!$J$5:$J$2004,K21)))</f>
        <v/>
      </c>
      <c r="M21" s="27" t="str">
        <f aca="false">IF($A21="","",IF(J21=0,"",_xlfn.MAXIFS(HISTORIAL!$T$5:$T$2004,HISTORIAL!$E$5:$E$2004,$A21,HISTORIAL!$F$5:$F$2004,"Bilbo",HISTORIAL!$G$5:$G$2004,$B21)))</f>
        <v/>
      </c>
      <c r="N21" s="27" t="str">
        <f aca="false">IF($A21="","",IF(J21=0,"",H21-E21))</f>
        <v/>
      </c>
      <c r="O21" s="27" t="str">
        <f aca="false">IF($A21="","",IF(COUNTIFS($A$6:$A$105,$A21,$B$6:$B$105,$B21-1)=0,"",SUMIFS($E$6:$E$105,$A$6:$A$105,$A21,$B$6:$B$105,$B21-1)))</f>
        <v/>
      </c>
      <c r="P21" s="18" t="str">
        <f aca="false">IF($A21="","",IF(OR(O21="",NOT(ISNUMBER(E21))),"—",IF(E21&gt;O21,"OK","ERROR: debe ser &gt; "&amp;O21)))</f>
        <v/>
      </c>
      <c r="Q21" s="18" t="str">
        <f aca="false">IF($A21="","",IF(OR(O21="",NOT(ISNUMBER(E21))),"",IF(_xlfn.MAXIFS(HISTORIAL!$K$5:$K$2004,HISTORIAL!$E$5:$E$2004,$A21,HISTORIAL!$F$5:$F$2004,"Bilbo",HISTORIAL!$G$5:$G$2004,$B21-1,HISTORIAL!$J$5:$J$2004,E21)=0,"sin dato comparable",_xlfn.MAXIFS(HISTORIAL!$K$5:$K$2004,HISTORIAL!$E$5:$E$2004,$A21,HISTORIAL!$F$5:$F$2004,"Bilbo",HISTORIAL!$G$5:$G$2004,$B21-1,HISTORIAL!$J$5:$J$2004,E21))))</f>
        <v/>
      </c>
      <c r="R21" s="18" t="str">
        <f aca="false">IF($A21="","",IF(AND(ISNUMBER(Q21),ISNUMBER(F21)),F21-Q21,""))</f>
        <v/>
      </c>
      <c r="S21" s="27" t="str">
        <f aca="false">IF($A21="","",SUMIFS(HISTORIAL!$R$5:$R$2004,HISTORIAL!$E$5:$E$2004,$A21,HISTORIAL!$F$5:$F$2004,"Bilbo",HISTORIAL!$G$5:$G$2004,$B21)+SUMIFS(HISTORIAL!$R$5:$R$2004,HISTORIAL!$E$5:$E$2004,$A21,HISTORIAL!$F$5:$F$2004,"Post-Bilbo",HISTORIAL!$G$5:$G$2004,$B21))</f>
        <v/>
      </c>
      <c r="T21" s="27" t="str">
        <f aca="false">IF($A21="","",IF(NOT(ISNUMBER(E21)),"",MAX(E21+INDEX(CONFIGURACIÓN!$H$42:$H$56,MATCH($A21,CONFIGURACIÓN!$B$42:$B$56,0)),-INT(-E21*(1+CONFIGURACIÓN!$C$17)/(INDEX(CONFIGURACIÓN!$H$42:$H$56,MATCH($A21,CONFIGURACIÓN!$B$42:$B$56,0))))*(INDEX(CONFIGURACIÓN!$H$42:$H$56,MATCH($A21,CONFIGURACIÓN!$B$42:$B$56,0))))))</f>
        <v/>
      </c>
      <c r="U21" s="13"/>
      <c r="V21" s="18" t="str">
        <f aca="false">IF($A21="","",IF(U21="","",IF(NOT(ISNUMBER(E21)),"sin carga inicial registrada",IF(U21&gt;E21,"OK","ERROR: debe ser &gt; "&amp;E21))))</f>
        <v/>
      </c>
      <c r="W21" s="11"/>
    </row>
    <row r="22" customFormat="false" ht="15" hidden="false" customHeight="true" outlineLevel="0" collapsed="false">
      <c r="A22" s="11"/>
      <c r="B22" s="11"/>
      <c r="C22" s="11"/>
      <c r="D22" s="28" t="str">
        <f aca="false">IF($A22="","",IF(_xlfn.MINIFS(HISTORIAL!$A$5:$A$2004,HISTORIAL!$E$5:$E$2004,$A22,HISTORIAL!$F$5:$F$2004,"Bilbo",HISTORIAL!$G$5:$G$2004,$B22)=0,"",INDEX(HISTORIAL!$B$5:$B$2004,_xlfn.MINIFS(HISTORIAL!$A$5:$A$2004,HISTORIAL!$E$5:$E$2004,$A22,HISTORIAL!$F$5:$F$2004,"Bilbo",HISTORIAL!$G$5:$G$2004,$B22))))</f>
        <v/>
      </c>
      <c r="E22" s="27" t="str">
        <f aca="false">IF($A22="","",IF(_xlfn.MINIFS(HISTORIAL!$A$5:$A$2004,HISTORIAL!$E$5:$E$2004,$A22,HISTORIAL!$F$5:$F$2004,"Bilbo",HISTORIAL!$G$5:$G$2004,$B22)=0,"",INDEX(HISTORIAL!$J$5:$J$2004,_xlfn.MINIFS(HISTORIAL!$A$5:$A$2004,HISTORIAL!$E$5:$E$2004,$A22,HISTORIAL!$F$5:$F$2004,"Bilbo",HISTORIAL!$G$5:$G$2004,$B22))))</f>
        <v/>
      </c>
      <c r="F22" s="18" t="str">
        <f aca="false">IF($A22="","",IF(_xlfn.MINIFS(HISTORIAL!$A$5:$A$2004,HISTORIAL!$E$5:$E$2004,$A22,HISTORIAL!$F$5:$F$2004,"Bilbo",HISTORIAL!$G$5:$G$2004,$B22)=0,"",INDEX(HISTORIAL!$K$5:$K$2004,_xlfn.MINIFS(HISTORIAL!$A$5:$A$2004,HISTORIAL!$E$5:$E$2004,$A22,HISTORIAL!$F$5:$F$2004,"Bilbo",HISTORIAL!$G$5:$G$2004,$B22))))</f>
        <v/>
      </c>
      <c r="G22" s="28" t="str">
        <f aca="false">IF($A22="","",IF(_xlfn.MAXIFS(HISTORIAL!$A$5:$A$2004,HISTORIAL!$E$5:$E$2004,$A22,HISTORIAL!$F$5:$F$2004,"Bilbo",HISTORIAL!$G$5:$G$2004,$B22)=0,"",INDEX(HISTORIAL!$B$5:$B$2004,_xlfn.MAXIFS(HISTORIAL!$A$5:$A$2004,HISTORIAL!$E$5:$E$2004,$A22,HISTORIAL!$F$5:$F$2004,"Bilbo",HISTORIAL!$G$5:$G$2004,$B22))))</f>
        <v/>
      </c>
      <c r="H22" s="27" t="str">
        <f aca="false">IF($A22="","",IF(_xlfn.MAXIFS(HISTORIAL!$A$5:$A$2004,HISTORIAL!$E$5:$E$2004,$A22,HISTORIAL!$F$5:$F$2004,"Bilbo",HISTORIAL!$G$5:$G$2004,$B22)=0,"",INDEX(HISTORIAL!$J$5:$J$2004,_xlfn.MAXIFS(HISTORIAL!$A$5:$A$2004,HISTORIAL!$E$5:$E$2004,$A22,HISTORIAL!$F$5:$F$2004,"Bilbo",HISTORIAL!$G$5:$G$2004,$B22))))</f>
        <v/>
      </c>
      <c r="I22" s="18" t="str">
        <f aca="false">IF($A22="","",IF(_xlfn.MAXIFS(HISTORIAL!$A$5:$A$2004,HISTORIAL!$E$5:$E$2004,$A22,HISTORIAL!$F$5:$F$2004,"Bilbo",HISTORIAL!$G$5:$G$2004,$B22)=0,"",INDEX(HISTORIAL!$K$5:$K$2004,_xlfn.MAXIFS(HISTORIAL!$A$5:$A$2004,HISTORIAL!$E$5:$E$2004,$A22,HISTORIAL!$F$5:$F$2004,"Bilbo",HISTORIAL!$G$5:$G$2004,$B22))))</f>
        <v/>
      </c>
      <c r="J22" s="18" t="str">
        <f aca="false">IF($A22="","",COUNTIFS(HISTORIAL!$E$5:$E$2004,$A22,HISTORIAL!$F$5:$F$2004,"Bilbo",HISTORIAL!$G$5:$G$2004,$B22))</f>
        <v/>
      </c>
      <c r="K22" s="27" t="str">
        <f aca="false">IF($A22="","",IF(J22=0,"",_xlfn.MAXIFS(HISTORIAL!$J$5:$J$2004,HISTORIAL!$E$5:$E$2004,$A22,HISTORIAL!$F$5:$F$2004,"Bilbo",HISTORIAL!$G$5:$G$2004,$B22)))</f>
        <v/>
      </c>
      <c r="L22" s="18" t="str">
        <f aca="false">IF($A22="","",IF(J22=0,"",_xlfn.MAXIFS(HISTORIAL!$K$5:$K$2004,HISTORIAL!$E$5:$E$2004,$A22,HISTORIAL!$F$5:$F$2004,"Bilbo",HISTORIAL!$G$5:$G$2004,$B22,HISTORIAL!$J$5:$J$2004,K22)))</f>
        <v/>
      </c>
      <c r="M22" s="27" t="str">
        <f aca="false">IF($A22="","",IF(J22=0,"",_xlfn.MAXIFS(HISTORIAL!$T$5:$T$2004,HISTORIAL!$E$5:$E$2004,$A22,HISTORIAL!$F$5:$F$2004,"Bilbo",HISTORIAL!$G$5:$G$2004,$B22)))</f>
        <v/>
      </c>
      <c r="N22" s="27" t="str">
        <f aca="false">IF($A22="","",IF(J22=0,"",H22-E22))</f>
        <v/>
      </c>
      <c r="O22" s="27" t="str">
        <f aca="false">IF($A22="","",IF(COUNTIFS($A$6:$A$105,$A22,$B$6:$B$105,$B22-1)=0,"",SUMIFS($E$6:$E$105,$A$6:$A$105,$A22,$B$6:$B$105,$B22-1)))</f>
        <v/>
      </c>
      <c r="P22" s="18" t="str">
        <f aca="false">IF($A22="","",IF(OR(O22="",NOT(ISNUMBER(E22))),"—",IF(E22&gt;O22,"OK","ERROR: debe ser &gt; "&amp;O22)))</f>
        <v/>
      </c>
      <c r="Q22" s="18" t="str">
        <f aca="false">IF($A22="","",IF(OR(O22="",NOT(ISNUMBER(E22))),"",IF(_xlfn.MAXIFS(HISTORIAL!$K$5:$K$2004,HISTORIAL!$E$5:$E$2004,$A22,HISTORIAL!$F$5:$F$2004,"Bilbo",HISTORIAL!$G$5:$G$2004,$B22-1,HISTORIAL!$J$5:$J$2004,E22)=0,"sin dato comparable",_xlfn.MAXIFS(HISTORIAL!$K$5:$K$2004,HISTORIAL!$E$5:$E$2004,$A22,HISTORIAL!$F$5:$F$2004,"Bilbo",HISTORIAL!$G$5:$G$2004,$B22-1,HISTORIAL!$J$5:$J$2004,E22))))</f>
        <v/>
      </c>
      <c r="R22" s="18" t="str">
        <f aca="false">IF($A22="","",IF(AND(ISNUMBER(Q22),ISNUMBER(F22)),F22-Q22,""))</f>
        <v/>
      </c>
      <c r="S22" s="27" t="str">
        <f aca="false">IF($A22="","",SUMIFS(HISTORIAL!$R$5:$R$2004,HISTORIAL!$E$5:$E$2004,$A22,HISTORIAL!$F$5:$F$2004,"Bilbo",HISTORIAL!$G$5:$G$2004,$B22)+SUMIFS(HISTORIAL!$R$5:$R$2004,HISTORIAL!$E$5:$E$2004,$A22,HISTORIAL!$F$5:$F$2004,"Post-Bilbo",HISTORIAL!$G$5:$G$2004,$B22))</f>
        <v/>
      </c>
      <c r="T22" s="27" t="str">
        <f aca="false">IF($A22="","",IF(NOT(ISNUMBER(E22)),"",MAX(E22+INDEX(CONFIGURACIÓN!$H$42:$H$56,MATCH($A22,CONFIGURACIÓN!$B$42:$B$56,0)),-INT(-E22*(1+CONFIGURACIÓN!$C$17)/(INDEX(CONFIGURACIÓN!$H$42:$H$56,MATCH($A22,CONFIGURACIÓN!$B$42:$B$56,0))))*(INDEX(CONFIGURACIÓN!$H$42:$H$56,MATCH($A22,CONFIGURACIÓN!$B$42:$B$56,0))))))</f>
        <v/>
      </c>
      <c r="U22" s="13"/>
      <c r="V22" s="18" t="str">
        <f aca="false">IF($A22="","",IF(U22="","",IF(NOT(ISNUMBER(E22)),"sin carga inicial registrada",IF(U22&gt;E22,"OK","ERROR: debe ser &gt; "&amp;E22))))</f>
        <v/>
      </c>
      <c r="W22" s="11"/>
    </row>
    <row r="23" customFormat="false" ht="15" hidden="false" customHeight="true" outlineLevel="0" collapsed="false">
      <c r="A23" s="11"/>
      <c r="B23" s="11"/>
      <c r="C23" s="11"/>
      <c r="D23" s="28" t="str">
        <f aca="false">IF($A23="","",IF(_xlfn.MINIFS(HISTORIAL!$A$5:$A$2004,HISTORIAL!$E$5:$E$2004,$A23,HISTORIAL!$F$5:$F$2004,"Bilbo",HISTORIAL!$G$5:$G$2004,$B23)=0,"",INDEX(HISTORIAL!$B$5:$B$2004,_xlfn.MINIFS(HISTORIAL!$A$5:$A$2004,HISTORIAL!$E$5:$E$2004,$A23,HISTORIAL!$F$5:$F$2004,"Bilbo",HISTORIAL!$G$5:$G$2004,$B23))))</f>
        <v/>
      </c>
      <c r="E23" s="27" t="str">
        <f aca="false">IF($A23="","",IF(_xlfn.MINIFS(HISTORIAL!$A$5:$A$2004,HISTORIAL!$E$5:$E$2004,$A23,HISTORIAL!$F$5:$F$2004,"Bilbo",HISTORIAL!$G$5:$G$2004,$B23)=0,"",INDEX(HISTORIAL!$J$5:$J$2004,_xlfn.MINIFS(HISTORIAL!$A$5:$A$2004,HISTORIAL!$E$5:$E$2004,$A23,HISTORIAL!$F$5:$F$2004,"Bilbo",HISTORIAL!$G$5:$G$2004,$B23))))</f>
        <v/>
      </c>
      <c r="F23" s="18" t="str">
        <f aca="false">IF($A23="","",IF(_xlfn.MINIFS(HISTORIAL!$A$5:$A$2004,HISTORIAL!$E$5:$E$2004,$A23,HISTORIAL!$F$5:$F$2004,"Bilbo",HISTORIAL!$G$5:$G$2004,$B23)=0,"",INDEX(HISTORIAL!$K$5:$K$2004,_xlfn.MINIFS(HISTORIAL!$A$5:$A$2004,HISTORIAL!$E$5:$E$2004,$A23,HISTORIAL!$F$5:$F$2004,"Bilbo",HISTORIAL!$G$5:$G$2004,$B23))))</f>
        <v/>
      </c>
      <c r="G23" s="28" t="str">
        <f aca="false">IF($A23="","",IF(_xlfn.MAXIFS(HISTORIAL!$A$5:$A$2004,HISTORIAL!$E$5:$E$2004,$A23,HISTORIAL!$F$5:$F$2004,"Bilbo",HISTORIAL!$G$5:$G$2004,$B23)=0,"",INDEX(HISTORIAL!$B$5:$B$2004,_xlfn.MAXIFS(HISTORIAL!$A$5:$A$2004,HISTORIAL!$E$5:$E$2004,$A23,HISTORIAL!$F$5:$F$2004,"Bilbo",HISTORIAL!$G$5:$G$2004,$B23))))</f>
        <v/>
      </c>
      <c r="H23" s="27" t="str">
        <f aca="false">IF($A23="","",IF(_xlfn.MAXIFS(HISTORIAL!$A$5:$A$2004,HISTORIAL!$E$5:$E$2004,$A23,HISTORIAL!$F$5:$F$2004,"Bilbo",HISTORIAL!$G$5:$G$2004,$B23)=0,"",INDEX(HISTORIAL!$J$5:$J$2004,_xlfn.MAXIFS(HISTORIAL!$A$5:$A$2004,HISTORIAL!$E$5:$E$2004,$A23,HISTORIAL!$F$5:$F$2004,"Bilbo",HISTORIAL!$G$5:$G$2004,$B23))))</f>
        <v/>
      </c>
      <c r="I23" s="18" t="str">
        <f aca="false">IF($A23="","",IF(_xlfn.MAXIFS(HISTORIAL!$A$5:$A$2004,HISTORIAL!$E$5:$E$2004,$A23,HISTORIAL!$F$5:$F$2004,"Bilbo",HISTORIAL!$G$5:$G$2004,$B23)=0,"",INDEX(HISTORIAL!$K$5:$K$2004,_xlfn.MAXIFS(HISTORIAL!$A$5:$A$2004,HISTORIAL!$E$5:$E$2004,$A23,HISTORIAL!$F$5:$F$2004,"Bilbo",HISTORIAL!$G$5:$G$2004,$B23))))</f>
        <v/>
      </c>
      <c r="J23" s="18" t="str">
        <f aca="false">IF($A23="","",COUNTIFS(HISTORIAL!$E$5:$E$2004,$A23,HISTORIAL!$F$5:$F$2004,"Bilbo",HISTORIAL!$G$5:$G$2004,$B23))</f>
        <v/>
      </c>
      <c r="K23" s="27" t="str">
        <f aca="false">IF($A23="","",IF(J23=0,"",_xlfn.MAXIFS(HISTORIAL!$J$5:$J$2004,HISTORIAL!$E$5:$E$2004,$A23,HISTORIAL!$F$5:$F$2004,"Bilbo",HISTORIAL!$G$5:$G$2004,$B23)))</f>
        <v/>
      </c>
      <c r="L23" s="18" t="str">
        <f aca="false">IF($A23="","",IF(J23=0,"",_xlfn.MAXIFS(HISTORIAL!$K$5:$K$2004,HISTORIAL!$E$5:$E$2004,$A23,HISTORIAL!$F$5:$F$2004,"Bilbo",HISTORIAL!$G$5:$G$2004,$B23,HISTORIAL!$J$5:$J$2004,K23)))</f>
        <v/>
      </c>
      <c r="M23" s="27" t="str">
        <f aca="false">IF($A23="","",IF(J23=0,"",_xlfn.MAXIFS(HISTORIAL!$T$5:$T$2004,HISTORIAL!$E$5:$E$2004,$A23,HISTORIAL!$F$5:$F$2004,"Bilbo",HISTORIAL!$G$5:$G$2004,$B23)))</f>
        <v/>
      </c>
      <c r="N23" s="27" t="str">
        <f aca="false">IF($A23="","",IF(J23=0,"",H23-E23))</f>
        <v/>
      </c>
      <c r="O23" s="27" t="str">
        <f aca="false">IF($A23="","",IF(COUNTIFS($A$6:$A$105,$A23,$B$6:$B$105,$B23-1)=0,"",SUMIFS($E$6:$E$105,$A$6:$A$105,$A23,$B$6:$B$105,$B23-1)))</f>
        <v/>
      </c>
      <c r="P23" s="18" t="str">
        <f aca="false">IF($A23="","",IF(OR(O23="",NOT(ISNUMBER(E23))),"—",IF(E23&gt;O23,"OK","ERROR: debe ser &gt; "&amp;O23)))</f>
        <v/>
      </c>
      <c r="Q23" s="18" t="str">
        <f aca="false">IF($A23="","",IF(OR(O23="",NOT(ISNUMBER(E23))),"",IF(_xlfn.MAXIFS(HISTORIAL!$K$5:$K$2004,HISTORIAL!$E$5:$E$2004,$A23,HISTORIAL!$F$5:$F$2004,"Bilbo",HISTORIAL!$G$5:$G$2004,$B23-1,HISTORIAL!$J$5:$J$2004,E23)=0,"sin dato comparable",_xlfn.MAXIFS(HISTORIAL!$K$5:$K$2004,HISTORIAL!$E$5:$E$2004,$A23,HISTORIAL!$F$5:$F$2004,"Bilbo",HISTORIAL!$G$5:$G$2004,$B23-1,HISTORIAL!$J$5:$J$2004,E23))))</f>
        <v/>
      </c>
      <c r="R23" s="18" t="str">
        <f aca="false">IF($A23="","",IF(AND(ISNUMBER(Q23),ISNUMBER(F23)),F23-Q23,""))</f>
        <v/>
      </c>
      <c r="S23" s="27" t="str">
        <f aca="false">IF($A23="","",SUMIFS(HISTORIAL!$R$5:$R$2004,HISTORIAL!$E$5:$E$2004,$A23,HISTORIAL!$F$5:$F$2004,"Bilbo",HISTORIAL!$G$5:$G$2004,$B23)+SUMIFS(HISTORIAL!$R$5:$R$2004,HISTORIAL!$E$5:$E$2004,$A23,HISTORIAL!$F$5:$F$2004,"Post-Bilbo",HISTORIAL!$G$5:$G$2004,$B23))</f>
        <v/>
      </c>
      <c r="T23" s="27" t="str">
        <f aca="false">IF($A23="","",IF(NOT(ISNUMBER(E23)),"",MAX(E23+INDEX(CONFIGURACIÓN!$H$42:$H$56,MATCH($A23,CONFIGURACIÓN!$B$42:$B$56,0)),-INT(-E23*(1+CONFIGURACIÓN!$C$17)/(INDEX(CONFIGURACIÓN!$H$42:$H$56,MATCH($A23,CONFIGURACIÓN!$B$42:$B$56,0))))*(INDEX(CONFIGURACIÓN!$H$42:$H$56,MATCH($A23,CONFIGURACIÓN!$B$42:$B$56,0))))))</f>
        <v/>
      </c>
      <c r="U23" s="13"/>
      <c r="V23" s="18" t="str">
        <f aca="false">IF($A23="","",IF(U23="","",IF(NOT(ISNUMBER(E23)),"sin carga inicial registrada",IF(U23&gt;E23,"OK","ERROR: debe ser &gt; "&amp;E23))))</f>
        <v/>
      </c>
      <c r="W23" s="11"/>
    </row>
    <row r="24" customFormat="false" ht="15" hidden="false" customHeight="true" outlineLevel="0" collapsed="false">
      <c r="A24" s="11"/>
      <c r="B24" s="11"/>
      <c r="C24" s="11"/>
      <c r="D24" s="28" t="str">
        <f aca="false">IF($A24="","",IF(_xlfn.MINIFS(HISTORIAL!$A$5:$A$2004,HISTORIAL!$E$5:$E$2004,$A24,HISTORIAL!$F$5:$F$2004,"Bilbo",HISTORIAL!$G$5:$G$2004,$B24)=0,"",INDEX(HISTORIAL!$B$5:$B$2004,_xlfn.MINIFS(HISTORIAL!$A$5:$A$2004,HISTORIAL!$E$5:$E$2004,$A24,HISTORIAL!$F$5:$F$2004,"Bilbo",HISTORIAL!$G$5:$G$2004,$B24))))</f>
        <v/>
      </c>
      <c r="E24" s="27" t="str">
        <f aca="false">IF($A24="","",IF(_xlfn.MINIFS(HISTORIAL!$A$5:$A$2004,HISTORIAL!$E$5:$E$2004,$A24,HISTORIAL!$F$5:$F$2004,"Bilbo",HISTORIAL!$G$5:$G$2004,$B24)=0,"",INDEX(HISTORIAL!$J$5:$J$2004,_xlfn.MINIFS(HISTORIAL!$A$5:$A$2004,HISTORIAL!$E$5:$E$2004,$A24,HISTORIAL!$F$5:$F$2004,"Bilbo",HISTORIAL!$G$5:$G$2004,$B24))))</f>
        <v/>
      </c>
      <c r="F24" s="18" t="str">
        <f aca="false">IF($A24="","",IF(_xlfn.MINIFS(HISTORIAL!$A$5:$A$2004,HISTORIAL!$E$5:$E$2004,$A24,HISTORIAL!$F$5:$F$2004,"Bilbo",HISTORIAL!$G$5:$G$2004,$B24)=0,"",INDEX(HISTORIAL!$K$5:$K$2004,_xlfn.MINIFS(HISTORIAL!$A$5:$A$2004,HISTORIAL!$E$5:$E$2004,$A24,HISTORIAL!$F$5:$F$2004,"Bilbo",HISTORIAL!$G$5:$G$2004,$B24))))</f>
        <v/>
      </c>
      <c r="G24" s="28" t="str">
        <f aca="false">IF($A24="","",IF(_xlfn.MAXIFS(HISTORIAL!$A$5:$A$2004,HISTORIAL!$E$5:$E$2004,$A24,HISTORIAL!$F$5:$F$2004,"Bilbo",HISTORIAL!$G$5:$G$2004,$B24)=0,"",INDEX(HISTORIAL!$B$5:$B$2004,_xlfn.MAXIFS(HISTORIAL!$A$5:$A$2004,HISTORIAL!$E$5:$E$2004,$A24,HISTORIAL!$F$5:$F$2004,"Bilbo",HISTORIAL!$G$5:$G$2004,$B24))))</f>
        <v/>
      </c>
      <c r="H24" s="27" t="str">
        <f aca="false">IF($A24="","",IF(_xlfn.MAXIFS(HISTORIAL!$A$5:$A$2004,HISTORIAL!$E$5:$E$2004,$A24,HISTORIAL!$F$5:$F$2004,"Bilbo",HISTORIAL!$G$5:$G$2004,$B24)=0,"",INDEX(HISTORIAL!$J$5:$J$2004,_xlfn.MAXIFS(HISTORIAL!$A$5:$A$2004,HISTORIAL!$E$5:$E$2004,$A24,HISTORIAL!$F$5:$F$2004,"Bilbo",HISTORIAL!$G$5:$G$2004,$B24))))</f>
        <v/>
      </c>
      <c r="I24" s="18" t="str">
        <f aca="false">IF($A24="","",IF(_xlfn.MAXIFS(HISTORIAL!$A$5:$A$2004,HISTORIAL!$E$5:$E$2004,$A24,HISTORIAL!$F$5:$F$2004,"Bilbo",HISTORIAL!$G$5:$G$2004,$B24)=0,"",INDEX(HISTORIAL!$K$5:$K$2004,_xlfn.MAXIFS(HISTORIAL!$A$5:$A$2004,HISTORIAL!$E$5:$E$2004,$A24,HISTORIAL!$F$5:$F$2004,"Bilbo",HISTORIAL!$G$5:$G$2004,$B24))))</f>
        <v/>
      </c>
      <c r="J24" s="18" t="str">
        <f aca="false">IF($A24="","",COUNTIFS(HISTORIAL!$E$5:$E$2004,$A24,HISTORIAL!$F$5:$F$2004,"Bilbo",HISTORIAL!$G$5:$G$2004,$B24))</f>
        <v/>
      </c>
      <c r="K24" s="27" t="str">
        <f aca="false">IF($A24="","",IF(J24=0,"",_xlfn.MAXIFS(HISTORIAL!$J$5:$J$2004,HISTORIAL!$E$5:$E$2004,$A24,HISTORIAL!$F$5:$F$2004,"Bilbo",HISTORIAL!$G$5:$G$2004,$B24)))</f>
        <v/>
      </c>
      <c r="L24" s="18" t="str">
        <f aca="false">IF($A24="","",IF(J24=0,"",_xlfn.MAXIFS(HISTORIAL!$K$5:$K$2004,HISTORIAL!$E$5:$E$2004,$A24,HISTORIAL!$F$5:$F$2004,"Bilbo",HISTORIAL!$G$5:$G$2004,$B24,HISTORIAL!$J$5:$J$2004,K24)))</f>
        <v/>
      </c>
      <c r="M24" s="27" t="str">
        <f aca="false">IF($A24="","",IF(J24=0,"",_xlfn.MAXIFS(HISTORIAL!$T$5:$T$2004,HISTORIAL!$E$5:$E$2004,$A24,HISTORIAL!$F$5:$F$2004,"Bilbo",HISTORIAL!$G$5:$G$2004,$B24)))</f>
        <v/>
      </c>
      <c r="N24" s="27" t="str">
        <f aca="false">IF($A24="","",IF(J24=0,"",H24-E24))</f>
        <v/>
      </c>
      <c r="O24" s="27" t="str">
        <f aca="false">IF($A24="","",IF(COUNTIFS($A$6:$A$105,$A24,$B$6:$B$105,$B24-1)=0,"",SUMIFS($E$6:$E$105,$A$6:$A$105,$A24,$B$6:$B$105,$B24-1)))</f>
        <v/>
      </c>
      <c r="P24" s="18" t="str">
        <f aca="false">IF($A24="","",IF(OR(O24="",NOT(ISNUMBER(E24))),"—",IF(E24&gt;O24,"OK","ERROR: debe ser &gt; "&amp;O24)))</f>
        <v/>
      </c>
      <c r="Q24" s="18" t="str">
        <f aca="false">IF($A24="","",IF(OR(O24="",NOT(ISNUMBER(E24))),"",IF(_xlfn.MAXIFS(HISTORIAL!$K$5:$K$2004,HISTORIAL!$E$5:$E$2004,$A24,HISTORIAL!$F$5:$F$2004,"Bilbo",HISTORIAL!$G$5:$G$2004,$B24-1,HISTORIAL!$J$5:$J$2004,E24)=0,"sin dato comparable",_xlfn.MAXIFS(HISTORIAL!$K$5:$K$2004,HISTORIAL!$E$5:$E$2004,$A24,HISTORIAL!$F$5:$F$2004,"Bilbo",HISTORIAL!$G$5:$G$2004,$B24-1,HISTORIAL!$J$5:$J$2004,E24))))</f>
        <v/>
      </c>
      <c r="R24" s="18" t="str">
        <f aca="false">IF($A24="","",IF(AND(ISNUMBER(Q24),ISNUMBER(F24)),F24-Q24,""))</f>
        <v/>
      </c>
      <c r="S24" s="27" t="str">
        <f aca="false">IF($A24="","",SUMIFS(HISTORIAL!$R$5:$R$2004,HISTORIAL!$E$5:$E$2004,$A24,HISTORIAL!$F$5:$F$2004,"Bilbo",HISTORIAL!$G$5:$G$2004,$B24)+SUMIFS(HISTORIAL!$R$5:$R$2004,HISTORIAL!$E$5:$E$2004,$A24,HISTORIAL!$F$5:$F$2004,"Post-Bilbo",HISTORIAL!$G$5:$G$2004,$B24))</f>
        <v/>
      </c>
      <c r="T24" s="27" t="str">
        <f aca="false">IF($A24="","",IF(NOT(ISNUMBER(E24)),"",MAX(E24+INDEX(CONFIGURACIÓN!$H$42:$H$56,MATCH($A24,CONFIGURACIÓN!$B$42:$B$56,0)),-INT(-E24*(1+CONFIGURACIÓN!$C$17)/(INDEX(CONFIGURACIÓN!$H$42:$H$56,MATCH($A24,CONFIGURACIÓN!$B$42:$B$56,0))))*(INDEX(CONFIGURACIÓN!$H$42:$H$56,MATCH($A24,CONFIGURACIÓN!$B$42:$B$56,0))))))</f>
        <v/>
      </c>
      <c r="U24" s="13"/>
      <c r="V24" s="18" t="str">
        <f aca="false">IF($A24="","",IF(U24="","",IF(NOT(ISNUMBER(E24)),"sin carga inicial registrada",IF(U24&gt;E24,"OK","ERROR: debe ser &gt; "&amp;E24))))</f>
        <v/>
      </c>
      <c r="W24" s="11"/>
    </row>
    <row r="25" customFormat="false" ht="15" hidden="false" customHeight="true" outlineLevel="0" collapsed="false">
      <c r="A25" s="11"/>
      <c r="B25" s="11"/>
      <c r="C25" s="11"/>
      <c r="D25" s="28" t="str">
        <f aca="false">IF($A25="","",IF(_xlfn.MINIFS(HISTORIAL!$A$5:$A$2004,HISTORIAL!$E$5:$E$2004,$A25,HISTORIAL!$F$5:$F$2004,"Bilbo",HISTORIAL!$G$5:$G$2004,$B25)=0,"",INDEX(HISTORIAL!$B$5:$B$2004,_xlfn.MINIFS(HISTORIAL!$A$5:$A$2004,HISTORIAL!$E$5:$E$2004,$A25,HISTORIAL!$F$5:$F$2004,"Bilbo",HISTORIAL!$G$5:$G$2004,$B25))))</f>
        <v/>
      </c>
      <c r="E25" s="27" t="str">
        <f aca="false">IF($A25="","",IF(_xlfn.MINIFS(HISTORIAL!$A$5:$A$2004,HISTORIAL!$E$5:$E$2004,$A25,HISTORIAL!$F$5:$F$2004,"Bilbo",HISTORIAL!$G$5:$G$2004,$B25)=0,"",INDEX(HISTORIAL!$J$5:$J$2004,_xlfn.MINIFS(HISTORIAL!$A$5:$A$2004,HISTORIAL!$E$5:$E$2004,$A25,HISTORIAL!$F$5:$F$2004,"Bilbo",HISTORIAL!$G$5:$G$2004,$B25))))</f>
        <v/>
      </c>
      <c r="F25" s="18" t="str">
        <f aca="false">IF($A25="","",IF(_xlfn.MINIFS(HISTORIAL!$A$5:$A$2004,HISTORIAL!$E$5:$E$2004,$A25,HISTORIAL!$F$5:$F$2004,"Bilbo",HISTORIAL!$G$5:$G$2004,$B25)=0,"",INDEX(HISTORIAL!$K$5:$K$2004,_xlfn.MINIFS(HISTORIAL!$A$5:$A$2004,HISTORIAL!$E$5:$E$2004,$A25,HISTORIAL!$F$5:$F$2004,"Bilbo",HISTORIAL!$G$5:$G$2004,$B25))))</f>
        <v/>
      </c>
      <c r="G25" s="28" t="str">
        <f aca="false">IF($A25="","",IF(_xlfn.MAXIFS(HISTORIAL!$A$5:$A$2004,HISTORIAL!$E$5:$E$2004,$A25,HISTORIAL!$F$5:$F$2004,"Bilbo",HISTORIAL!$G$5:$G$2004,$B25)=0,"",INDEX(HISTORIAL!$B$5:$B$2004,_xlfn.MAXIFS(HISTORIAL!$A$5:$A$2004,HISTORIAL!$E$5:$E$2004,$A25,HISTORIAL!$F$5:$F$2004,"Bilbo",HISTORIAL!$G$5:$G$2004,$B25))))</f>
        <v/>
      </c>
      <c r="H25" s="27" t="str">
        <f aca="false">IF($A25="","",IF(_xlfn.MAXIFS(HISTORIAL!$A$5:$A$2004,HISTORIAL!$E$5:$E$2004,$A25,HISTORIAL!$F$5:$F$2004,"Bilbo",HISTORIAL!$G$5:$G$2004,$B25)=0,"",INDEX(HISTORIAL!$J$5:$J$2004,_xlfn.MAXIFS(HISTORIAL!$A$5:$A$2004,HISTORIAL!$E$5:$E$2004,$A25,HISTORIAL!$F$5:$F$2004,"Bilbo",HISTORIAL!$G$5:$G$2004,$B25))))</f>
        <v/>
      </c>
      <c r="I25" s="18" t="str">
        <f aca="false">IF($A25="","",IF(_xlfn.MAXIFS(HISTORIAL!$A$5:$A$2004,HISTORIAL!$E$5:$E$2004,$A25,HISTORIAL!$F$5:$F$2004,"Bilbo",HISTORIAL!$G$5:$G$2004,$B25)=0,"",INDEX(HISTORIAL!$K$5:$K$2004,_xlfn.MAXIFS(HISTORIAL!$A$5:$A$2004,HISTORIAL!$E$5:$E$2004,$A25,HISTORIAL!$F$5:$F$2004,"Bilbo",HISTORIAL!$G$5:$G$2004,$B25))))</f>
        <v/>
      </c>
      <c r="J25" s="18" t="str">
        <f aca="false">IF($A25="","",COUNTIFS(HISTORIAL!$E$5:$E$2004,$A25,HISTORIAL!$F$5:$F$2004,"Bilbo",HISTORIAL!$G$5:$G$2004,$B25))</f>
        <v/>
      </c>
      <c r="K25" s="27" t="str">
        <f aca="false">IF($A25="","",IF(J25=0,"",_xlfn.MAXIFS(HISTORIAL!$J$5:$J$2004,HISTORIAL!$E$5:$E$2004,$A25,HISTORIAL!$F$5:$F$2004,"Bilbo",HISTORIAL!$G$5:$G$2004,$B25)))</f>
        <v/>
      </c>
      <c r="L25" s="18" t="str">
        <f aca="false">IF($A25="","",IF(J25=0,"",_xlfn.MAXIFS(HISTORIAL!$K$5:$K$2004,HISTORIAL!$E$5:$E$2004,$A25,HISTORIAL!$F$5:$F$2004,"Bilbo",HISTORIAL!$G$5:$G$2004,$B25,HISTORIAL!$J$5:$J$2004,K25)))</f>
        <v/>
      </c>
      <c r="M25" s="27" t="str">
        <f aca="false">IF($A25="","",IF(J25=0,"",_xlfn.MAXIFS(HISTORIAL!$T$5:$T$2004,HISTORIAL!$E$5:$E$2004,$A25,HISTORIAL!$F$5:$F$2004,"Bilbo",HISTORIAL!$G$5:$G$2004,$B25)))</f>
        <v/>
      </c>
      <c r="N25" s="27" t="str">
        <f aca="false">IF($A25="","",IF(J25=0,"",H25-E25))</f>
        <v/>
      </c>
      <c r="O25" s="27" t="str">
        <f aca="false">IF($A25="","",IF(COUNTIFS($A$6:$A$105,$A25,$B$6:$B$105,$B25-1)=0,"",SUMIFS($E$6:$E$105,$A$6:$A$105,$A25,$B$6:$B$105,$B25-1)))</f>
        <v/>
      </c>
      <c r="P25" s="18" t="str">
        <f aca="false">IF($A25="","",IF(OR(O25="",NOT(ISNUMBER(E25))),"—",IF(E25&gt;O25,"OK","ERROR: debe ser &gt; "&amp;O25)))</f>
        <v/>
      </c>
      <c r="Q25" s="18" t="str">
        <f aca="false">IF($A25="","",IF(OR(O25="",NOT(ISNUMBER(E25))),"",IF(_xlfn.MAXIFS(HISTORIAL!$K$5:$K$2004,HISTORIAL!$E$5:$E$2004,$A25,HISTORIAL!$F$5:$F$2004,"Bilbo",HISTORIAL!$G$5:$G$2004,$B25-1,HISTORIAL!$J$5:$J$2004,E25)=0,"sin dato comparable",_xlfn.MAXIFS(HISTORIAL!$K$5:$K$2004,HISTORIAL!$E$5:$E$2004,$A25,HISTORIAL!$F$5:$F$2004,"Bilbo",HISTORIAL!$G$5:$G$2004,$B25-1,HISTORIAL!$J$5:$J$2004,E25))))</f>
        <v/>
      </c>
      <c r="R25" s="18" t="str">
        <f aca="false">IF($A25="","",IF(AND(ISNUMBER(Q25),ISNUMBER(F25)),F25-Q25,""))</f>
        <v/>
      </c>
      <c r="S25" s="27" t="str">
        <f aca="false">IF($A25="","",SUMIFS(HISTORIAL!$R$5:$R$2004,HISTORIAL!$E$5:$E$2004,$A25,HISTORIAL!$F$5:$F$2004,"Bilbo",HISTORIAL!$G$5:$G$2004,$B25)+SUMIFS(HISTORIAL!$R$5:$R$2004,HISTORIAL!$E$5:$E$2004,$A25,HISTORIAL!$F$5:$F$2004,"Post-Bilbo",HISTORIAL!$G$5:$G$2004,$B25))</f>
        <v/>
      </c>
      <c r="T25" s="27" t="str">
        <f aca="false">IF($A25="","",IF(NOT(ISNUMBER(E25)),"",MAX(E25+INDEX(CONFIGURACIÓN!$H$42:$H$56,MATCH($A25,CONFIGURACIÓN!$B$42:$B$56,0)),-INT(-E25*(1+CONFIGURACIÓN!$C$17)/(INDEX(CONFIGURACIÓN!$H$42:$H$56,MATCH($A25,CONFIGURACIÓN!$B$42:$B$56,0))))*(INDEX(CONFIGURACIÓN!$H$42:$H$56,MATCH($A25,CONFIGURACIÓN!$B$42:$B$56,0))))))</f>
        <v/>
      </c>
      <c r="U25" s="13"/>
      <c r="V25" s="18" t="str">
        <f aca="false">IF($A25="","",IF(U25="","",IF(NOT(ISNUMBER(E25)),"sin carga inicial registrada",IF(U25&gt;E25,"OK","ERROR: debe ser &gt; "&amp;E25))))</f>
        <v/>
      </c>
      <c r="W25" s="11"/>
    </row>
    <row r="26" customFormat="false" ht="15" hidden="false" customHeight="true" outlineLevel="0" collapsed="false">
      <c r="A26" s="11"/>
      <c r="B26" s="11"/>
      <c r="C26" s="11"/>
      <c r="D26" s="28" t="str">
        <f aca="false">IF($A26="","",IF(_xlfn.MINIFS(HISTORIAL!$A$5:$A$2004,HISTORIAL!$E$5:$E$2004,$A26,HISTORIAL!$F$5:$F$2004,"Bilbo",HISTORIAL!$G$5:$G$2004,$B26)=0,"",INDEX(HISTORIAL!$B$5:$B$2004,_xlfn.MINIFS(HISTORIAL!$A$5:$A$2004,HISTORIAL!$E$5:$E$2004,$A26,HISTORIAL!$F$5:$F$2004,"Bilbo",HISTORIAL!$G$5:$G$2004,$B26))))</f>
        <v/>
      </c>
      <c r="E26" s="27" t="str">
        <f aca="false">IF($A26="","",IF(_xlfn.MINIFS(HISTORIAL!$A$5:$A$2004,HISTORIAL!$E$5:$E$2004,$A26,HISTORIAL!$F$5:$F$2004,"Bilbo",HISTORIAL!$G$5:$G$2004,$B26)=0,"",INDEX(HISTORIAL!$J$5:$J$2004,_xlfn.MINIFS(HISTORIAL!$A$5:$A$2004,HISTORIAL!$E$5:$E$2004,$A26,HISTORIAL!$F$5:$F$2004,"Bilbo",HISTORIAL!$G$5:$G$2004,$B26))))</f>
        <v/>
      </c>
      <c r="F26" s="18" t="str">
        <f aca="false">IF($A26="","",IF(_xlfn.MINIFS(HISTORIAL!$A$5:$A$2004,HISTORIAL!$E$5:$E$2004,$A26,HISTORIAL!$F$5:$F$2004,"Bilbo",HISTORIAL!$G$5:$G$2004,$B26)=0,"",INDEX(HISTORIAL!$K$5:$K$2004,_xlfn.MINIFS(HISTORIAL!$A$5:$A$2004,HISTORIAL!$E$5:$E$2004,$A26,HISTORIAL!$F$5:$F$2004,"Bilbo",HISTORIAL!$G$5:$G$2004,$B26))))</f>
        <v/>
      </c>
      <c r="G26" s="28" t="str">
        <f aca="false">IF($A26="","",IF(_xlfn.MAXIFS(HISTORIAL!$A$5:$A$2004,HISTORIAL!$E$5:$E$2004,$A26,HISTORIAL!$F$5:$F$2004,"Bilbo",HISTORIAL!$G$5:$G$2004,$B26)=0,"",INDEX(HISTORIAL!$B$5:$B$2004,_xlfn.MAXIFS(HISTORIAL!$A$5:$A$2004,HISTORIAL!$E$5:$E$2004,$A26,HISTORIAL!$F$5:$F$2004,"Bilbo",HISTORIAL!$G$5:$G$2004,$B26))))</f>
        <v/>
      </c>
      <c r="H26" s="27" t="str">
        <f aca="false">IF($A26="","",IF(_xlfn.MAXIFS(HISTORIAL!$A$5:$A$2004,HISTORIAL!$E$5:$E$2004,$A26,HISTORIAL!$F$5:$F$2004,"Bilbo",HISTORIAL!$G$5:$G$2004,$B26)=0,"",INDEX(HISTORIAL!$J$5:$J$2004,_xlfn.MAXIFS(HISTORIAL!$A$5:$A$2004,HISTORIAL!$E$5:$E$2004,$A26,HISTORIAL!$F$5:$F$2004,"Bilbo",HISTORIAL!$G$5:$G$2004,$B26))))</f>
        <v/>
      </c>
      <c r="I26" s="18" t="str">
        <f aca="false">IF($A26="","",IF(_xlfn.MAXIFS(HISTORIAL!$A$5:$A$2004,HISTORIAL!$E$5:$E$2004,$A26,HISTORIAL!$F$5:$F$2004,"Bilbo",HISTORIAL!$G$5:$G$2004,$B26)=0,"",INDEX(HISTORIAL!$K$5:$K$2004,_xlfn.MAXIFS(HISTORIAL!$A$5:$A$2004,HISTORIAL!$E$5:$E$2004,$A26,HISTORIAL!$F$5:$F$2004,"Bilbo",HISTORIAL!$G$5:$G$2004,$B26))))</f>
        <v/>
      </c>
      <c r="J26" s="18" t="str">
        <f aca="false">IF($A26="","",COUNTIFS(HISTORIAL!$E$5:$E$2004,$A26,HISTORIAL!$F$5:$F$2004,"Bilbo",HISTORIAL!$G$5:$G$2004,$B26))</f>
        <v/>
      </c>
      <c r="K26" s="27" t="str">
        <f aca="false">IF($A26="","",IF(J26=0,"",_xlfn.MAXIFS(HISTORIAL!$J$5:$J$2004,HISTORIAL!$E$5:$E$2004,$A26,HISTORIAL!$F$5:$F$2004,"Bilbo",HISTORIAL!$G$5:$G$2004,$B26)))</f>
        <v/>
      </c>
      <c r="L26" s="18" t="str">
        <f aca="false">IF($A26="","",IF(J26=0,"",_xlfn.MAXIFS(HISTORIAL!$K$5:$K$2004,HISTORIAL!$E$5:$E$2004,$A26,HISTORIAL!$F$5:$F$2004,"Bilbo",HISTORIAL!$G$5:$G$2004,$B26,HISTORIAL!$J$5:$J$2004,K26)))</f>
        <v/>
      </c>
      <c r="M26" s="27" t="str">
        <f aca="false">IF($A26="","",IF(J26=0,"",_xlfn.MAXIFS(HISTORIAL!$T$5:$T$2004,HISTORIAL!$E$5:$E$2004,$A26,HISTORIAL!$F$5:$F$2004,"Bilbo",HISTORIAL!$G$5:$G$2004,$B26)))</f>
        <v/>
      </c>
      <c r="N26" s="27" t="str">
        <f aca="false">IF($A26="","",IF(J26=0,"",H26-E26))</f>
        <v/>
      </c>
      <c r="O26" s="27" t="str">
        <f aca="false">IF($A26="","",IF(COUNTIFS($A$6:$A$105,$A26,$B$6:$B$105,$B26-1)=0,"",SUMIFS($E$6:$E$105,$A$6:$A$105,$A26,$B$6:$B$105,$B26-1)))</f>
        <v/>
      </c>
      <c r="P26" s="18" t="str">
        <f aca="false">IF($A26="","",IF(OR(O26="",NOT(ISNUMBER(E26))),"—",IF(E26&gt;O26,"OK","ERROR: debe ser &gt; "&amp;O26)))</f>
        <v/>
      </c>
      <c r="Q26" s="18" t="str">
        <f aca="false">IF($A26="","",IF(OR(O26="",NOT(ISNUMBER(E26))),"",IF(_xlfn.MAXIFS(HISTORIAL!$K$5:$K$2004,HISTORIAL!$E$5:$E$2004,$A26,HISTORIAL!$F$5:$F$2004,"Bilbo",HISTORIAL!$G$5:$G$2004,$B26-1,HISTORIAL!$J$5:$J$2004,E26)=0,"sin dato comparable",_xlfn.MAXIFS(HISTORIAL!$K$5:$K$2004,HISTORIAL!$E$5:$E$2004,$A26,HISTORIAL!$F$5:$F$2004,"Bilbo",HISTORIAL!$G$5:$G$2004,$B26-1,HISTORIAL!$J$5:$J$2004,E26))))</f>
        <v/>
      </c>
      <c r="R26" s="18" t="str">
        <f aca="false">IF($A26="","",IF(AND(ISNUMBER(Q26),ISNUMBER(F26)),F26-Q26,""))</f>
        <v/>
      </c>
      <c r="S26" s="27" t="str">
        <f aca="false">IF($A26="","",SUMIFS(HISTORIAL!$R$5:$R$2004,HISTORIAL!$E$5:$E$2004,$A26,HISTORIAL!$F$5:$F$2004,"Bilbo",HISTORIAL!$G$5:$G$2004,$B26)+SUMIFS(HISTORIAL!$R$5:$R$2004,HISTORIAL!$E$5:$E$2004,$A26,HISTORIAL!$F$5:$F$2004,"Post-Bilbo",HISTORIAL!$G$5:$G$2004,$B26))</f>
        <v/>
      </c>
      <c r="T26" s="27" t="str">
        <f aca="false">IF($A26="","",IF(NOT(ISNUMBER(E26)),"",MAX(E26+INDEX(CONFIGURACIÓN!$H$42:$H$56,MATCH($A26,CONFIGURACIÓN!$B$42:$B$56,0)),-INT(-E26*(1+CONFIGURACIÓN!$C$17)/(INDEX(CONFIGURACIÓN!$H$42:$H$56,MATCH($A26,CONFIGURACIÓN!$B$42:$B$56,0))))*(INDEX(CONFIGURACIÓN!$H$42:$H$56,MATCH($A26,CONFIGURACIÓN!$B$42:$B$56,0))))))</f>
        <v/>
      </c>
      <c r="U26" s="13"/>
      <c r="V26" s="18" t="str">
        <f aca="false">IF($A26="","",IF(U26="","",IF(NOT(ISNUMBER(E26)),"sin carga inicial registrada",IF(U26&gt;E26,"OK","ERROR: debe ser &gt; "&amp;E26))))</f>
        <v/>
      </c>
      <c r="W26" s="11"/>
    </row>
    <row r="27" customFormat="false" ht="15" hidden="false" customHeight="true" outlineLevel="0" collapsed="false">
      <c r="A27" s="11"/>
      <c r="B27" s="11"/>
      <c r="C27" s="11"/>
      <c r="D27" s="28" t="str">
        <f aca="false">IF($A27="","",IF(_xlfn.MINIFS(HISTORIAL!$A$5:$A$2004,HISTORIAL!$E$5:$E$2004,$A27,HISTORIAL!$F$5:$F$2004,"Bilbo",HISTORIAL!$G$5:$G$2004,$B27)=0,"",INDEX(HISTORIAL!$B$5:$B$2004,_xlfn.MINIFS(HISTORIAL!$A$5:$A$2004,HISTORIAL!$E$5:$E$2004,$A27,HISTORIAL!$F$5:$F$2004,"Bilbo",HISTORIAL!$G$5:$G$2004,$B27))))</f>
        <v/>
      </c>
      <c r="E27" s="27" t="str">
        <f aca="false">IF($A27="","",IF(_xlfn.MINIFS(HISTORIAL!$A$5:$A$2004,HISTORIAL!$E$5:$E$2004,$A27,HISTORIAL!$F$5:$F$2004,"Bilbo",HISTORIAL!$G$5:$G$2004,$B27)=0,"",INDEX(HISTORIAL!$J$5:$J$2004,_xlfn.MINIFS(HISTORIAL!$A$5:$A$2004,HISTORIAL!$E$5:$E$2004,$A27,HISTORIAL!$F$5:$F$2004,"Bilbo",HISTORIAL!$G$5:$G$2004,$B27))))</f>
        <v/>
      </c>
      <c r="F27" s="18" t="str">
        <f aca="false">IF($A27="","",IF(_xlfn.MINIFS(HISTORIAL!$A$5:$A$2004,HISTORIAL!$E$5:$E$2004,$A27,HISTORIAL!$F$5:$F$2004,"Bilbo",HISTORIAL!$G$5:$G$2004,$B27)=0,"",INDEX(HISTORIAL!$K$5:$K$2004,_xlfn.MINIFS(HISTORIAL!$A$5:$A$2004,HISTORIAL!$E$5:$E$2004,$A27,HISTORIAL!$F$5:$F$2004,"Bilbo",HISTORIAL!$G$5:$G$2004,$B27))))</f>
        <v/>
      </c>
      <c r="G27" s="28" t="str">
        <f aca="false">IF($A27="","",IF(_xlfn.MAXIFS(HISTORIAL!$A$5:$A$2004,HISTORIAL!$E$5:$E$2004,$A27,HISTORIAL!$F$5:$F$2004,"Bilbo",HISTORIAL!$G$5:$G$2004,$B27)=0,"",INDEX(HISTORIAL!$B$5:$B$2004,_xlfn.MAXIFS(HISTORIAL!$A$5:$A$2004,HISTORIAL!$E$5:$E$2004,$A27,HISTORIAL!$F$5:$F$2004,"Bilbo",HISTORIAL!$G$5:$G$2004,$B27))))</f>
        <v/>
      </c>
      <c r="H27" s="27" t="str">
        <f aca="false">IF($A27="","",IF(_xlfn.MAXIFS(HISTORIAL!$A$5:$A$2004,HISTORIAL!$E$5:$E$2004,$A27,HISTORIAL!$F$5:$F$2004,"Bilbo",HISTORIAL!$G$5:$G$2004,$B27)=0,"",INDEX(HISTORIAL!$J$5:$J$2004,_xlfn.MAXIFS(HISTORIAL!$A$5:$A$2004,HISTORIAL!$E$5:$E$2004,$A27,HISTORIAL!$F$5:$F$2004,"Bilbo",HISTORIAL!$G$5:$G$2004,$B27))))</f>
        <v/>
      </c>
      <c r="I27" s="18" t="str">
        <f aca="false">IF($A27="","",IF(_xlfn.MAXIFS(HISTORIAL!$A$5:$A$2004,HISTORIAL!$E$5:$E$2004,$A27,HISTORIAL!$F$5:$F$2004,"Bilbo",HISTORIAL!$G$5:$G$2004,$B27)=0,"",INDEX(HISTORIAL!$K$5:$K$2004,_xlfn.MAXIFS(HISTORIAL!$A$5:$A$2004,HISTORIAL!$E$5:$E$2004,$A27,HISTORIAL!$F$5:$F$2004,"Bilbo",HISTORIAL!$G$5:$G$2004,$B27))))</f>
        <v/>
      </c>
      <c r="J27" s="18" t="str">
        <f aca="false">IF($A27="","",COUNTIFS(HISTORIAL!$E$5:$E$2004,$A27,HISTORIAL!$F$5:$F$2004,"Bilbo",HISTORIAL!$G$5:$G$2004,$B27))</f>
        <v/>
      </c>
      <c r="K27" s="27" t="str">
        <f aca="false">IF($A27="","",IF(J27=0,"",_xlfn.MAXIFS(HISTORIAL!$J$5:$J$2004,HISTORIAL!$E$5:$E$2004,$A27,HISTORIAL!$F$5:$F$2004,"Bilbo",HISTORIAL!$G$5:$G$2004,$B27)))</f>
        <v/>
      </c>
      <c r="L27" s="18" t="str">
        <f aca="false">IF($A27="","",IF(J27=0,"",_xlfn.MAXIFS(HISTORIAL!$K$5:$K$2004,HISTORIAL!$E$5:$E$2004,$A27,HISTORIAL!$F$5:$F$2004,"Bilbo",HISTORIAL!$G$5:$G$2004,$B27,HISTORIAL!$J$5:$J$2004,K27)))</f>
        <v/>
      </c>
      <c r="M27" s="27" t="str">
        <f aca="false">IF($A27="","",IF(J27=0,"",_xlfn.MAXIFS(HISTORIAL!$T$5:$T$2004,HISTORIAL!$E$5:$E$2004,$A27,HISTORIAL!$F$5:$F$2004,"Bilbo",HISTORIAL!$G$5:$G$2004,$B27)))</f>
        <v/>
      </c>
      <c r="N27" s="27" t="str">
        <f aca="false">IF($A27="","",IF(J27=0,"",H27-E27))</f>
        <v/>
      </c>
      <c r="O27" s="27" t="str">
        <f aca="false">IF($A27="","",IF(COUNTIFS($A$6:$A$105,$A27,$B$6:$B$105,$B27-1)=0,"",SUMIFS($E$6:$E$105,$A$6:$A$105,$A27,$B$6:$B$105,$B27-1)))</f>
        <v/>
      </c>
      <c r="P27" s="18" t="str">
        <f aca="false">IF($A27="","",IF(OR(O27="",NOT(ISNUMBER(E27))),"—",IF(E27&gt;O27,"OK","ERROR: debe ser &gt; "&amp;O27)))</f>
        <v/>
      </c>
      <c r="Q27" s="18" t="str">
        <f aca="false">IF($A27="","",IF(OR(O27="",NOT(ISNUMBER(E27))),"",IF(_xlfn.MAXIFS(HISTORIAL!$K$5:$K$2004,HISTORIAL!$E$5:$E$2004,$A27,HISTORIAL!$F$5:$F$2004,"Bilbo",HISTORIAL!$G$5:$G$2004,$B27-1,HISTORIAL!$J$5:$J$2004,E27)=0,"sin dato comparable",_xlfn.MAXIFS(HISTORIAL!$K$5:$K$2004,HISTORIAL!$E$5:$E$2004,$A27,HISTORIAL!$F$5:$F$2004,"Bilbo",HISTORIAL!$G$5:$G$2004,$B27-1,HISTORIAL!$J$5:$J$2004,E27))))</f>
        <v/>
      </c>
      <c r="R27" s="18" t="str">
        <f aca="false">IF($A27="","",IF(AND(ISNUMBER(Q27),ISNUMBER(F27)),F27-Q27,""))</f>
        <v/>
      </c>
      <c r="S27" s="27" t="str">
        <f aca="false">IF($A27="","",SUMIFS(HISTORIAL!$R$5:$R$2004,HISTORIAL!$E$5:$E$2004,$A27,HISTORIAL!$F$5:$F$2004,"Bilbo",HISTORIAL!$G$5:$G$2004,$B27)+SUMIFS(HISTORIAL!$R$5:$R$2004,HISTORIAL!$E$5:$E$2004,$A27,HISTORIAL!$F$5:$F$2004,"Post-Bilbo",HISTORIAL!$G$5:$G$2004,$B27))</f>
        <v/>
      </c>
      <c r="T27" s="27" t="str">
        <f aca="false">IF($A27="","",IF(NOT(ISNUMBER(E27)),"",MAX(E27+INDEX(CONFIGURACIÓN!$H$42:$H$56,MATCH($A27,CONFIGURACIÓN!$B$42:$B$56,0)),-INT(-E27*(1+CONFIGURACIÓN!$C$17)/(INDEX(CONFIGURACIÓN!$H$42:$H$56,MATCH($A27,CONFIGURACIÓN!$B$42:$B$56,0))))*(INDEX(CONFIGURACIÓN!$H$42:$H$56,MATCH($A27,CONFIGURACIÓN!$B$42:$B$56,0))))))</f>
        <v/>
      </c>
      <c r="U27" s="13"/>
      <c r="V27" s="18" t="str">
        <f aca="false">IF($A27="","",IF(U27="","",IF(NOT(ISNUMBER(E27)),"sin carga inicial registrada",IF(U27&gt;E27,"OK","ERROR: debe ser &gt; "&amp;E27))))</f>
        <v/>
      </c>
      <c r="W27" s="11"/>
    </row>
    <row r="28" customFormat="false" ht="15" hidden="false" customHeight="true" outlineLevel="0" collapsed="false">
      <c r="A28" s="11"/>
      <c r="B28" s="11"/>
      <c r="C28" s="11"/>
      <c r="D28" s="28" t="str">
        <f aca="false">IF($A28="","",IF(_xlfn.MINIFS(HISTORIAL!$A$5:$A$2004,HISTORIAL!$E$5:$E$2004,$A28,HISTORIAL!$F$5:$F$2004,"Bilbo",HISTORIAL!$G$5:$G$2004,$B28)=0,"",INDEX(HISTORIAL!$B$5:$B$2004,_xlfn.MINIFS(HISTORIAL!$A$5:$A$2004,HISTORIAL!$E$5:$E$2004,$A28,HISTORIAL!$F$5:$F$2004,"Bilbo",HISTORIAL!$G$5:$G$2004,$B28))))</f>
        <v/>
      </c>
      <c r="E28" s="27" t="str">
        <f aca="false">IF($A28="","",IF(_xlfn.MINIFS(HISTORIAL!$A$5:$A$2004,HISTORIAL!$E$5:$E$2004,$A28,HISTORIAL!$F$5:$F$2004,"Bilbo",HISTORIAL!$G$5:$G$2004,$B28)=0,"",INDEX(HISTORIAL!$J$5:$J$2004,_xlfn.MINIFS(HISTORIAL!$A$5:$A$2004,HISTORIAL!$E$5:$E$2004,$A28,HISTORIAL!$F$5:$F$2004,"Bilbo",HISTORIAL!$G$5:$G$2004,$B28))))</f>
        <v/>
      </c>
      <c r="F28" s="18" t="str">
        <f aca="false">IF($A28="","",IF(_xlfn.MINIFS(HISTORIAL!$A$5:$A$2004,HISTORIAL!$E$5:$E$2004,$A28,HISTORIAL!$F$5:$F$2004,"Bilbo",HISTORIAL!$G$5:$G$2004,$B28)=0,"",INDEX(HISTORIAL!$K$5:$K$2004,_xlfn.MINIFS(HISTORIAL!$A$5:$A$2004,HISTORIAL!$E$5:$E$2004,$A28,HISTORIAL!$F$5:$F$2004,"Bilbo",HISTORIAL!$G$5:$G$2004,$B28))))</f>
        <v/>
      </c>
      <c r="G28" s="28" t="str">
        <f aca="false">IF($A28="","",IF(_xlfn.MAXIFS(HISTORIAL!$A$5:$A$2004,HISTORIAL!$E$5:$E$2004,$A28,HISTORIAL!$F$5:$F$2004,"Bilbo",HISTORIAL!$G$5:$G$2004,$B28)=0,"",INDEX(HISTORIAL!$B$5:$B$2004,_xlfn.MAXIFS(HISTORIAL!$A$5:$A$2004,HISTORIAL!$E$5:$E$2004,$A28,HISTORIAL!$F$5:$F$2004,"Bilbo",HISTORIAL!$G$5:$G$2004,$B28))))</f>
        <v/>
      </c>
      <c r="H28" s="27" t="str">
        <f aca="false">IF($A28="","",IF(_xlfn.MAXIFS(HISTORIAL!$A$5:$A$2004,HISTORIAL!$E$5:$E$2004,$A28,HISTORIAL!$F$5:$F$2004,"Bilbo",HISTORIAL!$G$5:$G$2004,$B28)=0,"",INDEX(HISTORIAL!$J$5:$J$2004,_xlfn.MAXIFS(HISTORIAL!$A$5:$A$2004,HISTORIAL!$E$5:$E$2004,$A28,HISTORIAL!$F$5:$F$2004,"Bilbo",HISTORIAL!$G$5:$G$2004,$B28))))</f>
        <v/>
      </c>
      <c r="I28" s="18" t="str">
        <f aca="false">IF($A28="","",IF(_xlfn.MAXIFS(HISTORIAL!$A$5:$A$2004,HISTORIAL!$E$5:$E$2004,$A28,HISTORIAL!$F$5:$F$2004,"Bilbo",HISTORIAL!$G$5:$G$2004,$B28)=0,"",INDEX(HISTORIAL!$K$5:$K$2004,_xlfn.MAXIFS(HISTORIAL!$A$5:$A$2004,HISTORIAL!$E$5:$E$2004,$A28,HISTORIAL!$F$5:$F$2004,"Bilbo",HISTORIAL!$G$5:$G$2004,$B28))))</f>
        <v/>
      </c>
      <c r="J28" s="18" t="str">
        <f aca="false">IF($A28="","",COUNTIFS(HISTORIAL!$E$5:$E$2004,$A28,HISTORIAL!$F$5:$F$2004,"Bilbo",HISTORIAL!$G$5:$G$2004,$B28))</f>
        <v/>
      </c>
      <c r="K28" s="27" t="str">
        <f aca="false">IF($A28="","",IF(J28=0,"",_xlfn.MAXIFS(HISTORIAL!$J$5:$J$2004,HISTORIAL!$E$5:$E$2004,$A28,HISTORIAL!$F$5:$F$2004,"Bilbo",HISTORIAL!$G$5:$G$2004,$B28)))</f>
        <v/>
      </c>
      <c r="L28" s="18" t="str">
        <f aca="false">IF($A28="","",IF(J28=0,"",_xlfn.MAXIFS(HISTORIAL!$K$5:$K$2004,HISTORIAL!$E$5:$E$2004,$A28,HISTORIAL!$F$5:$F$2004,"Bilbo",HISTORIAL!$G$5:$G$2004,$B28,HISTORIAL!$J$5:$J$2004,K28)))</f>
        <v/>
      </c>
      <c r="M28" s="27" t="str">
        <f aca="false">IF($A28="","",IF(J28=0,"",_xlfn.MAXIFS(HISTORIAL!$T$5:$T$2004,HISTORIAL!$E$5:$E$2004,$A28,HISTORIAL!$F$5:$F$2004,"Bilbo",HISTORIAL!$G$5:$G$2004,$B28)))</f>
        <v/>
      </c>
      <c r="N28" s="27" t="str">
        <f aca="false">IF($A28="","",IF(J28=0,"",H28-E28))</f>
        <v/>
      </c>
      <c r="O28" s="27" t="str">
        <f aca="false">IF($A28="","",IF(COUNTIFS($A$6:$A$105,$A28,$B$6:$B$105,$B28-1)=0,"",SUMIFS($E$6:$E$105,$A$6:$A$105,$A28,$B$6:$B$105,$B28-1)))</f>
        <v/>
      </c>
      <c r="P28" s="18" t="str">
        <f aca="false">IF($A28="","",IF(OR(O28="",NOT(ISNUMBER(E28))),"—",IF(E28&gt;O28,"OK","ERROR: debe ser &gt; "&amp;O28)))</f>
        <v/>
      </c>
      <c r="Q28" s="18" t="str">
        <f aca="false">IF($A28="","",IF(OR(O28="",NOT(ISNUMBER(E28))),"",IF(_xlfn.MAXIFS(HISTORIAL!$K$5:$K$2004,HISTORIAL!$E$5:$E$2004,$A28,HISTORIAL!$F$5:$F$2004,"Bilbo",HISTORIAL!$G$5:$G$2004,$B28-1,HISTORIAL!$J$5:$J$2004,E28)=0,"sin dato comparable",_xlfn.MAXIFS(HISTORIAL!$K$5:$K$2004,HISTORIAL!$E$5:$E$2004,$A28,HISTORIAL!$F$5:$F$2004,"Bilbo",HISTORIAL!$G$5:$G$2004,$B28-1,HISTORIAL!$J$5:$J$2004,E28))))</f>
        <v/>
      </c>
      <c r="R28" s="18" t="str">
        <f aca="false">IF($A28="","",IF(AND(ISNUMBER(Q28),ISNUMBER(F28)),F28-Q28,""))</f>
        <v/>
      </c>
      <c r="S28" s="27" t="str">
        <f aca="false">IF($A28="","",SUMIFS(HISTORIAL!$R$5:$R$2004,HISTORIAL!$E$5:$E$2004,$A28,HISTORIAL!$F$5:$F$2004,"Bilbo",HISTORIAL!$G$5:$G$2004,$B28)+SUMIFS(HISTORIAL!$R$5:$R$2004,HISTORIAL!$E$5:$E$2004,$A28,HISTORIAL!$F$5:$F$2004,"Post-Bilbo",HISTORIAL!$G$5:$G$2004,$B28))</f>
        <v/>
      </c>
      <c r="T28" s="27" t="str">
        <f aca="false">IF($A28="","",IF(NOT(ISNUMBER(E28)),"",MAX(E28+INDEX(CONFIGURACIÓN!$H$42:$H$56,MATCH($A28,CONFIGURACIÓN!$B$42:$B$56,0)),-INT(-E28*(1+CONFIGURACIÓN!$C$17)/(INDEX(CONFIGURACIÓN!$H$42:$H$56,MATCH($A28,CONFIGURACIÓN!$B$42:$B$56,0))))*(INDEX(CONFIGURACIÓN!$H$42:$H$56,MATCH($A28,CONFIGURACIÓN!$B$42:$B$56,0))))))</f>
        <v/>
      </c>
      <c r="U28" s="13"/>
      <c r="V28" s="18" t="str">
        <f aca="false">IF($A28="","",IF(U28="","",IF(NOT(ISNUMBER(E28)),"sin carga inicial registrada",IF(U28&gt;E28,"OK","ERROR: debe ser &gt; "&amp;E28))))</f>
        <v/>
      </c>
      <c r="W28" s="11"/>
    </row>
    <row r="29" customFormat="false" ht="15" hidden="false" customHeight="true" outlineLevel="0" collapsed="false">
      <c r="A29" s="11"/>
      <c r="B29" s="11"/>
      <c r="C29" s="11"/>
      <c r="D29" s="28" t="str">
        <f aca="false">IF($A29="","",IF(_xlfn.MINIFS(HISTORIAL!$A$5:$A$2004,HISTORIAL!$E$5:$E$2004,$A29,HISTORIAL!$F$5:$F$2004,"Bilbo",HISTORIAL!$G$5:$G$2004,$B29)=0,"",INDEX(HISTORIAL!$B$5:$B$2004,_xlfn.MINIFS(HISTORIAL!$A$5:$A$2004,HISTORIAL!$E$5:$E$2004,$A29,HISTORIAL!$F$5:$F$2004,"Bilbo",HISTORIAL!$G$5:$G$2004,$B29))))</f>
        <v/>
      </c>
      <c r="E29" s="27" t="str">
        <f aca="false">IF($A29="","",IF(_xlfn.MINIFS(HISTORIAL!$A$5:$A$2004,HISTORIAL!$E$5:$E$2004,$A29,HISTORIAL!$F$5:$F$2004,"Bilbo",HISTORIAL!$G$5:$G$2004,$B29)=0,"",INDEX(HISTORIAL!$J$5:$J$2004,_xlfn.MINIFS(HISTORIAL!$A$5:$A$2004,HISTORIAL!$E$5:$E$2004,$A29,HISTORIAL!$F$5:$F$2004,"Bilbo",HISTORIAL!$G$5:$G$2004,$B29))))</f>
        <v/>
      </c>
      <c r="F29" s="18" t="str">
        <f aca="false">IF($A29="","",IF(_xlfn.MINIFS(HISTORIAL!$A$5:$A$2004,HISTORIAL!$E$5:$E$2004,$A29,HISTORIAL!$F$5:$F$2004,"Bilbo",HISTORIAL!$G$5:$G$2004,$B29)=0,"",INDEX(HISTORIAL!$K$5:$K$2004,_xlfn.MINIFS(HISTORIAL!$A$5:$A$2004,HISTORIAL!$E$5:$E$2004,$A29,HISTORIAL!$F$5:$F$2004,"Bilbo",HISTORIAL!$G$5:$G$2004,$B29))))</f>
        <v/>
      </c>
      <c r="G29" s="28" t="str">
        <f aca="false">IF($A29="","",IF(_xlfn.MAXIFS(HISTORIAL!$A$5:$A$2004,HISTORIAL!$E$5:$E$2004,$A29,HISTORIAL!$F$5:$F$2004,"Bilbo",HISTORIAL!$G$5:$G$2004,$B29)=0,"",INDEX(HISTORIAL!$B$5:$B$2004,_xlfn.MAXIFS(HISTORIAL!$A$5:$A$2004,HISTORIAL!$E$5:$E$2004,$A29,HISTORIAL!$F$5:$F$2004,"Bilbo",HISTORIAL!$G$5:$G$2004,$B29))))</f>
        <v/>
      </c>
      <c r="H29" s="27" t="str">
        <f aca="false">IF($A29="","",IF(_xlfn.MAXIFS(HISTORIAL!$A$5:$A$2004,HISTORIAL!$E$5:$E$2004,$A29,HISTORIAL!$F$5:$F$2004,"Bilbo",HISTORIAL!$G$5:$G$2004,$B29)=0,"",INDEX(HISTORIAL!$J$5:$J$2004,_xlfn.MAXIFS(HISTORIAL!$A$5:$A$2004,HISTORIAL!$E$5:$E$2004,$A29,HISTORIAL!$F$5:$F$2004,"Bilbo",HISTORIAL!$G$5:$G$2004,$B29))))</f>
        <v/>
      </c>
      <c r="I29" s="18" t="str">
        <f aca="false">IF($A29="","",IF(_xlfn.MAXIFS(HISTORIAL!$A$5:$A$2004,HISTORIAL!$E$5:$E$2004,$A29,HISTORIAL!$F$5:$F$2004,"Bilbo",HISTORIAL!$G$5:$G$2004,$B29)=0,"",INDEX(HISTORIAL!$K$5:$K$2004,_xlfn.MAXIFS(HISTORIAL!$A$5:$A$2004,HISTORIAL!$E$5:$E$2004,$A29,HISTORIAL!$F$5:$F$2004,"Bilbo",HISTORIAL!$G$5:$G$2004,$B29))))</f>
        <v/>
      </c>
      <c r="J29" s="18" t="str">
        <f aca="false">IF($A29="","",COUNTIFS(HISTORIAL!$E$5:$E$2004,$A29,HISTORIAL!$F$5:$F$2004,"Bilbo",HISTORIAL!$G$5:$G$2004,$B29))</f>
        <v/>
      </c>
      <c r="K29" s="27" t="str">
        <f aca="false">IF($A29="","",IF(J29=0,"",_xlfn.MAXIFS(HISTORIAL!$J$5:$J$2004,HISTORIAL!$E$5:$E$2004,$A29,HISTORIAL!$F$5:$F$2004,"Bilbo",HISTORIAL!$G$5:$G$2004,$B29)))</f>
        <v/>
      </c>
      <c r="L29" s="18" t="str">
        <f aca="false">IF($A29="","",IF(J29=0,"",_xlfn.MAXIFS(HISTORIAL!$K$5:$K$2004,HISTORIAL!$E$5:$E$2004,$A29,HISTORIAL!$F$5:$F$2004,"Bilbo",HISTORIAL!$G$5:$G$2004,$B29,HISTORIAL!$J$5:$J$2004,K29)))</f>
        <v/>
      </c>
      <c r="M29" s="27" t="str">
        <f aca="false">IF($A29="","",IF(J29=0,"",_xlfn.MAXIFS(HISTORIAL!$T$5:$T$2004,HISTORIAL!$E$5:$E$2004,$A29,HISTORIAL!$F$5:$F$2004,"Bilbo",HISTORIAL!$G$5:$G$2004,$B29)))</f>
        <v/>
      </c>
      <c r="N29" s="27" t="str">
        <f aca="false">IF($A29="","",IF(J29=0,"",H29-E29))</f>
        <v/>
      </c>
      <c r="O29" s="27" t="str">
        <f aca="false">IF($A29="","",IF(COUNTIFS($A$6:$A$105,$A29,$B$6:$B$105,$B29-1)=0,"",SUMIFS($E$6:$E$105,$A$6:$A$105,$A29,$B$6:$B$105,$B29-1)))</f>
        <v/>
      </c>
      <c r="P29" s="18" t="str">
        <f aca="false">IF($A29="","",IF(OR(O29="",NOT(ISNUMBER(E29))),"—",IF(E29&gt;O29,"OK","ERROR: debe ser &gt; "&amp;O29)))</f>
        <v/>
      </c>
      <c r="Q29" s="18" t="str">
        <f aca="false">IF($A29="","",IF(OR(O29="",NOT(ISNUMBER(E29))),"",IF(_xlfn.MAXIFS(HISTORIAL!$K$5:$K$2004,HISTORIAL!$E$5:$E$2004,$A29,HISTORIAL!$F$5:$F$2004,"Bilbo",HISTORIAL!$G$5:$G$2004,$B29-1,HISTORIAL!$J$5:$J$2004,E29)=0,"sin dato comparable",_xlfn.MAXIFS(HISTORIAL!$K$5:$K$2004,HISTORIAL!$E$5:$E$2004,$A29,HISTORIAL!$F$5:$F$2004,"Bilbo",HISTORIAL!$G$5:$G$2004,$B29-1,HISTORIAL!$J$5:$J$2004,E29))))</f>
        <v/>
      </c>
      <c r="R29" s="18" t="str">
        <f aca="false">IF($A29="","",IF(AND(ISNUMBER(Q29),ISNUMBER(F29)),F29-Q29,""))</f>
        <v/>
      </c>
      <c r="S29" s="27" t="str">
        <f aca="false">IF($A29="","",SUMIFS(HISTORIAL!$R$5:$R$2004,HISTORIAL!$E$5:$E$2004,$A29,HISTORIAL!$F$5:$F$2004,"Bilbo",HISTORIAL!$G$5:$G$2004,$B29)+SUMIFS(HISTORIAL!$R$5:$R$2004,HISTORIAL!$E$5:$E$2004,$A29,HISTORIAL!$F$5:$F$2004,"Post-Bilbo",HISTORIAL!$G$5:$G$2004,$B29))</f>
        <v/>
      </c>
      <c r="T29" s="27" t="str">
        <f aca="false">IF($A29="","",IF(NOT(ISNUMBER(E29)),"",MAX(E29+INDEX(CONFIGURACIÓN!$H$42:$H$56,MATCH($A29,CONFIGURACIÓN!$B$42:$B$56,0)),-INT(-E29*(1+CONFIGURACIÓN!$C$17)/(INDEX(CONFIGURACIÓN!$H$42:$H$56,MATCH($A29,CONFIGURACIÓN!$B$42:$B$56,0))))*(INDEX(CONFIGURACIÓN!$H$42:$H$56,MATCH($A29,CONFIGURACIÓN!$B$42:$B$56,0))))))</f>
        <v/>
      </c>
      <c r="U29" s="13"/>
      <c r="V29" s="18" t="str">
        <f aca="false">IF($A29="","",IF(U29="","",IF(NOT(ISNUMBER(E29)),"sin carga inicial registrada",IF(U29&gt;E29,"OK","ERROR: debe ser &gt; "&amp;E29))))</f>
        <v/>
      </c>
      <c r="W29" s="11"/>
    </row>
    <row r="30" customFormat="false" ht="15" hidden="false" customHeight="true" outlineLevel="0" collapsed="false">
      <c r="A30" s="11"/>
      <c r="B30" s="11"/>
      <c r="C30" s="11"/>
      <c r="D30" s="28" t="str">
        <f aca="false">IF($A30="","",IF(_xlfn.MINIFS(HISTORIAL!$A$5:$A$2004,HISTORIAL!$E$5:$E$2004,$A30,HISTORIAL!$F$5:$F$2004,"Bilbo",HISTORIAL!$G$5:$G$2004,$B30)=0,"",INDEX(HISTORIAL!$B$5:$B$2004,_xlfn.MINIFS(HISTORIAL!$A$5:$A$2004,HISTORIAL!$E$5:$E$2004,$A30,HISTORIAL!$F$5:$F$2004,"Bilbo",HISTORIAL!$G$5:$G$2004,$B30))))</f>
        <v/>
      </c>
      <c r="E30" s="27" t="str">
        <f aca="false">IF($A30="","",IF(_xlfn.MINIFS(HISTORIAL!$A$5:$A$2004,HISTORIAL!$E$5:$E$2004,$A30,HISTORIAL!$F$5:$F$2004,"Bilbo",HISTORIAL!$G$5:$G$2004,$B30)=0,"",INDEX(HISTORIAL!$J$5:$J$2004,_xlfn.MINIFS(HISTORIAL!$A$5:$A$2004,HISTORIAL!$E$5:$E$2004,$A30,HISTORIAL!$F$5:$F$2004,"Bilbo",HISTORIAL!$G$5:$G$2004,$B30))))</f>
        <v/>
      </c>
      <c r="F30" s="18" t="str">
        <f aca="false">IF($A30="","",IF(_xlfn.MINIFS(HISTORIAL!$A$5:$A$2004,HISTORIAL!$E$5:$E$2004,$A30,HISTORIAL!$F$5:$F$2004,"Bilbo",HISTORIAL!$G$5:$G$2004,$B30)=0,"",INDEX(HISTORIAL!$K$5:$K$2004,_xlfn.MINIFS(HISTORIAL!$A$5:$A$2004,HISTORIAL!$E$5:$E$2004,$A30,HISTORIAL!$F$5:$F$2004,"Bilbo",HISTORIAL!$G$5:$G$2004,$B30))))</f>
        <v/>
      </c>
      <c r="G30" s="28" t="str">
        <f aca="false">IF($A30="","",IF(_xlfn.MAXIFS(HISTORIAL!$A$5:$A$2004,HISTORIAL!$E$5:$E$2004,$A30,HISTORIAL!$F$5:$F$2004,"Bilbo",HISTORIAL!$G$5:$G$2004,$B30)=0,"",INDEX(HISTORIAL!$B$5:$B$2004,_xlfn.MAXIFS(HISTORIAL!$A$5:$A$2004,HISTORIAL!$E$5:$E$2004,$A30,HISTORIAL!$F$5:$F$2004,"Bilbo",HISTORIAL!$G$5:$G$2004,$B30))))</f>
        <v/>
      </c>
      <c r="H30" s="27" t="str">
        <f aca="false">IF($A30="","",IF(_xlfn.MAXIFS(HISTORIAL!$A$5:$A$2004,HISTORIAL!$E$5:$E$2004,$A30,HISTORIAL!$F$5:$F$2004,"Bilbo",HISTORIAL!$G$5:$G$2004,$B30)=0,"",INDEX(HISTORIAL!$J$5:$J$2004,_xlfn.MAXIFS(HISTORIAL!$A$5:$A$2004,HISTORIAL!$E$5:$E$2004,$A30,HISTORIAL!$F$5:$F$2004,"Bilbo",HISTORIAL!$G$5:$G$2004,$B30))))</f>
        <v/>
      </c>
      <c r="I30" s="18" t="str">
        <f aca="false">IF($A30="","",IF(_xlfn.MAXIFS(HISTORIAL!$A$5:$A$2004,HISTORIAL!$E$5:$E$2004,$A30,HISTORIAL!$F$5:$F$2004,"Bilbo",HISTORIAL!$G$5:$G$2004,$B30)=0,"",INDEX(HISTORIAL!$K$5:$K$2004,_xlfn.MAXIFS(HISTORIAL!$A$5:$A$2004,HISTORIAL!$E$5:$E$2004,$A30,HISTORIAL!$F$5:$F$2004,"Bilbo",HISTORIAL!$G$5:$G$2004,$B30))))</f>
        <v/>
      </c>
      <c r="J30" s="18" t="str">
        <f aca="false">IF($A30="","",COUNTIFS(HISTORIAL!$E$5:$E$2004,$A30,HISTORIAL!$F$5:$F$2004,"Bilbo",HISTORIAL!$G$5:$G$2004,$B30))</f>
        <v/>
      </c>
      <c r="K30" s="27" t="str">
        <f aca="false">IF($A30="","",IF(J30=0,"",_xlfn.MAXIFS(HISTORIAL!$J$5:$J$2004,HISTORIAL!$E$5:$E$2004,$A30,HISTORIAL!$F$5:$F$2004,"Bilbo",HISTORIAL!$G$5:$G$2004,$B30)))</f>
        <v/>
      </c>
      <c r="L30" s="18" t="str">
        <f aca="false">IF($A30="","",IF(J30=0,"",_xlfn.MAXIFS(HISTORIAL!$K$5:$K$2004,HISTORIAL!$E$5:$E$2004,$A30,HISTORIAL!$F$5:$F$2004,"Bilbo",HISTORIAL!$G$5:$G$2004,$B30,HISTORIAL!$J$5:$J$2004,K30)))</f>
        <v/>
      </c>
      <c r="M30" s="27" t="str">
        <f aca="false">IF($A30="","",IF(J30=0,"",_xlfn.MAXIFS(HISTORIAL!$T$5:$T$2004,HISTORIAL!$E$5:$E$2004,$A30,HISTORIAL!$F$5:$F$2004,"Bilbo",HISTORIAL!$G$5:$G$2004,$B30)))</f>
        <v/>
      </c>
      <c r="N30" s="27" t="str">
        <f aca="false">IF($A30="","",IF(J30=0,"",H30-E30))</f>
        <v/>
      </c>
      <c r="O30" s="27" t="str">
        <f aca="false">IF($A30="","",IF(COUNTIFS($A$6:$A$105,$A30,$B$6:$B$105,$B30-1)=0,"",SUMIFS($E$6:$E$105,$A$6:$A$105,$A30,$B$6:$B$105,$B30-1)))</f>
        <v/>
      </c>
      <c r="P30" s="18" t="str">
        <f aca="false">IF($A30="","",IF(OR(O30="",NOT(ISNUMBER(E30))),"—",IF(E30&gt;O30,"OK","ERROR: debe ser &gt; "&amp;O30)))</f>
        <v/>
      </c>
      <c r="Q30" s="18" t="str">
        <f aca="false">IF($A30="","",IF(OR(O30="",NOT(ISNUMBER(E30))),"",IF(_xlfn.MAXIFS(HISTORIAL!$K$5:$K$2004,HISTORIAL!$E$5:$E$2004,$A30,HISTORIAL!$F$5:$F$2004,"Bilbo",HISTORIAL!$G$5:$G$2004,$B30-1,HISTORIAL!$J$5:$J$2004,E30)=0,"sin dato comparable",_xlfn.MAXIFS(HISTORIAL!$K$5:$K$2004,HISTORIAL!$E$5:$E$2004,$A30,HISTORIAL!$F$5:$F$2004,"Bilbo",HISTORIAL!$G$5:$G$2004,$B30-1,HISTORIAL!$J$5:$J$2004,E30))))</f>
        <v/>
      </c>
      <c r="R30" s="18" t="str">
        <f aca="false">IF($A30="","",IF(AND(ISNUMBER(Q30),ISNUMBER(F30)),F30-Q30,""))</f>
        <v/>
      </c>
      <c r="S30" s="27" t="str">
        <f aca="false">IF($A30="","",SUMIFS(HISTORIAL!$R$5:$R$2004,HISTORIAL!$E$5:$E$2004,$A30,HISTORIAL!$F$5:$F$2004,"Bilbo",HISTORIAL!$G$5:$G$2004,$B30)+SUMIFS(HISTORIAL!$R$5:$R$2004,HISTORIAL!$E$5:$E$2004,$A30,HISTORIAL!$F$5:$F$2004,"Post-Bilbo",HISTORIAL!$G$5:$G$2004,$B30))</f>
        <v/>
      </c>
      <c r="T30" s="27" t="str">
        <f aca="false">IF($A30="","",IF(NOT(ISNUMBER(E30)),"",MAX(E30+INDEX(CONFIGURACIÓN!$H$42:$H$56,MATCH($A30,CONFIGURACIÓN!$B$42:$B$56,0)),-INT(-E30*(1+CONFIGURACIÓN!$C$17)/(INDEX(CONFIGURACIÓN!$H$42:$H$56,MATCH($A30,CONFIGURACIÓN!$B$42:$B$56,0))))*(INDEX(CONFIGURACIÓN!$H$42:$H$56,MATCH($A30,CONFIGURACIÓN!$B$42:$B$56,0))))))</f>
        <v/>
      </c>
      <c r="U30" s="13"/>
      <c r="V30" s="18" t="str">
        <f aca="false">IF($A30="","",IF(U30="","",IF(NOT(ISNUMBER(E30)),"sin carga inicial registrada",IF(U30&gt;E30,"OK","ERROR: debe ser &gt; "&amp;E30))))</f>
        <v/>
      </c>
      <c r="W30" s="11"/>
    </row>
    <row r="31" customFormat="false" ht="15" hidden="false" customHeight="true" outlineLevel="0" collapsed="false">
      <c r="A31" s="11"/>
      <c r="B31" s="11"/>
      <c r="C31" s="11"/>
      <c r="D31" s="28" t="str">
        <f aca="false">IF($A31="","",IF(_xlfn.MINIFS(HISTORIAL!$A$5:$A$2004,HISTORIAL!$E$5:$E$2004,$A31,HISTORIAL!$F$5:$F$2004,"Bilbo",HISTORIAL!$G$5:$G$2004,$B31)=0,"",INDEX(HISTORIAL!$B$5:$B$2004,_xlfn.MINIFS(HISTORIAL!$A$5:$A$2004,HISTORIAL!$E$5:$E$2004,$A31,HISTORIAL!$F$5:$F$2004,"Bilbo",HISTORIAL!$G$5:$G$2004,$B31))))</f>
        <v/>
      </c>
      <c r="E31" s="27" t="str">
        <f aca="false">IF($A31="","",IF(_xlfn.MINIFS(HISTORIAL!$A$5:$A$2004,HISTORIAL!$E$5:$E$2004,$A31,HISTORIAL!$F$5:$F$2004,"Bilbo",HISTORIAL!$G$5:$G$2004,$B31)=0,"",INDEX(HISTORIAL!$J$5:$J$2004,_xlfn.MINIFS(HISTORIAL!$A$5:$A$2004,HISTORIAL!$E$5:$E$2004,$A31,HISTORIAL!$F$5:$F$2004,"Bilbo",HISTORIAL!$G$5:$G$2004,$B31))))</f>
        <v/>
      </c>
      <c r="F31" s="18" t="str">
        <f aca="false">IF($A31="","",IF(_xlfn.MINIFS(HISTORIAL!$A$5:$A$2004,HISTORIAL!$E$5:$E$2004,$A31,HISTORIAL!$F$5:$F$2004,"Bilbo",HISTORIAL!$G$5:$G$2004,$B31)=0,"",INDEX(HISTORIAL!$K$5:$K$2004,_xlfn.MINIFS(HISTORIAL!$A$5:$A$2004,HISTORIAL!$E$5:$E$2004,$A31,HISTORIAL!$F$5:$F$2004,"Bilbo",HISTORIAL!$G$5:$G$2004,$B31))))</f>
        <v/>
      </c>
      <c r="G31" s="28" t="str">
        <f aca="false">IF($A31="","",IF(_xlfn.MAXIFS(HISTORIAL!$A$5:$A$2004,HISTORIAL!$E$5:$E$2004,$A31,HISTORIAL!$F$5:$F$2004,"Bilbo",HISTORIAL!$G$5:$G$2004,$B31)=0,"",INDEX(HISTORIAL!$B$5:$B$2004,_xlfn.MAXIFS(HISTORIAL!$A$5:$A$2004,HISTORIAL!$E$5:$E$2004,$A31,HISTORIAL!$F$5:$F$2004,"Bilbo",HISTORIAL!$G$5:$G$2004,$B31))))</f>
        <v/>
      </c>
      <c r="H31" s="27" t="str">
        <f aca="false">IF($A31="","",IF(_xlfn.MAXIFS(HISTORIAL!$A$5:$A$2004,HISTORIAL!$E$5:$E$2004,$A31,HISTORIAL!$F$5:$F$2004,"Bilbo",HISTORIAL!$G$5:$G$2004,$B31)=0,"",INDEX(HISTORIAL!$J$5:$J$2004,_xlfn.MAXIFS(HISTORIAL!$A$5:$A$2004,HISTORIAL!$E$5:$E$2004,$A31,HISTORIAL!$F$5:$F$2004,"Bilbo",HISTORIAL!$G$5:$G$2004,$B31))))</f>
        <v/>
      </c>
      <c r="I31" s="18" t="str">
        <f aca="false">IF($A31="","",IF(_xlfn.MAXIFS(HISTORIAL!$A$5:$A$2004,HISTORIAL!$E$5:$E$2004,$A31,HISTORIAL!$F$5:$F$2004,"Bilbo",HISTORIAL!$G$5:$G$2004,$B31)=0,"",INDEX(HISTORIAL!$K$5:$K$2004,_xlfn.MAXIFS(HISTORIAL!$A$5:$A$2004,HISTORIAL!$E$5:$E$2004,$A31,HISTORIAL!$F$5:$F$2004,"Bilbo",HISTORIAL!$G$5:$G$2004,$B31))))</f>
        <v/>
      </c>
      <c r="J31" s="18" t="str">
        <f aca="false">IF($A31="","",COUNTIFS(HISTORIAL!$E$5:$E$2004,$A31,HISTORIAL!$F$5:$F$2004,"Bilbo",HISTORIAL!$G$5:$G$2004,$B31))</f>
        <v/>
      </c>
      <c r="K31" s="27" t="str">
        <f aca="false">IF($A31="","",IF(J31=0,"",_xlfn.MAXIFS(HISTORIAL!$J$5:$J$2004,HISTORIAL!$E$5:$E$2004,$A31,HISTORIAL!$F$5:$F$2004,"Bilbo",HISTORIAL!$G$5:$G$2004,$B31)))</f>
        <v/>
      </c>
      <c r="L31" s="18" t="str">
        <f aca="false">IF($A31="","",IF(J31=0,"",_xlfn.MAXIFS(HISTORIAL!$K$5:$K$2004,HISTORIAL!$E$5:$E$2004,$A31,HISTORIAL!$F$5:$F$2004,"Bilbo",HISTORIAL!$G$5:$G$2004,$B31,HISTORIAL!$J$5:$J$2004,K31)))</f>
        <v/>
      </c>
      <c r="M31" s="27" t="str">
        <f aca="false">IF($A31="","",IF(J31=0,"",_xlfn.MAXIFS(HISTORIAL!$T$5:$T$2004,HISTORIAL!$E$5:$E$2004,$A31,HISTORIAL!$F$5:$F$2004,"Bilbo",HISTORIAL!$G$5:$G$2004,$B31)))</f>
        <v/>
      </c>
      <c r="N31" s="27" t="str">
        <f aca="false">IF($A31="","",IF(J31=0,"",H31-E31))</f>
        <v/>
      </c>
      <c r="O31" s="27" t="str">
        <f aca="false">IF($A31="","",IF(COUNTIFS($A$6:$A$105,$A31,$B$6:$B$105,$B31-1)=0,"",SUMIFS($E$6:$E$105,$A$6:$A$105,$A31,$B$6:$B$105,$B31-1)))</f>
        <v/>
      </c>
      <c r="P31" s="18" t="str">
        <f aca="false">IF($A31="","",IF(OR(O31="",NOT(ISNUMBER(E31))),"—",IF(E31&gt;O31,"OK","ERROR: debe ser &gt; "&amp;O31)))</f>
        <v/>
      </c>
      <c r="Q31" s="18" t="str">
        <f aca="false">IF($A31="","",IF(OR(O31="",NOT(ISNUMBER(E31))),"",IF(_xlfn.MAXIFS(HISTORIAL!$K$5:$K$2004,HISTORIAL!$E$5:$E$2004,$A31,HISTORIAL!$F$5:$F$2004,"Bilbo",HISTORIAL!$G$5:$G$2004,$B31-1,HISTORIAL!$J$5:$J$2004,E31)=0,"sin dato comparable",_xlfn.MAXIFS(HISTORIAL!$K$5:$K$2004,HISTORIAL!$E$5:$E$2004,$A31,HISTORIAL!$F$5:$F$2004,"Bilbo",HISTORIAL!$G$5:$G$2004,$B31-1,HISTORIAL!$J$5:$J$2004,E31))))</f>
        <v/>
      </c>
      <c r="R31" s="18" t="str">
        <f aca="false">IF($A31="","",IF(AND(ISNUMBER(Q31),ISNUMBER(F31)),F31-Q31,""))</f>
        <v/>
      </c>
      <c r="S31" s="27" t="str">
        <f aca="false">IF($A31="","",SUMIFS(HISTORIAL!$R$5:$R$2004,HISTORIAL!$E$5:$E$2004,$A31,HISTORIAL!$F$5:$F$2004,"Bilbo",HISTORIAL!$G$5:$G$2004,$B31)+SUMIFS(HISTORIAL!$R$5:$R$2004,HISTORIAL!$E$5:$E$2004,$A31,HISTORIAL!$F$5:$F$2004,"Post-Bilbo",HISTORIAL!$G$5:$G$2004,$B31))</f>
        <v/>
      </c>
      <c r="T31" s="27" t="str">
        <f aca="false">IF($A31="","",IF(NOT(ISNUMBER(E31)),"",MAX(E31+INDEX(CONFIGURACIÓN!$H$42:$H$56,MATCH($A31,CONFIGURACIÓN!$B$42:$B$56,0)),-INT(-E31*(1+CONFIGURACIÓN!$C$17)/(INDEX(CONFIGURACIÓN!$H$42:$H$56,MATCH($A31,CONFIGURACIÓN!$B$42:$B$56,0))))*(INDEX(CONFIGURACIÓN!$H$42:$H$56,MATCH($A31,CONFIGURACIÓN!$B$42:$B$56,0))))))</f>
        <v/>
      </c>
      <c r="U31" s="13"/>
      <c r="V31" s="18" t="str">
        <f aca="false">IF($A31="","",IF(U31="","",IF(NOT(ISNUMBER(E31)),"sin carga inicial registrada",IF(U31&gt;E31,"OK","ERROR: debe ser &gt; "&amp;E31))))</f>
        <v/>
      </c>
      <c r="W31" s="11"/>
    </row>
    <row r="32" customFormat="false" ht="15" hidden="false" customHeight="true" outlineLevel="0" collapsed="false">
      <c r="A32" s="11"/>
      <c r="B32" s="11"/>
      <c r="C32" s="11"/>
      <c r="D32" s="28" t="str">
        <f aca="false">IF($A32="","",IF(_xlfn.MINIFS(HISTORIAL!$A$5:$A$2004,HISTORIAL!$E$5:$E$2004,$A32,HISTORIAL!$F$5:$F$2004,"Bilbo",HISTORIAL!$G$5:$G$2004,$B32)=0,"",INDEX(HISTORIAL!$B$5:$B$2004,_xlfn.MINIFS(HISTORIAL!$A$5:$A$2004,HISTORIAL!$E$5:$E$2004,$A32,HISTORIAL!$F$5:$F$2004,"Bilbo",HISTORIAL!$G$5:$G$2004,$B32))))</f>
        <v/>
      </c>
      <c r="E32" s="27" t="str">
        <f aca="false">IF($A32="","",IF(_xlfn.MINIFS(HISTORIAL!$A$5:$A$2004,HISTORIAL!$E$5:$E$2004,$A32,HISTORIAL!$F$5:$F$2004,"Bilbo",HISTORIAL!$G$5:$G$2004,$B32)=0,"",INDEX(HISTORIAL!$J$5:$J$2004,_xlfn.MINIFS(HISTORIAL!$A$5:$A$2004,HISTORIAL!$E$5:$E$2004,$A32,HISTORIAL!$F$5:$F$2004,"Bilbo",HISTORIAL!$G$5:$G$2004,$B32))))</f>
        <v/>
      </c>
      <c r="F32" s="18" t="str">
        <f aca="false">IF($A32="","",IF(_xlfn.MINIFS(HISTORIAL!$A$5:$A$2004,HISTORIAL!$E$5:$E$2004,$A32,HISTORIAL!$F$5:$F$2004,"Bilbo",HISTORIAL!$G$5:$G$2004,$B32)=0,"",INDEX(HISTORIAL!$K$5:$K$2004,_xlfn.MINIFS(HISTORIAL!$A$5:$A$2004,HISTORIAL!$E$5:$E$2004,$A32,HISTORIAL!$F$5:$F$2004,"Bilbo",HISTORIAL!$G$5:$G$2004,$B32))))</f>
        <v/>
      </c>
      <c r="G32" s="28" t="str">
        <f aca="false">IF($A32="","",IF(_xlfn.MAXIFS(HISTORIAL!$A$5:$A$2004,HISTORIAL!$E$5:$E$2004,$A32,HISTORIAL!$F$5:$F$2004,"Bilbo",HISTORIAL!$G$5:$G$2004,$B32)=0,"",INDEX(HISTORIAL!$B$5:$B$2004,_xlfn.MAXIFS(HISTORIAL!$A$5:$A$2004,HISTORIAL!$E$5:$E$2004,$A32,HISTORIAL!$F$5:$F$2004,"Bilbo",HISTORIAL!$G$5:$G$2004,$B32))))</f>
        <v/>
      </c>
      <c r="H32" s="27" t="str">
        <f aca="false">IF($A32="","",IF(_xlfn.MAXIFS(HISTORIAL!$A$5:$A$2004,HISTORIAL!$E$5:$E$2004,$A32,HISTORIAL!$F$5:$F$2004,"Bilbo",HISTORIAL!$G$5:$G$2004,$B32)=0,"",INDEX(HISTORIAL!$J$5:$J$2004,_xlfn.MAXIFS(HISTORIAL!$A$5:$A$2004,HISTORIAL!$E$5:$E$2004,$A32,HISTORIAL!$F$5:$F$2004,"Bilbo",HISTORIAL!$G$5:$G$2004,$B32))))</f>
        <v/>
      </c>
      <c r="I32" s="18" t="str">
        <f aca="false">IF($A32="","",IF(_xlfn.MAXIFS(HISTORIAL!$A$5:$A$2004,HISTORIAL!$E$5:$E$2004,$A32,HISTORIAL!$F$5:$F$2004,"Bilbo",HISTORIAL!$G$5:$G$2004,$B32)=0,"",INDEX(HISTORIAL!$K$5:$K$2004,_xlfn.MAXIFS(HISTORIAL!$A$5:$A$2004,HISTORIAL!$E$5:$E$2004,$A32,HISTORIAL!$F$5:$F$2004,"Bilbo",HISTORIAL!$G$5:$G$2004,$B32))))</f>
        <v/>
      </c>
      <c r="J32" s="18" t="str">
        <f aca="false">IF($A32="","",COUNTIFS(HISTORIAL!$E$5:$E$2004,$A32,HISTORIAL!$F$5:$F$2004,"Bilbo",HISTORIAL!$G$5:$G$2004,$B32))</f>
        <v/>
      </c>
      <c r="K32" s="27" t="str">
        <f aca="false">IF($A32="","",IF(J32=0,"",_xlfn.MAXIFS(HISTORIAL!$J$5:$J$2004,HISTORIAL!$E$5:$E$2004,$A32,HISTORIAL!$F$5:$F$2004,"Bilbo",HISTORIAL!$G$5:$G$2004,$B32)))</f>
        <v/>
      </c>
      <c r="L32" s="18" t="str">
        <f aca="false">IF($A32="","",IF(J32=0,"",_xlfn.MAXIFS(HISTORIAL!$K$5:$K$2004,HISTORIAL!$E$5:$E$2004,$A32,HISTORIAL!$F$5:$F$2004,"Bilbo",HISTORIAL!$G$5:$G$2004,$B32,HISTORIAL!$J$5:$J$2004,K32)))</f>
        <v/>
      </c>
      <c r="M32" s="27" t="str">
        <f aca="false">IF($A32="","",IF(J32=0,"",_xlfn.MAXIFS(HISTORIAL!$T$5:$T$2004,HISTORIAL!$E$5:$E$2004,$A32,HISTORIAL!$F$5:$F$2004,"Bilbo",HISTORIAL!$G$5:$G$2004,$B32)))</f>
        <v/>
      </c>
      <c r="N32" s="27" t="str">
        <f aca="false">IF($A32="","",IF(J32=0,"",H32-E32))</f>
        <v/>
      </c>
      <c r="O32" s="27" t="str">
        <f aca="false">IF($A32="","",IF(COUNTIFS($A$6:$A$105,$A32,$B$6:$B$105,$B32-1)=0,"",SUMIFS($E$6:$E$105,$A$6:$A$105,$A32,$B$6:$B$105,$B32-1)))</f>
        <v/>
      </c>
      <c r="P32" s="18" t="str">
        <f aca="false">IF($A32="","",IF(OR(O32="",NOT(ISNUMBER(E32))),"—",IF(E32&gt;O32,"OK","ERROR: debe ser &gt; "&amp;O32)))</f>
        <v/>
      </c>
      <c r="Q32" s="18" t="str">
        <f aca="false">IF($A32="","",IF(OR(O32="",NOT(ISNUMBER(E32))),"",IF(_xlfn.MAXIFS(HISTORIAL!$K$5:$K$2004,HISTORIAL!$E$5:$E$2004,$A32,HISTORIAL!$F$5:$F$2004,"Bilbo",HISTORIAL!$G$5:$G$2004,$B32-1,HISTORIAL!$J$5:$J$2004,E32)=0,"sin dato comparable",_xlfn.MAXIFS(HISTORIAL!$K$5:$K$2004,HISTORIAL!$E$5:$E$2004,$A32,HISTORIAL!$F$5:$F$2004,"Bilbo",HISTORIAL!$G$5:$G$2004,$B32-1,HISTORIAL!$J$5:$J$2004,E32))))</f>
        <v/>
      </c>
      <c r="R32" s="18" t="str">
        <f aca="false">IF($A32="","",IF(AND(ISNUMBER(Q32),ISNUMBER(F32)),F32-Q32,""))</f>
        <v/>
      </c>
      <c r="S32" s="27" t="str">
        <f aca="false">IF($A32="","",SUMIFS(HISTORIAL!$R$5:$R$2004,HISTORIAL!$E$5:$E$2004,$A32,HISTORIAL!$F$5:$F$2004,"Bilbo",HISTORIAL!$G$5:$G$2004,$B32)+SUMIFS(HISTORIAL!$R$5:$R$2004,HISTORIAL!$E$5:$E$2004,$A32,HISTORIAL!$F$5:$F$2004,"Post-Bilbo",HISTORIAL!$G$5:$G$2004,$B32))</f>
        <v/>
      </c>
      <c r="T32" s="27" t="str">
        <f aca="false">IF($A32="","",IF(NOT(ISNUMBER(E32)),"",MAX(E32+INDEX(CONFIGURACIÓN!$H$42:$H$56,MATCH($A32,CONFIGURACIÓN!$B$42:$B$56,0)),-INT(-E32*(1+CONFIGURACIÓN!$C$17)/(INDEX(CONFIGURACIÓN!$H$42:$H$56,MATCH($A32,CONFIGURACIÓN!$B$42:$B$56,0))))*(INDEX(CONFIGURACIÓN!$H$42:$H$56,MATCH($A32,CONFIGURACIÓN!$B$42:$B$56,0))))))</f>
        <v/>
      </c>
      <c r="U32" s="13"/>
      <c r="V32" s="18" t="str">
        <f aca="false">IF($A32="","",IF(U32="","",IF(NOT(ISNUMBER(E32)),"sin carga inicial registrada",IF(U32&gt;E32,"OK","ERROR: debe ser &gt; "&amp;E32))))</f>
        <v/>
      </c>
      <c r="W32" s="11"/>
    </row>
    <row r="33" customFormat="false" ht="15" hidden="false" customHeight="true" outlineLevel="0" collapsed="false">
      <c r="A33" s="11"/>
      <c r="B33" s="11"/>
      <c r="C33" s="11"/>
      <c r="D33" s="28" t="str">
        <f aca="false">IF($A33="","",IF(_xlfn.MINIFS(HISTORIAL!$A$5:$A$2004,HISTORIAL!$E$5:$E$2004,$A33,HISTORIAL!$F$5:$F$2004,"Bilbo",HISTORIAL!$G$5:$G$2004,$B33)=0,"",INDEX(HISTORIAL!$B$5:$B$2004,_xlfn.MINIFS(HISTORIAL!$A$5:$A$2004,HISTORIAL!$E$5:$E$2004,$A33,HISTORIAL!$F$5:$F$2004,"Bilbo",HISTORIAL!$G$5:$G$2004,$B33))))</f>
        <v/>
      </c>
      <c r="E33" s="27" t="str">
        <f aca="false">IF($A33="","",IF(_xlfn.MINIFS(HISTORIAL!$A$5:$A$2004,HISTORIAL!$E$5:$E$2004,$A33,HISTORIAL!$F$5:$F$2004,"Bilbo",HISTORIAL!$G$5:$G$2004,$B33)=0,"",INDEX(HISTORIAL!$J$5:$J$2004,_xlfn.MINIFS(HISTORIAL!$A$5:$A$2004,HISTORIAL!$E$5:$E$2004,$A33,HISTORIAL!$F$5:$F$2004,"Bilbo",HISTORIAL!$G$5:$G$2004,$B33))))</f>
        <v/>
      </c>
      <c r="F33" s="18" t="str">
        <f aca="false">IF($A33="","",IF(_xlfn.MINIFS(HISTORIAL!$A$5:$A$2004,HISTORIAL!$E$5:$E$2004,$A33,HISTORIAL!$F$5:$F$2004,"Bilbo",HISTORIAL!$G$5:$G$2004,$B33)=0,"",INDEX(HISTORIAL!$K$5:$K$2004,_xlfn.MINIFS(HISTORIAL!$A$5:$A$2004,HISTORIAL!$E$5:$E$2004,$A33,HISTORIAL!$F$5:$F$2004,"Bilbo",HISTORIAL!$G$5:$G$2004,$B33))))</f>
        <v/>
      </c>
      <c r="G33" s="28" t="str">
        <f aca="false">IF($A33="","",IF(_xlfn.MAXIFS(HISTORIAL!$A$5:$A$2004,HISTORIAL!$E$5:$E$2004,$A33,HISTORIAL!$F$5:$F$2004,"Bilbo",HISTORIAL!$G$5:$G$2004,$B33)=0,"",INDEX(HISTORIAL!$B$5:$B$2004,_xlfn.MAXIFS(HISTORIAL!$A$5:$A$2004,HISTORIAL!$E$5:$E$2004,$A33,HISTORIAL!$F$5:$F$2004,"Bilbo",HISTORIAL!$G$5:$G$2004,$B33))))</f>
        <v/>
      </c>
      <c r="H33" s="27" t="str">
        <f aca="false">IF($A33="","",IF(_xlfn.MAXIFS(HISTORIAL!$A$5:$A$2004,HISTORIAL!$E$5:$E$2004,$A33,HISTORIAL!$F$5:$F$2004,"Bilbo",HISTORIAL!$G$5:$G$2004,$B33)=0,"",INDEX(HISTORIAL!$J$5:$J$2004,_xlfn.MAXIFS(HISTORIAL!$A$5:$A$2004,HISTORIAL!$E$5:$E$2004,$A33,HISTORIAL!$F$5:$F$2004,"Bilbo",HISTORIAL!$G$5:$G$2004,$B33))))</f>
        <v/>
      </c>
      <c r="I33" s="18" t="str">
        <f aca="false">IF($A33="","",IF(_xlfn.MAXIFS(HISTORIAL!$A$5:$A$2004,HISTORIAL!$E$5:$E$2004,$A33,HISTORIAL!$F$5:$F$2004,"Bilbo",HISTORIAL!$G$5:$G$2004,$B33)=0,"",INDEX(HISTORIAL!$K$5:$K$2004,_xlfn.MAXIFS(HISTORIAL!$A$5:$A$2004,HISTORIAL!$E$5:$E$2004,$A33,HISTORIAL!$F$5:$F$2004,"Bilbo",HISTORIAL!$G$5:$G$2004,$B33))))</f>
        <v/>
      </c>
      <c r="J33" s="18" t="str">
        <f aca="false">IF($A33="","",COUNTIFS(HISTORIAL!$E$5:$E$2004,$A33,HISTORIAL!$F$5:$F$2004,"Bilbo",HISTORIAL!$G$5:$G$2004,$B33))</f>
        <v/>
      </c>
      <c r="K33" s="27" t="str">
        <f aca="false">IF($A33="","",IF(J33=0,"",_xlfn.MAXIFS(HISTORIAL!$J$5:$J$2004,HISTORIAL!$E$5:$E$2004,$A33,HISTORIAL!$F$5:$F$2004,"Bilbo",HISTORIAL!$G$5:$G$2004,$B33)))</f>
        <v/>
      </c>
      <c r="L33" s="18" t="str">
        <f aca="false">IF($A33="","",IF(J33=0,"",_xlfn.MAXIFS(HISTORIAL!$K$5:$K$2004,HISTORIAL!$E$5:$E$2004,$A33,HISTORIAL!$F$5:$F$2004,"Bilbo",HISTORIAL!$G$5:$G$2004,$B33,HISTORIAL!$J$5:$J$2004,K33)))</f>
        <v/>
      </c>
      <c r="M33" s="27" t="str">
        <f aca="false">IF($A33="","",IF(J33=0,"",_xlfn.MAXIFS(HISTORIAL!$T$5:$T$2004,HISTORIAL!$E$5:$E$2004,$A33,HISTORIAL!$F$5:$F$2004,"Bilbo",HISTORIAL!$G$5:$G$2004,$B33)))</f>
        <v/>
      </c>
      <c r="N33" s="27" t="str">
        <f aca="false">IF($A33="","",IF(J33=0,"",H33-E33))</f>
        <v/>
      </c>
      <c r="O33" s="27" t="str">
        <f aca="false">IF($A33="","",IF(COUNTIFS($A$6:$A$105,$A33,$B$6:$B$105,$B33-1)=0,"",SUMIFS($E$6:$E$105,$A$6:$A$105,$A33,$B$6:$B$105,$B33-1)))</f>
        <v/>
      </c>
      <c r="P33" s="18" t="str">
        <f aca="false">IF($A33="","",IF(OR(O33="",NOT(ISNUMBER(E33))),"—",IF(E33&gt;O33,"OK","ERROR: debe ser &gt; "&amp;O33)))</f>
        <v/>
      </c>
      <c r="Q33" s="18" t="str">
        <f aca="false">IF($A33="","",IF(OR(O33="",NOT(ISNUMBER(E33))),"",IF(_xlfn.MAXIFS(HISTORIAL!$K$5:$K$2004,HISTORIAL!$E$5:$E$2004,$A33,HISTORIAL!$F$5:$F$2004,"Bilbo",HISTORIAL!$G$5:$G$2004,$B33-1,HISTORIAL!$J$5:$J$2004,E33)=0,"sin dato comparable",_xlfn.MAXIFS(HISTORIAL!$K$5:$K$2004,HISTORIAL!$E$5:$E$2004,$A33,HISTORIAL!$F$5:$F$2004,"Bilbo",HISTORIAL!$G$5:$G$2004,$B33-1,HISTORIAL!$J$5:$J$2004,E33))))</f>
        <v/>
      </c>
      <c r="R33" s="18" t="str">
        <f aca="false">IF($A33="","",IF(AND(ISNUMBER(Q33),ISNUMBER(F33)),F33-Q33,""))</f>
        <v/>
      </c>
      <c r="S33" s="27" t="str">
        <f aca="false">IF($A33="","",SUMIFS(HISTORIAL!$R$5:$R$2004,HISTORIAL!$E$5:$E$2004,$A33,HISTORIAL!$F$5:$F$2004,"Bilbo",HISTORIAL!$G$5:$G$2004,$B33)+SUMIFS(HISTORIAL!$R$5:$R$2004,HISTORIAL!$E$5:$E$2004,$A33,HISTORIAL!$F$5:$F$2004,"Post-Bilbo",HISTORIAL!$G$5:$G$2004,$B33))</f>
        <v/>
      </c>
      <c r="T33" s="27" t="str">
        <f aca="false">IF($A33="","",IF(NOT(ISNUMBER(E33)),"",MAX(E33+INDEX(CONFIGURACIÓN!$H$42:$H$56,MATCH($A33,CONFIGURACIÓN!$B$42:$B$56,0)),-INT(-E33*(1+CONFIGURACIÓN!$C$17)/(INDEX(CONFIGURACIÓN!$H$42:$H$56,MATCH($A33,CONFIGURACIÓN!$B$42:$B$56,0))))*(INDEX(CONFIGURACIÓN!$H$42:$H$56,MATCH($A33,CONFIGURACIÓN!$B$42:$B$56,0))))))</f>
        <v/>
      </c>
      <c r="U33" s="13"/>
      <c r="V33" s="18" t="str">
        <f aca="false">IF($A33="","",IF(U33="","",IF(NOT(ISNUMBER(E33)),"sin carga inicial registrada",IF(U33&gt;E33,"OK","ERROR: debe ser &gt; "&amp;E33))))</f>
        <v/>
      </c>
      <c r="W33" s="11"/>
    </row>
    <row r="34" customFormat="false" ht="15" hidden="false" customHeight="true" outlineLevel="0" collapsed="false">
      <c r="A34" s="11"/>
      <c r="B34" s="11"/>
      <c r="C34" s="11"/>
      <c r="D34" s="28" t="str">
        <f aca="false">IF($A34="","",IF(_xlfn.MINIFS(HISTORIAL!$A$5:$A$2004,HISTORIAL!$E$5:$E$2004,$A34,HISTORIAL!$F$5:$F$2004,"Bilbo",HISTORIAL!$G$5:$G$2004,$B34)=0,"",INDEX(HISTORIAL!$B$5:$B$2004,_xlfn.MINIFS(HISTORIAL!$A$5:$A$2004,HISTORIAL!$E$5:$E$2004,$A34,HISTORIAL!$F$5:$F$2004,"Bilbo",HISTORIAL!$G$5:$G$2004,$B34))))</f>
        <v/>
      </c>
      <c r="E34" s="27" t="str">
        <f aca="false">IF($A34="","",IF(_xlfn.MINIFS(HISTORIAL!$A$5:$A$2004,HISTORIAL!$E$5:$E$2004,$A34,HISTORIAL!$F$5:$F$2004,"Bilbo",HISTORIAL!$G$5:$G$2004,$B34)=0,"",INDEX(HISTORIAL!$J$5:$J$2004,_xlfn.MINIFS(HISTORIAL!$A$5:$A$2004,HISTORIAL!$E$5:$E$2004,$A34,HISTORIAL!$F$5:$F$2004,"Bilbo",HISTORIAL!$G$5:$G$2004,$B34))))</f>
        <v/>
      </c>
      <c r="F34" s="18" t="str">
        <f aca="false">IF($A34="","",IF(_xlfn.MINIFS(HISTORIAL!$A$5:$A$2004,HISTORIAL!$E$5:$E$2004,$A34,HISTORIAL!$F$5:$F$2004,"Bilbo",HISTORIAL!$G$5:$G$2004,$B34)=0,"",INDEX(HISTORIAL!$K$5:$K$2004,_xlfn.MINIFS(HISTORIAL!$A$5:$A$2004,HISTORIAL!$E$5:$E$2004,$A34,HISTORIAL!$F$5:$F$2004,"Bilbo",HISTORIAL!$G$5:$G$2004,$B34))))</f>
        <v/>
      </c>
      <c r="G34" s="28" t="str">
        <f aca="false">IF($A34="","",IF(_xlfn.MAXIFS(HISTORIAL!$A$5:$A$2004,HISTORIAL!$E$5:$E$2004,$A34,HISTORIAL!$F$5:$F$2004,"Bilbo",HISTORIAL!$G$5:$G$2004,$B34)=0,"",INDEX(HISTORIAL!$B$5:$B$2004,_xlfn.MAXIFS(HISTORIAL!$A$5:$A$2004,HISTORIAL!$E$5:$E$2004,$A34,HISTORIAL!$F$5:$F$2004,"Bilbo",HISTORIAL!$G$5:$G$2004,$B34))))</f>
        <v/>
      </c>
      <c r="H34" s="27" t="str">
        <f aca="false">IF($A34="","",IF(_xlfn.MAXIFS(HISTORIAL!$A$5:$A$2004,HISTORIAL!$E$5:$E$2004,$A34,HISTORIAL!$F$5:$F$2004,"Bilbo",HISTORIAL!$G$5:$G$2004,$B34)=0,"",INDEX(HISTORIAL!$J$5:$J$2004,_xlfn.MAXIFS(HISTORIAL!$A$5:$A$2004,HISTORIAL!$E$5:$E$2004,$A34,HISTORIAL!$F$5:$F$2004,"Bilbo",HISTORIAL!$G$5:$G$2004,$B34))))</f>
        <v/>
      </c>
      <c r="I34" s="18" t="str">
        <f aca="false">IF($A34="","",IF(_xlfn.MAXIFS(HISTORIAL!$A$5:$A$2004,HISTORIAL!$E$5:$E$2004,$A34,HISTORIAL!$F$5:$F$2004,"Bilbo",HISTORIAL!$G$5:$G$2004,$B34)=0,"",INDEX(HISTORIAL!$K$5:$K$2004,_xlfn.MAXIFS(HISTORIAL!$A$5:$A$2004,HISTORIAL!$E$5:$E$2004,$A34,HISTORIAL!$F$5:$F$2004,"Bilbo",HISTORIAL!$G$5:$G$2004,$B34))))</f>
        <v/>
      </c>
      <c r="J34" s="18" t="str">
        <f aca="false">IF($A34="","",COUNTIFS(HISTORIAL!$E$5:$E$2004,$A34,HISTORIAL!$F$5:$F$2004,"Bilbo",HISTORIAL!$G$5:$G$2004,$B34))</f>
        <v/>
      </c>
      <c r="K34" s="27" t="str">
        <f aca="false">IF($A34="","",IF(J34=0,"",_xlfn.MAXIFS(HISTORIAL!$J$5:$J$2004,HISTORIAL!$E$5:$E$2004,$A34,HISTORIAL!$F$5:$F$2004,"Bilbo",HISTORIAL!$G$5:$G$2004,$B34)))</f>
        <v/>
      </c>
      <c r="L34" s="18" t="str">
        <f aca="false">IF($A34="","",IF(J34=0,"",_xlfn.MAXIFS(HISTORIAL!$K$5:$K$2004,HISTORIAL!$E$5:$E$2004,$A34,HISTORIAL!$F$5:$F$2004,"Bilbo",HISTORIAL!$G$5:$G$2004,$B34,HISTORIAL!$J$5:$J$2004,K34)))</f>
        <v/>
      </c>
      <c r="M34" s="27" t="str">
        <f aca="false">IF($A34="","",IF(J34=0,"",_xlfn.MAXIFS(HISTORIAL!$T$5:$T$2004,HISTORIAL!$E$5:$E$2004,$A34,HISTORIAL!$F$5:$F$2004,"Bilbo",HISTORIAL!$G$5:$G$2004,$B34)))</f>
        <v/>
      </c>
      <c r="N34" s="27" t="str">
        <f aca="false">IF($A34="","",IF(J34=0,"",H34-E34))</f>
        <v/>
      </c>
      <c r="O34" s="27" t="str">
        <f aca="false">IF($A34="","",IF(COUNTIFS($A$6:$A$105,$A34,$B$6:$B$105,$B34-1)=0,"",SUMIFS($E$6:$E$105,$A$6:$A$105,$A34,$B$6:$B$105,$B34-1)))</f>
        <v/>
      </c>
      <c r="P34" s="18" t="str">
        <f aca="false">IF($A34="","",IF(OR(O34="",NOT(ISNUMBER(E34))),"—",IF(E34&gt;O34,"OK","ERROR: debe ser &gt; "&amp;O34)))</f>
        <v/>
      </c>
      <c r="Q34" s="18" t="str">
        <f aca="false">IF($A34="","",IF(OR(O34="",NOT(ISNUMBER(E34))),"",IF(_xlfn.MAXIFS(HISTORIAL!$K$5:$K$2004,HISTORIAL!$E$5:$E$2004,$A34,HISTORIAL!$F$5:$F$2004,"Bilbo",HISTORIAL!$G$5:$G$2004,$B34-1,HISTORIAL!$J$5:$J$2004,E34)=0,"sin dato comparable",_xlfn.MAXIFS(HISTORIAL!$K$5:$K$2004,HISTORIAL!$E$5:$E$2004,$A34,HISTORIAL!$F$5:$F$2004,"Bilbo",HISTORIAL!$G$5:$G$2004,$B34-1,HISTORIAL!$J$5:$J$2004,E34))))</f>
        <v/>
      </c>
      <c r="R34" s="18" t="str">
        <f aca="false">IF($A34="","",IF(AND(ISNUMBER(Q34),ISNUMBER(F34)),F34-Q34,""))</f>
        <v/>
      </c>
      <c r="S34" s="27" t="str">
        <f aca="false">IF($A34="","",SUMIFS(HISTORIAL!$R$5:$R$2004,HISTORIAL!$E$5:$E$2004,$A34,HISTORIAL!$F$5:$F$2004,"Bilbo",HISTORIAL!$G$5:$G$2004,$B34)+SUMIFS(HISTORIAL!$R$5:$R$2004,HISTORIAL!$E$5:$E$2004,$A34,HISTORIAL!$F$5:$F$2004,"Post-Bilbo",HISTORIAL!$G$5:$G$2004,$B34))</f>
        <v/>
      </c>
      <c r="T34" s="27" t="str">
        <f aca="false">IF($A34="","",IF(NOT(ISNUMBER(E34)),"",MAX(E34+INDEX(CONFIGURACIÓN!$H$42:$H$56,MATCH($A34,CONFIGURACIÓN!$B$42:$B$56,0)),-INT(-E34*(1+CONFIGURACIÓN!$C$17)/(INDEX(CONFIGURACIÓN!$H$42:$H$56,MATCH($A34,CONFIGURACIÓN!$B$42:$B$56,0))))*(INDEX(CONFIGURACIÓN!$H$42:$H$56,MATCH($A34,CONFIGURACIÓN!$B$42:$B$56,0))))))</f>
        <v/>
      </c>
      <c r="U34" s="13"/>
      <c r="V34" s="18" t="str">
        <f aca="false">IF($A34="","",IF(U34="","",IF(NOT(ISNUMBER(E34)),"sin carga inicial registrada",IF(U34&gt;E34,"OK","ERROR: debe ser &gt; "&amp;E34))))</f>
        <v/>
      </c>
      <c r="W34" s="11"/>
    </row>
    <row r="35" customFormat="false" ht="15" hidden="false" customHeight="true" outlineLevel="0" collapsed="false">
      <c r="A35" s="11"/>
      <c r="B35" s="11"/>
      <c r="C35" s="11"/>
      <c r="D35" s="28" t="str">
        <f aca="false">IF($A35="","",IF(_xlfn.MINIFS(HISTORIAL!$A$5:$A$2004,HISTORIAL!$E$5:$E$2004,$A35,HISTORIAL!$F$5:$F$2004,"Bilbo",HISTORIAL!$G$5:$G$2004,$B35)=0,"",INDEX(HISTORIAL!$B$5:$B$2004,_xlfn.MINIFS(HISTORIAL!$A$5:$A$2004,HISTORIAL!$E$5:$E$2004,$A35,HISTORIAL!$F$5:$F$2004,"Bilbo",HISTORIAL!$G$5:$G$2004,$B35))))</f>
        <v/>
      </c>
      <c r="E35" s="27" t="str">
        <f aca="false">IF($A35="","",IF(_xlfn.MINIFS(HISTORIAL!$A$5:$A$2004,HISTORIAL!$E$5:$E$2004,$A35,HISTORIAL!$F$5:$F$2004,"Bilbo",HISTORIAL!$G$5:$G$2004,$B35)=0,"",INDEX(HISTORIAL!$J$5:$J$2004,_xlfn.MINIFS(HISTORIAL!$A$5:$A$2004,HISTORIAL!$E$5:$E$2004,$A35,HISTORIAL!$F$5:$F$2004,"Bilbo",HISTORIAL!$G$5:$G$2004,$B35))))</f>
        <v/>
      </c>
      <c r="F35" s="18" t="str">
        <f aca="false">IF($A35="","",IF(_xlfn.MINIFS(HISTORIAL!$A$5:$A$2004,HISTORIAL!$E$5:$E$2004,$A35,HISTORIAL!$F$5:$F$2004,"Bilbo",HISTORIAL!$G$5:$G$2004,$B35)=0,"",INDEX(HISTORIAL!$K$5:$K$2004,_xlfn.MINIFS(HISTORIAL!$A$5:$A$2004,HISTORIAL!$E$5:$E$2004,$A35,HISTORIAL!$F$5:$F$2004,"Bilbo",HISTORIAL!$G$5:$G$2004,$B35))))</f>
        <v/>
      </c>
      <c r="G35" s="28" t="str">
        <f aca="false">IF($A35="","",IF(_xlfn.MAXIFS(HISTORIAL!$A$5:$A$2004,HISTORIAL!$E$5:$E$2004,$A35,HISTORIAL!$F$5:$F$2004,"Bilbo",HISTORIAL!$G$5:$G$2004,$B35)=0,"",INDEX(HISTORIAL!$B$5:$B$2004,_xlfn.MAXIFS(HISTORIAL!$A$5:$A$2004,HISTORIAL!$E$5:$E$2004,$A35,HISTORIAL!$F$5:$F$2004,"Bilbo",HISTORIAL!$G$5:$G$2004,$B35))))</f>
        <v/>
      </c>
      <c r="H35" s="27" t="str">
        <f aca="false">IF($A35="","",IF(_xlfn.MAXIFS(HISTORIAL!$A$5:$A$2004,HISTORIAL!$E$5:$E$2004,$A35,HISTORIAL!$F$5:$F$2004,"Bilbo",HISTORIAL!$G$5:$G$2004,$B35)=0,"",INDEX(HISTORIAL!$J$5:$J$2004,_xlfn.MAXIFS(HISTORIAL!$A$5:$A$2004,HISTORIAL!$E$5:$E$2004,$A35,HISTORIAL!$F$5:$F$2004,"Bilbo",HISTORIAL!$G$5:$G$2004,$B35))))</f>
        <v/>
      </c>
      <c r="I35" s="18" t="str">
        <f aca="false">IF($A35="","",IF(_xlfn.MAXIFS(HISTORIAL!$A$5:$A$2004,HISTORIAL!$E$5:$E$2004,$A35,HISTORIAL!$F$5:$F$2004,"Bilbo",HISTORIAL!$G$5:$G$2004,$B35)=0,"",INDEX(HISTORIAL!$K$5:$K$2004,_xlfn.MAXIFS(HISTORIAL!$A$5:$A$2004,HISTORIAL!$E$5:$E$2004,$A35,HISTORIAL!$F$5:$F$2004,"Bilbo",HISTORIAL!$G$5:$G$2004,$B35))))</f>
        <v/>
      </c>
      <c r="J35" s="18" t="str">
        <f aca="false">IF($A35="","",COUNTIFS(HISTORIAL!$E$5:$E$2004,$A35,HISTORIAL!$F$5:$F$2004,"Bilbo",HISTORIAL!$G$5:$G$2004,$B35))</f>
        <v/>
      </c>
      <c r="K35" s="27" t="str">
        <f aca="false">IF($A35="","",IF(J35=0,"",_xlfn.MAXIFS(HISTORIAL!$J$5:$J$2004,HISTORIAL!$E$5:$E$2004,$A35,HISTORIAL!$F$5:$F$2004,"Bilbo",HISTORIAL!$G$5:$G$2004,$B35)))</f>
        <v/>
      </c>
      <c r="L35" s="18" t="str">
        <f aca="false">IF($A35="","",IF(J35=0,"",_xlfn.MAXIFS(HISTORIAL!$K$5:$K$2004,HISTORIAL!$E$5:$E$2004,$A35,HISTORIAL!$F$5:$F$2004,"Bilbo",HISTORIAL!$G$5:$G$2004,$B35,HISTORIAL!$J$5:$J$2004,K35)))</f>
        <v/>
      </c>
      <c r="M35" s="27" t="str">
        <f aca="false">IF($A35="","",IF(J35=0,"",_xlfn.MAXIFS(HISTORIAL!$T$5:$T$2004,HISTORIAL!$E$5:$E$2004,$A35,HISTORIAL!$F$5:$F$2004,"Bilbo",HISTORIAL!$G$5:$G$2004,$B35)))</f>
        <v/>
      </c>
      <c r="N35" s="27" t="str">
        <f aca="false">IF($A35="","",IF(J35=0,"",H35-E35))</f>
        <v/>
      </c>
      <c r="O35" s="27" t="str">
        <f aca="false">IF($A35="","",IF(COUNTIFS($A$6:$A$105,$A35,$B$6:$B$105,$B35-1)=0,"",SUMIFS($E$6:$E$105,$A$6:$A$105,$A35,$B$6:$B$105,$B35-1)))</f>
        <v/>
      </c>
      <c r="P35" s="18" t="str">
        <f aca="false">IF($A35="","",IF(OR(O35="",NOT(ISNUMBER(E35))),"—",IF(E35&gt;O35,"OK","ERROR: debe ser &gt; "&amp;O35)))</f>
        <v/>
      </c>
      <c r="Q35" s="18" t="str">
        <f aca="false">IF($A35="","",IF(OR(O35="",NOT(ISNUMBER(E35))),"",IF(_xlfn.MAXIFS(HISTORIAL!$K$5:$K$2004,HISTORIAL!$E$5:$E$2004,$A35,HISTORIAL!$F$5:$F$2004,"Bilbo",HISTORIAL!$G$5:$G$2004,$B35-1,HISTORIAL!$J$5:$J$2004,E35)=0,"sin dato comparable",_xlfn.MAXIFS(HISTORIAL!$K$5:$K$2004,HISTORIAL!$E$5:$E$2004,$A35,HISTORIAL!$F$5:$F$2004,"Bilbo",HISTORIAL!$G$5:$G$2004,$B35-1,HISTORIAL!$J$5:$J$2004,E35))))</f>
        <v/>
      </c>
      <c r="R35" s="18" t="str">
        <f aca="false">IF($A35="","",IF(AND(ISNUMBER(Q35),ISNUMBER(F35)),F35-Q35,""))</f>
        <v/>
      </c>
      <c r="S35" s="27" t="str">
        <f aca="false">IF($A35="","",SUMIFS(HISTORIAL!$R$5:$R$2004,HISTORIAL!$E$5:$E$2004,$A35,HISTORIAL!$F$5:$F$2004,"Bilbo",HISTORIAL!$G$5:$G$2004,$B35)+SUMIFS(HISTORIAL!$R$5:$R$2004,HISTORIAL!$E$5:$E$2004,$A35,HISTORIAL!$F$5:$F$2004,"Post-Bilbo",HISTORIAL!$G$5:$G$2004,$B35))</f>
        <v/>
      </c>
      <c r="T35" s="27" t="str">
        <f aca="false">IF($A35="","",IF(NOT(ISNUMBER(E35)),"",MAX(E35+INDEX(CONFIGURACIÓN!$H$42:$H$56,MATCH($A35,CONFIGURACIÓN!$B$42:$B$56,0)),-INT(-E35*(1+CONFIGURACIÓN!$C$17)/(INDEX(CONFIGURACIÓN!$H$42:$H$56,MATCH($A35,CONFIGURACIÓN!$B$42:$B$56,0))))*(INDEX(CONFIGURACIÓN!$H$42:$H$56,MATCH($A35,CONFIGURACIÓN!$B$42:$B$56,0))))))</f>
        <v/>
      </c>
      <c r="U35" s="13"/>
      <c r="V35" s="18" t="str">
        <f aca="false">IF($A35="","",IF(U35="","",IF(NOT(ISNUMBER(E35)),"sin carga inicial registrada",IF(U35&gt;E35,"OK","ERROR: debe ser &gt; "&amp;E35))))</f>
        <v/>
      </c>
      <c r="W35" s="11"/>
    </row>
    <row r="36" customFormat="false" ht="15" hidden="false" customHeight="true" outlineLevel="0" collapsed="false">
      <c r="A36" s="11"/>
      <c r="B36" s="11"/>
      <c r="C36" s="11"/>
      <c r="D36" s="28" t="str">
        <f aca="false">IF($A36="","",IF(_xlfn.MINIFS(HISTORIAL!$A$5:$A$2004,HISTORIAL!$E$5:$E$2004,$A36,HISTORIAL!$F$5:$F$2004,"Bilbo",HISTORIAL!$G$5:$G$2004,$B36)=0,"",INDEX(HISTORIAL!$B$5:$B$2004,_xlfn.MINIFS(HISTORIAL!$A$5:$A$2004,HISTORIAL!$E$5:$E$2004,$A36,HISTORIAL!$F$5:$F$2004,"Bilbo",HISTORIAL!$G$5:$G$2004,$B36))))</f>
        <v/>
      </c>
      <c r="E36" s="27" t="str">
        <f aca="false">IF($A36="","",IF(_xlfn.MINIFS(HISTORIAL!$A$5:$A$2004,HISTORIAL!$E$5:$E$2004,$A36,HISTORIAL!$F$5:$F$2004,"Bilbo",HISTORIAL!$G$5:$G$2004,$B36)=0,"",INDEX(HISTORIAL!$J$5:$J$2004,_xlfn.MINIFS(HISTORIAL!$A$5:$A$2004,HISTORIAL!$E$5:$E$2004,$A36,HISTORIAL!$F$5:$F$2004,"Bilbo",HISTORIAL!$G$5:$G$2004,$B36))))</f>
        <v/>
      </c>
      <c r="F36" s="18" t="str">
        <f aca="false">IF($A36="","",IF(_xlfn.MINIFS(HISTORIAL!$A$5:$A$2004,HISTORIAL!$E$5:$E$2004,$A36,HISTORIAL!$F$5:$F$2004,"Bilbo",HISTORIAL!$G$5:$G$2004,$B36)=0,"",INDEX(HISTORIAL!$K$5:$K$2004,_xlfn.MINIFS(HISTORIAL!$A$5:$A$2004,HISTORIAL!$E$5:$E$2004,$A36,HISTORIAL!$F$5:$F$2004,"Bilbo",HISTORIAL!$G$5:$G$2004,$B36))))</f>
        <v/>
      </c>
      <c r="G36" s="28" t="str">
        <f aca="false">IF($A36="","",IF(_xlfn.MAXIFS(HISTORIAL!$A$5:$A$2004,HISTORIAL!$E$5:$E$2004,$A36,HISTORIAL!$F$5:$F$2004,"Bilbo",HISTORIAL!$G$5:$G$2004,$B36)=0,"",INDEX(HISTORIAL!$B$5:$B$2004,_xlfn.MAXIFS(HISTORIAL!$A$5:$A$2004,HISTORIAL!$E$5:$E$2004,$A36,HISTORIAL!$F$5:$F$2004,"Bilbo",HISTORIAL!$G$5:$G$2004,$B36))))</f>
        <v/>
      </c>
      <c r="H36" s="27" t="str">
        <f aca="false">IF($A36="","",IF(_xlfn.MAXIFS(HISTORIAL!$A$5:$A$2004,HISTORIAL!$E$5:$E$2004,$A36,HISTORIAL!$F$5:$F$2004,"Bilbo",HISTORIAL!$G$5:$G$2004,$B36)=0,"",INDEX(HISTORIAL!$J$5:$J$2004,_xlfn.MAXIFS(HISTORIAL!$A$5:$A$2004,HISTORIAL!$E$5:$E$2004,$A36,HISTORIAL!$F$5:$F$2004,"Bilbo",HISTORIAL!$G$5:$G$2004,$B36))))</f>
        <v/>
      </c>
      <c r="I36" s="18" t="str">
        <f aca="false">IF($A36="","",IF(_xlfn.MAXIFS(HISTORIAL!$A$5:$A$2004,HISTORIAL!$E$5:$E$2004,$A36,HISTORIAL!$F$5:$F$2004,"Bilbo",HISTORIAL!$G$5:$G$2004,$B36)=0,"",INDEX(HISTORIAL!$K$5:$K$2004,_xlfn.MAXIFS(HISTORIAL!$A$5:$A$2004,HISTORIAL!$E$5:$E$2004,$A36,HISTORIAL!$F$5:$F$2004,"Bilbo",HISTORIAL!$G$5:$G$2004,$B36))))</f>
        <v/>
      </c>
      <c r="J36" s="18" t="str">
        <f aca="false">IF($A36="","",COUNTIFS(HISTORIAL!$E$5:$E$2004,$A36,HISTORIAL!$F$5:$F$2004,"Bilbo",HISTORIAL!$G$5:$G$2004,$B36))</f>
        <v/>
      </c>
      <c r="K36" s="27" t="str">
        <f aca="false">IF($A36="","",IF(J36=0,"",_xlfn.MAXIFS(HISTORIAL!$J$5:$J$2004,HISTORIAL!$E$5:$E$2004,$A36,HISTORIAL!$F$5:$F$2004,"Bilbo",HISTORIAL!$G$5:$G$2004,$B36)))</f>
        <v/>
      </c>
      <c r="L36" s="18" t="str">
        <f aca="false">IF($A36="","",IF(J36=0,"",_xlfn.MAXIFS(HISTORIAL!$K$5:$K$2004,HISTORIAL!$E$5:$E$2004,$A36,HISTORIAL!$F$5:$F$2004,"Bilbo",HISTORIAL!$G$5:$G$2004,$B36,HISTORIAL!$J$5:$J$2004,K36)))</f>
        <v/>
      </c>
      <c r="M36" s="27" t="str">
        <f aca="false">IF($A36="","",IF(J36=0,"",_xlfn.MAXIFS(HISTORIAL!$T$5:$T$2004,HISTORIAL!$E$5:$E$2004,$A36,HISTORIAL!$F$5:$F$2004,"Bilbo",HISTORIAL!$G$5:$G$2004,$B36)))</f>
        <v/>
      </c>
      <c r="N36" s="27" t="str">
        <f aca="false">IF($A36="","",IF(J36=0,"",H36-E36))</f>
        <v/>
      </c>
      <c r="O36" s="27" t="str">
        <f aca="false">IF($A36="","",IF(COUNTIFS($A$6:$A$105,$A36,$B$6:$B$105,$B36-1)=0,"",SUMIFS($E$6:$E$105,$A$6:$A$105,$A36,$B$6:$B$105,$B36-1)))</f>
        <v/>
      </c>
      <c r="P36" s="18" t="str">
        <f aca="false">IF($A36="","",IF(OR(O36="",NOT(ISNUMBER(E36))),"—",IF(E36&gt;O36,"OK","ERROR: debe ser &gt; "&amp;O36)))</f>
        <v/>
      </c>
      <c r="Q36" s="18" t="str">
        <f aca="false">IF($A36="","",IF(OR(O36="",NOT(ISNUMBER(E36))),"",IF(_xlfn.MAXIFS(HISTORIAL!$K$5:$K$2004,HISTORIAL!$E$5:$E$2004,$A36,HISTORIAL!$F$5:$F$2004,"Bilbo",HISTORIAL!$G$5:$G$2004,$B36-1,HISTORIAL!$J$5:$J$2004,E36)=0,"sin dato comparable",_xlfn.MAXIFS(HISTORIAL!$K$5:$K$2004,HISTORIAL!$E$5:$E$2004,$A36,HISTORIAL!$F$5:$F$2004,"Bilbo",HISTORIAL!$G$5:$G$2004,$B36-1,HISTORIAL!$J$5:$J$2004,E36))))</f>
        <v/>
      </c>
      <c r="R36" s="18" t="str">
        <f aca="false">IF($A36="","",IF(AND(ISNUMBER(Q36),ISNUMBER(F36)),F36-Q36,""))</f>
        <v/>
      </c>
      <c r="S36" s="27" t="str">
        <f aca="false">IF($A36="","",SUMIFS(HISTORIAL!$R$5:$R$2004,HISTORIAL!$E$5:$E$2004,$A36,HISTORIAL!$F$5:$F$2004,"Bilbo",HISTORIAL!$G$5:$G$2004,$B36)+SUMIFS(HISTORIAL!$R$5:$R$2004,HISTORIAL!$E$5:$E$2004,$A36,HISTORIAL!$F$5:$F$2004,"Post-Bilbo",HISTORIAL!$G$5:$G$2004,$B36))</f>
        <v/>
      </c>
      <c r="T36" s="27" t="str">
        <f aca="false">IF($A36="","",IF(NOT(ISNUMBER(E36)),"",MAX(E36+INDEX(CONFIGURACIÓN!$H$42:$H$56,MATCH($A36,CONFIGURACIÓN!$B$42:$B$56,0)),-INT(-E36*(1+CONFIGURACIÓN!$C$17)/(INDEX(CONFIGURACIÓN!$H$42:$H$56,MATCH($A36,CONFIGURACIÓN!$B$42:$B$56,0))))*(INDEX(CONFIGURACIÓN!$H$42:$H$56,MATCH($A36,CONFIGURACIÓN!$B$42:$B$56,0))))))</f>
        <v/>
      </c>
      <c r="U36" s="13"/>
      <c r="V36" s="18" t="str">
        <f aca="false">IF($A36="","",IF(U36="","",IF(NOT(ISNUMBER(E36)),"sin carga inicial registrada",IF(U36&gt;E36,"OK","ERROR: debe ser &gt; "&amp;E36))))</f>
        <v/>
      </c>
      <c r="W36" s="11"/>
    </row>
    <row r="37" customFormat="false" ht="15" hidden="false" customHeight="true" outlineLevel="0" collapsed="false">
      <c r="A37" s="11"/>
      <c r="B37" s="11"/>
      <c r="C37" s="11"/>
      <c r="D37" s="28" t="str">
        <f aca="false">IF($A37="","",IF(_xlfn.MINIFS(HISTORIAL!$A$5:$A$2004,HISTORIAL!$E$5:$E$2004,$A37,HISTORIAL!$F$5:$F$2004,"Bilbo",HISTORIAL!$G$5:$G$2004,$B37)=0,"",INDEX(HISTORIAL!$B$5:$B$2004,_xlfn.MINIFS(HISTORIAL!$A$5:$A$2004,HISTORIAL!$E$5:$E$2004,$A37,HISTORIAL!$F$5:$F$2004,"Bilbo",HISTORIAL!$G$5:$G$2004,$B37))))</f>
        <v/>
      </c>
      <c r="E37" s="27" t="str">
        <f aca="false">IF($A37="","",IF(_xlfn.MINIFS(HISTORIAL!$A$5:$A$2004,HISTORIAL!$E$5:$E$2004,$A37,HISTORIAL!$F$5:$F$2004,"Bilbo",HISTORIAL!$G$5:$G$2004,$B37)=0,"",INDEX(HISTORIAL!$J$5:$J$2004,_xlfn.MINIFS(HISTORIAL!$A$5:$A$2004,HISTORIAL!$E$5:$E$2004,$A37,HISTORIAL!$F$5:$F$2004,"Bilbo",HISTORIAL!$G$5:$G$2004,$B37))))</f>
        <v/>
      </c>
      <c r="F37" s="18" t="str">
        <f aca="false">IF($A37="","",IF(_xlfn.MINIFS(HISTORIAL!$A$5:$A$2004,HISTORIAL!$E$5:$E$2004,$A37,HISTORIAL!$F$5:$F$2004,"Bilbo",HISTORIAL!$G$5:$G$2004,$B37)=0,"",INDEX(HISTORIAL!$K$5:$K$2004,_xlfn.MINIFS(HISTORIAL!$A$5:$A$2004,HISTORIAL!$E$5:$E$2004,$A37,HISTORIAL!$F$5:$F$2004,"Bilbo",HISTORIAL!$G$5:$G$2004,$B37))))</f>
        <v/>
      </c>
      <c r="G37" s="28" t="str">
        <f aca="false">IF($A37="","",IF(_xlfn.MAXIFS(HISTORIAL!$A$5:$A$2004,HISTORIAL!$E$5:$E$2004,$A37,HISTORIAL!$F$5:$F$2004,"Bilbo",HISTORIAL!$G$5:$G$2004,$B37)=0,"",INDEX(HISTORIAL!$B$5:$B$2004,_xlfn.MAXIFS(HISTORIAL!$A$5:$A$2004,HISTORIAL!$E$5:$E$2004,$A37,HISTORIAL!$F$5:$F$2004,"Bilbo",HISTORIAL!$G$5:$G$2004,$B37))))</f>
        <v/>
      </c>
      <c r="H37" s="27" t="str">
        <f aca="false">IF($A37="","",IF(_xlfn.MAXIFS(HISTORIAL!$A$5:$A$2004,HISTORIAL!$E$5:$E$2004,$A37,HISTORIAL!$F$5:$F$2004,"Bilbo",HISTORIAL!$G$5:$G$2004,$B37)=0,"",INDEX(HISTORIAL!$J$5:$J$2004,_xlfn.MAXIFS(HISTORIAL!$A$5:$A$2004,HISTORIAL!$E$5:$E$2004,$A37,HISTORIAL!$F$5:$F$2004,"Bilbo",HISTORIAL!$G$5:$G$2004,$B37))))</f>
        <v/>
      </c>
      <c r="I37" s="18" t="str">
        <f aca="false">IF($A37="","",IF(_xlfn.MAXIFS(HISTORIAL!$A$5:$A$2004,HISTORIAL!$E$5:$E$2004,$A37,HISTORIAL!$F$5:$F$2004,"Bilbo",HISTORIAL!$G$5:$G$2004,$B37)=0,"",INDEX(HISTORIAL!$K$5:$K$2004,_xlfn.MAXIFS(HISTORIAL!$A$5:$A$2004,HISTORIAL!$E$5:$E$2004,$A37,HISTORIAL!$F$5:$F$2004,"Bilbo",HISTORIAL!$G$5:$G$2004,$B37))))</f>
        <v/>
      </c>
      <c r="J37" s="18" t="str">
        <f aca="false">IF($A37="","",COUNTIFS(HISTORIAL!$E$5:$E$2004,$A37,HISTORIAL!$F$5:$F$2004,"Bilbo",HISTORIAL!$G$5:$G$2004,$B37))</f>
        <v/>
      </c>
      <c r="K37" s="27" t="str">
        <f aca="false">IF($A37="","",IF(J37=0,"",_xlfn.MAXIFS(HISTORIAL!$J$5:$J$2004,HISTORIAL!$E$5:$E$2004,$A37,HISTORIAL!$F$5:$F$2004,"Bilbo",HISTORIAL!$G$5:$G$2004,$B37)))</f>
        <v/>
      </c>
      <c r="L37" s="18" t="str">
        <f aca="false">IF($A37="","",IF(J37=0,"",_xlfn.MAXIFS(HISTORIAL!$K$5:$K$2004,HISTORIAL!$E$5:$E$2004,$A37,HISTORIAL!$F$5:$F$2004,"Bilbo",HISTORIAL!$G$5:$G$2004,$B37,HISTORIAL!$J$5:$J$2004,K37)))</f>
        <v/>
      </c>
      <c r="M37" s="27" t="str">
        <f aca="false">IF($A37="","",IF(J37=0,"",_xlfn.MAXIFS(HISTORIAL!$T$5:$T$2004,HISTORIAL!$E$5:$E$2004,$A37,HISTORIAL!$F$5:$F$2004,"Bilbo",HISTORIAL!$G$5:$G$2004,$B37)))</f>
        <v/>
      </c>
      <c r="N37" s="27" t="str">
        <f aca="false">IF($A37="","",IF(J37=0,"",H37-E37))</f>
        <v/>
      </c>
      <c r="O37" s="27" t="str">
        <f aca="false">IF($A37="","",IF(COUNTIFS($A$6:$A$105,$A37,$B$6:$B$105,$B37-1)=0,"",SUMIFS($E$6:$E$105,$A$6:$A$105,$A37,$B$6:$B$105,$B37-1)))</f>
        <v/>
      </c>
      <c r="P37" s="18" t="str">
        <f aca="false">IF($A37="","",IF(OR(O37="",NOT(ISNUMBER(E37))),"—",IF(E37&gt;O37,"OK","ERROR: debe ser &gt; "&amp;O37)))</f>
        <v/>
      </c>
      <c r="Q37" s="18" t="str">
        <f aca="false">IF($A37="","",IF(OR(O37="",NOT(ISNUMBER(E37))),"",IF(_xlfn.MAXIFS(HISTORIAL!$K$5:$K$2004,HISTORIAL!$E$5:$E$2004,$A37,HISTORIAL!$F$5:$F$2004,"Bilbo",HISTORIAL!$G$5:$G$2004,$B37-1,HISTORIAL!$J$5:$J$2004,E37)=0,"sin dato comparable",_xlfn.MAXIFS(HISTORIAL!$K$5:$K$2004,HISTORIAL!$E$5:$E$2004,$A37,HISTORIAL!$F$5:$F$2004,"Bilbo",HISTORIAL!$G$5:$G$2004,$B37-1,HISTORIAL!$J$5:$J$2004,E37))))</f>
        <v/>
      </c>
      <c r="R37" s="18" t="str">
        <f aca="false">IF($A37="","",IF(AND(ISNUMBER(Q37),ISNUMBER(F37)),F37-Q37,""))</f>
        <v/>
      </c>
      <c r="S37" s="27" t="str">
        <f aca="false">IF($A37="","",SUMIFS(HISTORIAL!$R$5:$R$2004,HISTORIAL!$E$5:$E$2004,$A37,HISTORIAL!$F$5:$F$2004,"Bilbo",HISTORIAL!$G$5:$G$2004,$B37)+SUMIFS(HISTORIAL!$R$5:$R$2004,HISTORIAL!$E$5:$E$2004,$A37,HISTORIAL!$F$5:$F$2004,"Post-Bilbo",HISTORIAL!$G$5:$G$2004,$B37))</f>
        <v/>
      </c>
      <c r="T37" s="27" t="str">
        <f aca="false">IF($A37="","",IF(NOT(ISNUMBER(E37)),"",MAX(E37+INDEX(CONFIGURACIÓN!$H$42:$H$56,MATCH($A37,CONFIGURACIÓN!$B$42:$B$56,0)),-INT(-E37*(1+CONFIGURACIÓN!$C$17)/(INDEX(CONFIGURACIÓN!$H$42:$H$56,MATCH($A37,CONFIGURACIÓN!$B$42:$B$56,0))))*(INDEX(CONFIGURACIÓN!$H$42:$H$56,MATCH($A37,CONFIGURACIÓN!$B$42:$B$56,0))))))</f>
        <v/>
      </c>
      <c r="U37" s="13"/>
      <c r="V37" s="18" t="str">
        <f aca="false">IF($A37="","",IF(U37="","",IF(NOT(ISNUMBER(E37)),"sin carga inicial registrada",IF(U37&gt;E37,"OK","ERROR: debe ser &gt; "&amp;E37))))</f>
        <v/>
      </c>
      <c r="W37" s="11"/>
    </row>
    <row r="38" customFormat="false" ht="15" hidden="false" customHeight="true" outlineLevel="0" collapsed="false">
      <c r="A38" s="11"/>
      <c r="B38" s="11"/>
      <c r="C38" s="11"/>
      <c r="D38" s="28" t="str">
        <f aca="false">IF($A38="","",IF(_xlfn.MINIFS(HISTORIAL!$A$5:$A$2004,HISTORIAL!$E$5:$E$2004,$A38,HISTORIAL!$F$5:$F$2004,"Bilbo",HISTORIAL!$G$5:$G$2004,$B38)=0,"",INDEX(HISTORIAL!$B$5:$B$2004,_xlfn.MINIFS(HISTORIAL!$A$5:$A$2004,HISTORIAL!$E$5:$E$2004,$A38,HISTORIAL!$F$5:$F$2004,"Bilbo",HISTORIAL!$G$5:$G$2004,$B38))))</f>
        <v/>
      </c>
      <c r="E38" s="27" t="str">
        <f aca="false">IF($A38="","",IF(_xlfn.MINIFS(HISTORIAL!$A$5:$A$2004,HISTORIAL!$E$5:$E$2004,$A38,HISTORIAL!$F$5:$F$2004,"Bilbo",HISTORIAL!$G$5:$G$2004,$B38)=0,"",INDEX(HISTORIAL!$J$5:$J$2004,_xlfn.MINIFS(HISTORIAL!$A$5:$A$2004,HISTORIAL!$E$5:$E$2004,$A38,HISTORIAL!$F$5:$F$2004,"Bilbo",HISTORIAL!$G$5:$G$2004,$B38))))</f>
        <v/>
      </c>
      <c r="F38" s="18" t="str">
        <f aca="false">IF($A38="","",IF(_xlfn.MINIFS(HISTORIAL!$A$5:$A$2004,HISTORIAL!$E$5:$E$2004,$A38,HISTORIAL!$F$5:$F$2004,"Bilbo",HISTORIAL!$G$5:$G$2004,$B38)=0,"",INDEX(HISTORIAL!$K$5:$K$2004,_xlfn.MINIFS(HISTORIAL!$A$5:$A$2004,HISTORIAL!$E$5:$E$2004,$A38,HISTORIAL!$F$5:$F$2004,"Bilbo",HISTORIAL!$G$5:$G$2004,$B38))))</f>
        <v/>
      </c>
      <c r="G38" s="28" t="str">
        <f aca="false">IF($A38="","",IF(_xlfn.MAXIFS(HISTORIAL!$A$5:$A$2004,HISTORIAL!$E$5:$E$2004,$A38,HISTORIAL!$F$5:$F$2004,"Bilbo",HISTORIAL!$G$5:$G$2004,$B38)=0,"",INDEX(HISTORIAL!$B$5:$B$2004,_xlfn.MAXIFS(HISTORIAL!$A$5:$A$2004,HISTORIAL!$E$5:$E$2004,$A38,HISTORIAL!$F$5:$F$2004,"Bilbo",HISTORIAL!$G$5:$G$2004,$B38))))</f>
        <v/>
      </c>
      <c r="H38" s="27" t="str">
        <f aca="false">IF($A38="","",IF(_xlfn.MAXIFS(HISTORIAL!$A$5:$A$2004,HISTORIAL!$E$5:$E$2004,$A38,HISTORIAL!$F$5:$F$2004,"Bilbo",HISTORIAL!$G$5:$G$2004,$B38)=0,"",INDEX(HISTORIAL!$J$5:$J$2004,_xlfn.MAXIFS(HISTORIAL!$A$5:$A$2004,HISTORIAL!$E$5:$E$2004,$A38,HISTORIAL!$F$5:$F$2004,"Bilbo",HISTORIAL!$G$5:$G$2004,$B38))))</f>
        <v/>
      </c>
      <c r="I38" s="18" t="str">
        <f aca="false">IF($A38="","",IF(_xlfn.MAXIFS(HISTORIAL!$A$5:$A$2004,HISTORIAL!$E$5:$E$2004,$A38,HISTORIAL!$F$5:$F$2004,"Bilbo",HISTORIAL!$G$5:$G$2004,$B38)=0,"",INDEX(HISTORIAL!$K$5:$K$2004,_xlfn.MAXIFS(HISTORIAL!$A$5:$A$2004,HISTORIAL!$E$5:$E$2004,$A38,HISTORIAL!$F$5:$F$2004,"Bilbo",HISTORIAL!$G$5:$G$2004,$B38))))</f>
        <v/>
      </c>
      <c r="J38" s="18" t="str">
        <f aca="false">IF($A38="","",COUNTIFS(HISTORIAL!$E$5:$E$2004,$A38,HISTORIAL!$F$5:$F$2004,"Bilbo",HISTORIAL!$G$5:$G$2004,$B38))</f>
        <v/>
      </c>
      <c r="K38" s="27" t="str">
        <f aca="false">IF($A38="","",IF(J38=0,"",_xlfn.MAXIFS(HISTORIAL!$J$5:$J$2004,HISTORIAL!$E$5:$E$2004,$A38,HISTORIAL!$F$5:$F$2004,"Bilbo",HISTORIAL!$G$5:$G$2004,$B38)))</f>
        <v/>
      </c>
      <c r="L38" s="18" t="str">
        <f aca="false">IF($A38="","",IF(J38=0,"",_xlfn.MAXIFS(HISTORIAL!$K$5:$K$2004,HISTORIAL!$E$5:$E$2004,$A38,HISTORIAL!$F$5:$F$2004,"Bilbo",HISTORIAL!$G$5:$G$2004,$B38,HISTORIAL!$J$5:$J$2004,K38)))</f>
        <v/>
      </c>
      <c r="M38" s="27" t="str">
        <f aca="false">IF($A38="","",IF(J38=0,"",_xlfn.MAXIFS(HISTORIAL!$T$5:$T$2004,HISTORIAL!$E$5:$E$2004,$A38,HISTORIAL!$F$5:$F$2004,"Bilbo",HISTORIAL!$G$5:$G$2004,$B38)))</f>
        <v/>
      </c>
      <c r="N38" s="27" t="str">
        <f aca="false">IF($A38="","",IF(J38=0,"",H38-E38))</f>
        <v/>
      </c>
      <c r="O38" s="27" t="str">
        <f aca="false">IF($A38="","",IF(COUNTIFS($A$6:$A$105,$A38,$B$6:$B$105,$B38-1)=0,"",SUMIFS($E$6:$E$105,$A$6:$A$105,$A38,$B$6:$B$105,$B38-1)))</f>
        <v/>
      </c>
      <c r="P38" s="18" t="str">
        <f aca="false">IF($A38="","",IF(OR(O38="",NOT(ISNUMBER(E38))),"—",IF(E38&gt;O38,"OK","ERROR: debe ser &gt; "&amp;O38)))</f>
        <v/>
      </c>
      <c r="Q38" s="18" t="str">
        <f aca="false">IF($A38="","",IF(OR(O38="",NOT(ISNUMBER(E38))),"",IF(_xlfn.MAXIFS(HISTORIAL!$K$5:$K$2004,HISTORIAL!$E$5:$E$2004,$A38,HISTORIAL!$F$5:$F$2004,"Bilbo",HISTORIAL!$G$5:$G$2004,$B38-1,HISTORIAL!$J$5:$J$2004,E38)=0,"sin dato comparable",_xlfn.MAXIFS(HISTORIAL!$K$5:$K$2004,HISTORIAL!$E$5:$E$2004,$A38,HISTORIAL!$F$5:$F$2004,"Bilbo",HISTORIAL!$G$5:$G$2004,$B38-1,HISTORIAL!$J$5:$J$2004,E38))))</f>
        <v/>
      </c>
      <c r="R38" s="18" t="str">
        <f aca="false">IF($A38="","",IF(AND(ISNUMBER(Q38),ISNUMBER(F38)),F38-Q38,""))</f>
        <v/>
      </c>
      <c r="S38" s="27" t="str">
        <f aca="false">IF($A38="","",SUMIFS(HISTORIAL!$R$5:$R$2004,HISTORIAL!$E$5:$E$2004,$A38,HISTORIAL!$F$5:$F$2004,"Bilbo",HISTORIAL!$G$5:$G$2004,$B38)+SUMIFS(HISTORIAL!$R$5:$R$2004,HISTORIAL!$E$5:$E$2004,$A38,HISTORIAL!$F$5:$F$2004,"Post-Bilbo",HISTORIAL!$G$5:$G$2004,$B38))</f>
        <v/>
      </c>
      <c r="T38" s="27" t="str">
        <f aca="false">IF($A38="","",IF(NOT(ISNUMBER(E38)),"",MAX(E38+INDEX(CONFIGURACIÓN!$H$42:$H$56,MATCH($A38,CONFIGURACIÓN!$B$42:$B$56,0)),-INT(-E38*(1+CONFIGURACIÓN!$C$17)/(INDEX(CONFIGURACIÓN!$H$42:$H$56,MATCH($A38,CONFIGURACIÓN!$B$42:$B$56,0))))*(INDEX(CONFIGURACIÓN!$H$42:$H$56,MATCH($A38,CONFIGURACIÓN!$B$42:$B$56,0))))))</f>
        <v/>
      </c>
      <c r="U38" s="13"/>
      <c r="V38" s="18" t="str">
        <f aca="false">IF($A38="","",IF(U38="","",IF(NOT(ISNUMBER(E38)),"sin carga inicial registrada",IF(U38&gt;E38,"OK","ERROR: debe ser &gt; "&amp;E38))))</f>
        <v/>
      </c>
      <c r="W38" s="11"/>
    </row>
    <row r="39" customFormat="false" ht="15" hidden="false" customHeight="true" outlineLevel="0" collapsed="false">
      <c r="A39" s="11"/>
      <c r="B39" s="11"/>
      <c r="C39" s="11"/>
      <c r="D39" s="28" t="str">
        <f aca="false">IF($A39="","",IF(_xlfn.MINIFS(HISTORIAL!$A$5:$A$2004,HISTORIAL!$E$5:$E$2004,$A39,HISTORIAL!$F$5:$F$2004,"Bilbo",HISTORIAL!$G$5:$G$2004,$B39)=0,"",INDEX(HISTORIAL!$B$5:$B$2004,_xlfn.MINIFS(HISTORIAL!$A$5:$A$2004,HISTORIAL!$E$5:$E$2004,$A39,HISTORIAL!$F$5:$F$2004,"Bilbo",HISTORIAL!$G$5:$G$2004,$B39))))</f>
        <v/>
      </c>
      <c r="E39" s="27" t="str">
        <f aca="false">IF($A39="","",IF(_xlfn.MINIFS(HISTORIAL!$A$5:$A$2004,HISTORIAL!$E$5:$E$2004,$A39,HISTORIAL!$F$5:$F$2004,"Bilbo",HISTORIAL!$G$5:$G$2004,$B39)=0,"",INDEX(HISTORIAL!$J$5:$J$2004,_xlfn.MINIFS(HISTORIAL!$A$5:$A$2004,HISTORIAL!$E$5:$E$2004,$A39,HISTORIAL!$F$5:$F$2004,"Bilbo",HISTORIAL!$G$5:$G$2004,$B39))))</f>
        <v/>
      </c>
      <c r="F39" s="18" t="str">
        <f aca="false">IF($A39="","",IF(_xlfn.MINIFS(HISTORIAL!$A$5:$A$2004,HISTORIAL!$E$5:$E$2004,$A39,HISTORIAL!$F$5:$F$2004,"Bilbo",HISTORIAL!$G$5:$G$2004,$B39)=0,"",INDEX(HISTORIAL!$K$5:$K$2004,_xlfn.MINIFS(HISTORIAL!$A$5:$A$2004,HISTORIAL!$E$5:$E$2004,$A39,HISTORIAL!$F$5:$F$2004,"Bilbo",HISTORIAL!$G$5:$G$2004,$B39))))</f>
        <v/>
      </c>
      <c r="G39" s="28" t="str">
        <f aca="false">IF($A39="","",IF(_xlfn.MAXIFS(HISTORIAL!$A$5:$A$2004,HISTORIAL!$E$5:$E$2004,$A39,HISTORIAL!$F$5:$F$2004,"Bilbo",HISTORIAL!$G$5:$G$2004,$B39)=0,"",INDEX(HISTORIAL!$B$5:$B$2004,_xlfn.MAXIFS(HISTORIAL!$A$5:$A$2004,HISTORIAL!$E$5:$E$2004,$A39,HISTORIAL!$F$5:$F$2004,"Bilbo",HISTORIAL!$G$5:$G$2004,$B39))))</f>
        <v/>
      </c>
      <c r="H39" s="27" t="str">
        <f aca="false">IF($A39="","",IF(_xlfn.MAXIFS(HISTORIAL!$A$5:$A$2004,HISTORIAL!$E$5:$E$2004,$A39,HISTORIAL!$F$5:$F$2004,"Bilbo",HISTORIAL!$G$5:$G$2004,$B39)=0,"",INDEX(HISTORIAL!$J$5:$J$2004,_xlfn.MAXIFS(HISTORIAL!$A$5:$A$2004,HISTORIAL!$E$5:$E$2004,$A39,HISTORIAL!$F$5:$F$2004,"Bilbo",HISTORIAL!$G$5:$G$2004,$B39))))</f>
        <v/>
      </c>
      <c r="I39" s="18" t="str">
        <f aca="false">IF($A39="","",IF(_xlfn.MAXIFS(HISTORIAL!$A$5:$A$2004,HISTORIAL!$E$5:$E$2004,$A39,HISTORIAL!$F$5:$F$2004,"Bilbo",HISTORIAL!$G$5:$G$2004,$B39)=0,"",INDEX(HISTORIAL!$K$5:$K$2004,_xlfn.MAXIFS(HISTORIAL!$A$5:$A$2004,HISTORIAL!$E$5:$E$2004,$A39,HISTORIAL!$F$5:$F$2004,"Bilbo",HISTORIAL!$G$5:$G$2004,$B39))))</f>
        <v/>
      </c>
      <c r="J39" s="18" t="str">
        <f aca="false">IF($A39="","",COUNTIFS(HISTORIAL!$E$5:$E$2004,$A39,HISTORIAL!$F$5:$F$2004,"Bilbo",HISTORIAL!$G$5:$G$2004,$B39))</f>
        <v/>
      </c>
      <c r="K39" s="27" t="str">
        <f aca="false">IF($A39="","",IF(J39=0,"",_xlfn.MAXIFS(HISTORIAL!$J$5:$J$2004,HISTORIAL!$E$5:$E$2004,$A39,HISTORIAL!$F$5:$F$2004,"Bilbo",HISTORIAL!$G$5:$G$2004,$B39)))</f>
        <v/>
      </c>
      <c r="L39" s="18" t="str">
        <f aca="false">IF($A39="","",IF(J39=0,"",_xlfn.MAXIFS(HISTORIAL!$K$5:$K$2004,HISTORIAL!$E$5:$E$2004,$A39,HISTORIAL!$F$5:$F$2004,"Bilbo",HISTORIAL!$G$5:$G$2004,$B39,HISTORIAL!$J$5:$J$2004,K39)))</f>
        <v/>
      </c>
      <c r="M39" s="27" t="str">
        <f aca="false">IF($A39="","",IF(J39=0,"",_xlfn.MAXIFS(HISTORIAL!$T$5:$T$2004,HISTORIAL!$E$5:$E$2004,$A39,HISTORIAL!$F$5:$F$2004,"Bilbo",HISTORIAL!$G$5:$G$2004,$B39)))</f>
        <v/>
      </c>
      <c r="N39" s="27" t="str">
        <f aca="false">IF($A39="","",IF(J39=0,"",H39-E39))</f>
        <v/>
      </c>
      <c r="O39" s="27" t="str">
        <f aca="false">IF($A39="","",IF(COUNTIFS($A$6:$A$105,$A39,$B$6:$B$105,$B39-1)=0,"",SUMIFS($E$6:$E$105,$A$6:$A$105,$A39,$B$6:$B$105,$B39-1)))</f>
        <v/>
      </c>
      <c r="P39" s="18" t="str">
        <f aca="false">IF($A39="","",IF(OR(O39="",NOT(ISNUMBER(E39))),"—",IF(E39&gt;O39,"OK","ERROR: debe ser &gt; "&amp;O39)))</f>
        <v/>
      </c>
      <c r="Q39" s="18" t="str">
        <f aca="false">IF($A39="","",IF(OR(O39="",NOT(ISNUMBER(E39))),"",IF(_xlfn.MAXIFS(HISTORIAL!$K$5:$K$2004,HISTORIAL!$E$5:$E$2004,$A39,HISTORIAL!$F$5:$F$2004,"Bilbo",HISTORIAL!$G$5:$G$2004,$B39-1,HISTORIAL!$J$5:$J$2004,E39)=0,"sin dato comparable",_xlfn.MAXIFS(HISTORIAL!$K$5:$K$2004,HISTORIAL!$E$5:$E$2004,$A39,HISTORIAL!$F$5:$F$2004,"Bilbo",HISTORIAL!$G$5:$G$2004,$B39-1,HISTORIAL!$J$5:$J$2004,E39))))</f>
        <v/>
      </c>
      <c r="R39" s="18" t="str">
        <f aca="false">IF($A39="","",IF(AND(ISNUMBER(Q39),ISNUMBER(F39)),F39-Q39,""))</f>
        <v/>
      </c>
      <c r="S39" s="27" t="str">
        <f aca="false">IF($A39="","",SUMIFS(HISTORIAL!$R$5:$R$2004,HISTORIAL!$E$5:$E$2004,$A39,HISTORIAL!$F$5:$F$2004,"Bilbo",HISTORIAL!$G$5:$G$2004,$B39)+SUMIFS(HISTORIAL!$R$5:$R$2004,HISTORIAL!$E$5:$E$2004,$A39,HISTORIAL!$F$5:$F$2004,"Post-Bilbo",HISTORIAL!$G$5:$G$2004,$B39))</f>
        <v/>
      </c>
      <c r="T39" s="27" t="str">
        <f aca="false">IF($A39="","",IF(NOT(ISNUMBER(E39)),"",MAX(E39+INDEX(CONFIGURACIÓN!$H$42:$H$56,MATCH($A39,CONFIGURACIÓN!$B$42:$B$56,0)),-INT(-E39*(1+CONFIGURACIÓN!$C$17)/(INDEX(CONFIGURACIÓN!$H$42:$H$56,MATCH($A39,CONFIGURACIÓN!$B$42:$B$56,0))))*(INDEX(CONFIGURACIÓN!$H$42:$H$56,MATCH($A39,CONFIGURACIÓN!$B$42:$B$56,0))))))</f>
        <v/>
      </c>
      <c r="U39" s="13"/>
      <c r="V39" s="18" t="str">
        <f aca="false">IF($A39="","",IF(U39="","",IF(NOT(ISNUMBER(E39)),"sin carga inicial registrada",IF(U39&gt;E39,"OK","ERROR: debe ser &gt; "&amp;E39))))</f>
        <v/>
      </c>
      <c r="W39" s="11"/>
    </row>
    <row r="40" customFormat="false" ht="15" hidden="false" customHeight="true" outlineLevel="0" collapsed="false">
      <c r="A40" s="11"/>
      <c r="B40" s="11"/>
      <c r="C40" s="11"/>
      <c r="D40" s="28" t="str">
        <f aca="false">IF($A40="","",IF(_xlfn.MINIFS(HISTORIAL!$A$5:$A$2004,HISTORIAL!$E$5:$E$2004,$A40,HISTORIAL!$F$5:$F$2004,"Bilbo",HISTORIAL!$G$5:$G$2004,$B40)=0,"",INDEX(HISTORIAL!$B$5:$B$2004,_xlfn.MINIFS(HISTORIAL!$A$5:$A$2004,HISTORIAL!$E$5:$E$2004,$A40,HISTORIAL!$F$5:$F$2004,"Bilbo",HISTORIAL!$G$5:$G$2004,$B40))))</f>
        <v/>
      </c>
      <c r="E40" s="27" t="str">
        <f aca="false">IF($A40="","",IF(_xlfn.MINIFS(HISTORIAL!$A$5:$A$2004,HISTORIAL!$E$5:$E$2004,$A40,HISTORIAL!$F$5:$F$2004,"Bilbo",HISTORIAL!$G$5:$G$2004,$B40)=0,"",INDEX(HISTORIAL!$J$5:$J$2004,_xlfn.MINIFS(HISTORIAL!$A$5:$A$2004,HISTORIAL!$E$5:$E$2004,$A40,HISTORIAL!$F$5:$F$2004,"Bilbo",HISTORIAL!$G$5:$G$2004,$B40))))</f>
        <v/>
      </c>
      <c r="F40" s="18" t="str">
        <f aca="false">IF($A40="","",IF(_xlfn.MINIFS(HISTORIAL!$A$5:$A$2004,HISTORIAL!$E$5:$E$2004,$A40,HISTORIAL!$F$5:$F$2004,"Bilbo",HISTORIAL!$G$5:$G$2004,$B40)=0,"",INDEX(HISTORIAL!$K$5:$K$2004,_xlfn.MINIFS(HISTORIAL!$A$5:$A$2004,HISTORIAL!$E$5:$E$2004,$A40,HISTORIAL!$F$5:$F$2004,"Bilbo",HISTORIAL!$G$5:$G$2004,$B40))))</f>
        <v/>
      </c>
      <c r="G40" s="28" t="str">
        <f aca="false">IF($A40="","",IF(_xlfn.MAXIFS(HISTORIAL!$A$5:$A$2004,HISTORIAL!$E$5:$E$2004,$A40,HISTORIAL!$F$5:$F$2004,"Bilbo",HISTORIAL!$G$5:$G$2004,$B40)=0,"",INDEX(HISTORIAL!$B$5:$B$2004,_xlfn.MAXIFS(HISTORIAL!$A$5:$A$2004,HISTORIAL!$E$5:$E$2004,$A40,HISTORIAL!$F$5:$F$2004,"Bilbo",HISTORIAL!$G$5:$G$2004,$B40))))</f>
        <v/>
      </c>
      <c r="H40" s="27" t="str">
        <f aca="false">IF($A40="","",IF(_xlfn.MAXIFS(HISTORIAL!$A$5:$A$2004,HISTORIAL!$E$5:$E$2004,$A40,HISTORIAL!$F$5:$F$2004,"Bilbo",HISTORIAL!$G$5:$G$2004,$B40)=0,"",INDEX(HISTORIAL!$J$5:$J$2004,_xlfn.MAXIFS(HISTORIAL!$A$5:$A$2004,HISTORIAL!$E$5:$E$2004,$A40,HISTORIAL!$F$5:$F$2004,"Bilbo",HISTORIAL!$G$5:$G$2004,$B40))))</f>
        <v/>
      </c>
      <c r="I40" s="18" t="str">
        <f aca="false">IF($A40="","",IF(_xlfn.MAXIFS(HISTORIAL!$A$5:$A$2004,HISTORIAL!$E$5:$E$2004,$A40,HISTORIAL!$F$5:$F$2004,"Bilbo",HISTORIAL!$G$5:$G$2004,$B40)=0,"",INDEX(HISTORIAL!$K$5:$K$2004,_xlfn.MAXIFS(HISTORIAL!$A$5:$A$2004,HISTORIAL!$E$5:$E$2004,$A40,HISTORIAL!$F$5:$F$2004,"Bilbo",HISTORIAL!$G$5:$G$2004,$B40))))</f>
        <v/>
      </c>
      <c r="J40" s="18" t="str">
        <f aca="false">IF($A40="","",COUNTIFS(HISTORIAL!$E$5:$E$2004,$A40,HISTORIAL!$F$5:$F$2004,"Bilbo",HISTORIAL!$G$5:$G$2004,$B40))</f>
        <v/>
      </c>
      <c r="K40" s="27" t="str">
        <f aca="false">IF($A40="","",IF(J40=0,"",_xlfn.MAXIFS(HISTORIAL!$J$5:$J$2004,HISTORIAL!$E$5:$E$2004,$A40,HISTORIAL!$F$5:$F$2004,"Bilbo",HISTORIAL!$G$5:$G$2004,$B40)))</f>
        <v/>
      </c>
      <c r="L40" s="18" t="str">
        <f aca="false">IF($A40="","",IF(J40=0,"",_xlfn.MAXIFS(HISTORIAL!$K$5:$K$2004,HISTORIAL!$E$5:$E$2004,$A40,HISTORIAL!$F$5:$F$2004,"Bilbo",HISTORIAL!$G$5:$G$2004,$B40,HISTORIAL!$J$5:$J$2004,K40)))</f>
        <v/>
      </c>
      <c r="M40" s="27" t="str">
        <f aca="false">IF($A40="","",IF(J40=0,"",_xlfn.MAXIFS(HISTORIAL!$T$5:$T$2004,HISTORIAL!$E$5:$E$2004,$A40,HISTORIAL!$F$5:$F$2004,"Bilbo",HISTORIAL!$G$5:$G$2004,$B40)))</f>
        <v/>
      </c>
      <c r="N40" s="27" t="str">
        <f aca="false">IF($A40="","",IF(J40=0,"",H40-E40))</f>
        <v/>
      </c>
      <c r="O40" s="27" t="str">
        <f aca="false">IF($A40="","",IF(COUNTIFS($A$6:$A$105,$A40,$B$6:$B$105,$B40-1)=0,"",SUMIFS($E$6:$E$105,$A$6:$A$105,$A40,$B$6:$B$105,$B40-1)))</f>
        <v/>
      </c>
      <c r="P40" s="18" t="str">
        <f aca="false">IF($A40="","",IF(OR(O40="",NOT(ISNUMBER(E40))),"—",IF(E40&gt;O40,"OK","ERROR: debe ser &gt; "&amp;O40)))</f>
        <v/>
      </c>
      <c r="Q40" s="18" t="str">
        <f aca="false">IF($A40="","",IF(OR(O40="",NOT(ISNUMBER(E40))),"",IF(_xlfn.MAXIFS(HISTORIAL!$K$5:$K$2004,HISTORIAL!$E$5:$E$2004,$A40,HISTORIAL!$F$5:$F$2004,"Bilbo",HISTORIAL!$G$5:$G$2004,$B40-1,HISTORIAL!$J$5:$J$2004,E40)=0,"sin dato comparable",_xlfn.MAXIFS(HISTORIAL!$K$5:$K$2004,HISTORIAL!$E$5:$E$2004,$A40,HISTORIAL!$F$5:$F$2004,"Bilbo",HISTORIAL!$G$5:$G$2004,$B40-1,HISTORIAL!$J$5:$J$2004,E40))))</f>
        <v/>
      </c>
      <c r="R40" s="18" t="str">
        <f aca="false">IF($A40="","",IF(AND(ISNUMBER(Q40),ISNUMBER(F40)),F40-Q40,""))</f>
        <v/>
      </c>
      <c r="S40" s="27" t="str">
        <f aca="false">IF($A40="","",SUMIFS(HISTORIAL!$R$5:$R$2004,HISTORIAL!$E$5:$E$2004,$A40,HISTORIAL!$F$5:$F$2004,"Bilbo",HISTORIAL!$G$5:$G$2004,$B40)+SUMIFS(HISTORIAL!$R$5:$R$2004,HISTORIAL!$E$5:$E$2004,$A40,HISTORIAL!$F$5:$F$2004,"Post-Bilbo",HISTORIAL!$G$5:$G$2004,$B40))</f>
        <v/>
      </c>
      <c r="T40" s="27" t="str">
        <f aca="false">IF($A40="","",IF(NOT(ISNUMBER(E40)),"",MAX(E40+INDEX(CONFIGURACIÓN!$H$42:$H$56,MATCH($A40,CONFIGURACIÓN!$B$42:$B$56,0)),-INT(-E40*(1+CONFIGURACIÓN!$C$17)/(INDEX(CONFIGURACIÓN!$H$42:$H$56,MATCH($A40,CONFIGURACIÓN!$B$42:$B$56,0))))*(INDEX(CONFIGURACIÓN!$H$42:$H$56,MATCH($A40,CONFIGURACIÓN!$B$42:$B$56,0))))))</f>
        <v/>
      </c>
      <c r="U40" s="13"/>
      <c r="V40" s="18" t="str">
        <f aca="false">IF($A40="","",IF(U40="","",IF(NOT(ISNUMBER(E40)),"sin carga inicial registrada",IF(U40&gt;E40,"OK","ERROR: debe ser &gt; "&amp;E40))))</f>
        <v/>
      </c>
      <c r="W40" s="11"/>
    </row>
    <row r="41" customFormat="false" ht="15" hidden="false" customHeight="true" outlineLevel="0" collapsed="false">
      <c r="A41" s="11"/>
      <c r="B41" s="11"/>
      <c r="C41" s="11"/>
      <c r="D41" s="28" t="str">
        <f aca="false">IF($A41="","",IF(_xlfn.MINIFS(HISTORIAL!$A$5:$A$2004,HISTORIAL!$E$5:$E$2004,$A41,HISTORIAL!$F$5:$F$2004,"Bilbo",HISTORIAL!$G$5:$G$2004,$B41)=0,"",INDEX(HISTORIAL!$B$5:$B$2004,_xlfn.MINIFS(HISTORIAL!$A$5:$A$2004,HISTORIAL!$E$5:$E$2004,$A41,HISTORIAL!$F$5:$F$2004,"Bilbo",HISTORIAL!$G$5:$G$2004,$B41))))</f>
        <v/>
      </c>
      <c r="E41" s="27" t="str">
        <f aca="false">IF($A41="","",IF(_xlfn.MINIFS(HISTORIAL!$A$5:$A$2004,HISTORIAL!$E$5:$E$2004,$A41,HISTORIAL!$F$5:$F$2004,"Bilbo",HISTORIAL!$G$5:$G$2004,$B41)=0,"",INDEX(HISTORIAL!$J$5:$J$2004,_xlfn.MINIFS(HISTORIAL!$A$5:$A$2004,HISTORIAL!$E$5:$E$2004,$A41,HISTORIAL!$F$5:$F$2004,"Bilbo",HISTORIAL!$G$5:$G$2004,$B41))))</f>
        <v/>
      </c>
      <c r="F41" s="18" t="str">
        <f aca="false">IF($A41="","",IF(_xlfn.MINIFS(HISTORIAL!$A$5:$A$2004,HISTORIAL!$E$5:$E$2004,$A41,HISTORIAL!$F$5:$F$2004,"Bilbo",HISTORIAL!$G$5:$G$2004,$B41)=0,"",INDEX(HISTORIAL!$K$5:$K$2004,_xlfn.MINIFS(HISTORIAL!$A$5:$A$2004,HISTORIAL!$E$5:$E$2004,$A41,HISTORIAL!$F$5:$F$2004,"Bilbo",HISTORIAL!$G$5:$G$2004,$B41))))</f>
        <v/>
      </c>
      <c r="G41" s="28" t="str">
        <f aca="false">IF($A41="","",IF(_xlfn.MAXIFS(HISTORIAL!$A$5:$A$2004,HISTORIAL!$E$5:$E$2004,$A41,HISTORIAL!$F$5:$F$2004,"Bilbo",HISTORIAL!$G$5:$G$2004,$B41)=0,"",INDEX(HISTORIAL!$B$5:$B$2004,_xlfn.MAXIFS(HISTORIAL!$A$5:$A$2004,HISTORIAL!$E$5:$E$2004,$A41,HISTORIAL!$F$5:$F$2004,"Bilbo",HISTORIAL!$G$5:$G$2004,$B41))))</f>
        <v/>
      </c>
      <c r="H41" s="27" t="str">
        <f aca="false">IF($A41="","",IF(_xlfn.MAXIFS(HISTORIAL!$A$5:$A$2004,HISTORIAL!$E$5:$E$2004,$A41,HISTORIAL!$F$5:$F$2004,"Bilbo",HISTORIAL!$G$5:$G$2004,$B41)=0,"",INDEX(HISTORIAL!$J$5:$J$2004,_xlfn.MAXIFS(HISTORIAL!$A$5:$A$2004,HISTORIAL!$E$5:$E$2004,$A41,HISTORIAL!$F$5:$F$2004,"Bilbo",HISTORIAL!$G$5:$G$2004,$B41))))</f>
        <v/>
      </c>
      <c r="I41" s="18" t="str">
        <f aca="false">IF($A41="","",IF(_xlfn.MAXIFS(HISTORIAL!$A$5:$A$2004,HISTORIAL!$E$5:$E$2004,$A41,HISTORIAL!$F$5:$F$2004,"Bilbo",HISTORIAL!$G$5:$G$2004,$B41)=0,"",INDEX(HISTORIAL!$K$5:$K$2004,_xlfn.MAXIFS(HISTORIAL!$A$5:$A$2004,HISTORIAL!$E$5:$E$2004,$A41,HISTORIAL!$F$5:$F$2004,"Bilbo",HISTORIAL!$G$5:$G$2004,$B41))))</f>
        <v/>
      </c>
      <c r="J41" s="18" t="str">
        <f aca="false">IF($A41="","",COUNTIFS(HISTORIAL!$E$5:$E$2004,$A41,HISTORIAL!$F$5:$F$2004,"Bilbo",HISTORIAL!$G$5:$G$2004,$B41))</f>
        <v/>
      </c>
      <c r="K41" s="27" t="str">
        <f aca="false">IF($A41="","",IF(J41=0,"",_xlfn.MAXIFS(HISTORIAL!$J$5:$J$2004,HISTORIAL!$E$5:$E$2004,$A41,HISTORIAL!$F$5:$F$2004,"Bilbo",HISTORIAL!$G$5:$G$2004,$B41)))</f>
        <v/>
      </c>
      <c r="L41" s="18" t="str">
        <f aca="false">IF($A41="","",IF(J41=0,"",_xlfn.MAXIFS(HISTORIAL!$K$5:$K$2004,HISTORIAL!$E$5:$E$2004,$A41,HISTORIAL!$F$5:$F$2004,"Bilbo",HISTORIAL!$G$5:$G$2004,$B41,HISTORIAL!$J$5:$J$2004,K41)))</f>
        <v/>
      </c>
      <c r="M41" s="27" t="str">
        <f aca="false">IF($A41="","",IF(J41=0,"",_xlfn.MAXIFS(HISTORIAL!$T$5:$T$2004,HISTORIAL!$E$5:$E$2004,$A41,HISTORIAL!$F$5:$F$2004,"Bilbo",HISTORIAL!$G$5:$G$2004,$B41)))</f>
        <v/>
      </c>
      <c r="N41" s="27" t="str">
        <f aca="false">IF($A41="","",IF(J41=0,"",H41-E41))</f>
        <v/>
      </c>
      <c r="O41" s="27" t="str">
        <f aca="false">IF($A41="","",IF(COUNTIFS($A$6:$A$105,$A41,$B$6:$B$105,$B41-1)=0,"",SUMIFS($E$6:$E$105,$A$6:$A$105,$A41,$B$6:$B$105,$B41-1)))</f>
        <v/>
      </c>
      <c r="P41" s="18" t="str">
        <f aca="false">IF($A41="","",IF(OR(O41="",NOT(ISNUMBER(E41))),"—",IF(E41&gt;O41,"OK","ERROR: debe ser &gt; "&amp;O41)))</f>
        <v/>
      </c>
      <c r="Q41" s="18" t="str">
        <f aca="false">IF($A41="","",IF(OR(O41="",NOT(ISNUMBER(E41))),"",IF(_xlfn.MAXIFS(HISTORIAL!$K$5:$K$2004,HISTORIAL!$E$5:$E$2004,$A41,HISTORIAL!$F$5:$F$2004,"Bilbo",HISTORIAL!$G$5:$G$2004,$B41-1,HISTORIAL!$J$5:$J$2004,E41)=0,"sin dato comparable",_xlfn.MAXIFS(HISTORIAL!$K$5:$K$2004,HISTORIAL!$E$5:$E$2004,$A41,HISTORIAL!$F$5:$F$2004,"Bilbo",HISTORIAL!$G$5:$G$2004,$B41-1,HISTORIAL!$J$5:$J$2004,E41))))</f>
        <v/>
      </c>
      <c r="R41" s="18" t="str">
        <f aca="false">IF($A41="","",IF(AND(ISNUMBER(Q41),ISNUMBER(F41)),F41-Q41,""))</f>
        <v/>
      </c>
      <c r="S41" s="27" t="str">
        <f aca="false">IF($A41="","",SUMIFS(HISTORIAL!$R$5:$R$2004,HISTORIAL!$E$5:$E$2004,$A41,HISTORIAL!$F$5:$F$2004,"Bilbo",HISTORIAL!$G$5:$G$2004,$B41)+SUMIFS(HISTORIAL!$R$5:$R$2004,HISTORIAL!$E$5:$E$2004,$A41,HISTORIAL!$F$5:$F$2004,"Post-Bilbo",HISTORIAL!$G$5:$G$2004,$B41))</f>
        <v/>
      </c>
      <c r="T41" s="27" t="str">
        <f aca="false">IF($A41="","",IF(NOT(ISNUMBER(E41)),"",MAX(E41+INDEX(CONFIGURACIÓN!$H$42:$H$56,MATCH($A41,CONFIGURACIÓN!$B$42:$B$56,0)),-INT(-E41*(1+CONFIGURACIÓN!$C$17)/(INDEX(CONFIGURACIÓN!$H$42:$H$56,MATCH($A41,CONFIGURACIÓN!$B$42:$B$56,0))))*(INDEX(CONFIGURACIÓN!$H$42:$H$56,MATCH($A41,CONFIGURACIÓN!$B$42:$B$56,0))))))</f>
        <v/>
      </c>
      <c r="U41" s="13"/>
      <c r="V41" s="18" t="str">
        <f aca="false">IF($A41="","",IF(U41="","",IF(NOT(ISNUMBER(E41)),"sin carga inicial registrada",IF(U41&gt;E41,"OK","ERROR: debe ser &gt; "&amp;E41))))</f>
        <v/>
      </c>
      <c r="W41" s="11"/>
    </row>
    <row r="42" customFormat="false" ht="15" hidden="false" customHeight="true" outlineLevel="0" collapsed="false">
      <c r="A42" s="11"/>
      <c r="B42" s="11"/>
      <c r="C42" s="11"/>
      <c r="D42" s="28" t="str">
        <f aca="false">IF($A42="","",IF(_xlfn.MINIFS(HISTORIAL!$A$5:$A$2004,HISTORIAL!$E$5:$E$2004,$A42,HISTORIAL!$F$5:$F$2004,"Bilbo",HISTORIAL!$G$5:$G$2004,$B42)=0,"",INDEX(HISTORIAL!$B$5:$B$2004,_xlfn.MINIFS(HISTORIAL!$A$5:$A$2004,HISTORIAL!$E$5:$E$2004,$A42,HISTORIAL!$F$5:$F$2004,"Bilbo",HISTORIAL!$G$5:$G$2004,$B42))))</f>
        <v/>
      </c>
      <c r="E42" s="27" t="str">
        <f aca="false">IF($A42="","",IF(_xlfn.MINIFS(HISTORIAL!$A$5:$A$2004,HISTORIAL!$E$5:$E$2004,$A42,HISTORIAL!$F$5:$F$2004,"Bilbo",HISTORIAL!$G$5:$G$2004,$B42)=0,"",INDEX(HISTORIAL!$J$5:$J$2004,_xlfn.MINIFS(HISTORIAL!$A$5:$A$2004,HISTORIAL!$E$5:$E$2004,$A42,HISTORIAL!$F$5:$F$2004,"Bilbo",HISTORIAL!$G$5:$G$2004,$B42))))</f>
        <v/>
      </c>
      <c r="F42" s="18" t="str">
        <f aca="false">IF($A42="","",IF(_xlfn.MINIFS(HISTORIAL!$A$5:$A$2004,HISTORIAL!$E$5:$E$2004,$A42,HISTORIAL!$F$5:$F$2004,"Bilbo",HISTORIAL!$G$5:$G$2004,$B42)=0,"",INDEX(HISTORIAL!$K$5:$K$2004,_xlfn.MINIFS(HISTORIAL!$A$5:$A$2004,HISTORIAL!$E$5:$E$2004,$A42,HISTORIAL!$F$5:$F$2004,"Bilbo",HISTORIAL!$G$5:$G$2004,$B42))))</f>
        <v/>
      </c>
      <c r="G42" s="28" t="str">
        <f aca="false">IF($A42="","",IF(_xlfn.MAXIFS(HISTORIAL!$A$5:$A$2004,HISTORIAL!$E$5:$E$2004,$A42,HISTORIAL!$F$5:$F$2004,"Bilbo",HISTORIAL!$G$5:$G$2004,$B42)=0,"",INDEX(HISTORIAL!$B$5:$B$2004,_xlfn.MAXIFS(HISTORIAL!$A$5:$A$2004,HISTORIAL!$E$5:$E$2004,$A42,HISTORIAL!$F$5:$F$2004,"Bilbo",HISTORIAL!$G$5:$G$2004,$B42))))</f>
        <v/>
      </c>
      <c r="H42" s="27" t="str">
        <f aca="false">IF($A42="","",IF(_xlfn.MAXIFS(HISTORIAL!$A$5:$A$2004,HISTORIAL!$E$5:$E$2004,$A42,HISTORIAL!$F$5:$F$2004,"Bilbo",HISTORIAL!$G$5:$G$2004,$B42)=0,"",INDEX(HISTORIAL!$J$5:$J$2004,_xlfn.MAXIFS(HISTORIAL!$A$5:$A$2004,HISTORIAL!$E$5:$E$2004,$A42,HISTORIAL!$F$5:$F$2004,"Bilbo",HISTORIAL!$G$5:$G$2004,$B42))))</f>
        <v/>
      </c>
      <c r="I42" s="18" t="str">
        <f aca="false">IF($A42="","",IF(_xlfn.MAXIFS(HISTORIAL!$A$5:$A$2004,HISTORIAL!$E$5:$E$2004,$A42,HISTORIAL!$F$5:$F$2004,"Bilbo",HISTORIAL!$G$5:$G$2004,$B42)=0,"",INDEX(HISTORIAL!$K$5:$K$2004,_xlfn.MAXIFS(HISTORIAL!$A$5:$A$2004,HISTORIAL!$E$5:$E$2004,$A42,HISTORIAL!$F$5:$F$2004,"Bilbo",HISTORIAL!$G$5:$G$2004,$B42))))</f>
        <v/>
      </c>
      <c r="J42" s="18" t="str">
        <f aca="false">IF($A42="","",COUNTIFS(HISTORIAL!$E$5:$E$2004,$A42,HISTORIAL!$F$5:$F$2004,"Bilbo",HISTORIAL!$G$5:$G$2004,$B42))</f>
        <v/>
      </c>
      <c r="K42" s="27" t="str">
        <f aca="false">IF($A42="","",IF(J42=0,"",_xlfn.MAXIFS(HISTORIAL!$J$5:$J$2004,HISTORIAL!$E$5:$E$2004,$A42,HISTORIAL!$F$5:$F$2004,"Bilbo",HISTORIAL!$G$5:$G$2004,$B42)))</f>
        <v/>
      </c>
      <c r="L42" s="18" t="str">
        <f aca="false">IF($A42="","",IF(J42=0,"",_xlfn.MAXIFS(HISTORIAL!$K$5:$K$2004,HISTORIAL!$E$5:$E$2004,$A42,HISTORIAL!$F$5:$F$2004,"Bilbo",HISTORIAL!$G$5:$G$2004,$B42,HISTORIAL!$J$5:$J$2004,K42)))</f>
        <v/>
      </c>
      <c r="M42" s="27" t="str">
        <f aca="false">IF($A42="","",IF(J42=0,"",_xlfn.MAXIFS(HISTORIAL!$T$5:$T$2004,HISTORIAL!$E$5:$E$2004,$A42,HISTORIAL!$F$5:$F$2004,"Bilbo",HISTORIAL!$G$5:$G$2004,$B42)))</f>
        <v/>
      </c>
      <c r="N42" s="27" t="str">
        <f aca="false">IF($A42="","",IF(J42=0,"",H42-E42))</f>
        <v/>
      </c>
      <c r="O42" s="27" t="str">
        <f aca="false">IF($A42="","",IF(COUNTIFS($A$6:$A$105,$A42,$B$6:$B$105,$B42-1)=0,"",SUMIFS($E$6:$E$105,$A$6:$A$105,$A42,$B$6:$B$105,$B42-1)))</f>
        <v/>
      </c>
      <c r="P42" s="18" t="str">
        <f aca="false">IF($A42="","",IF(OR(O42="",NOT(ISNUMBER(E42))),"—",IF(E42&gt;O42,"OK","ERROR: debe ser &gt; "&amp;O42)))</f>
        <v/>
      </c>
      <c r="Q42" s="18" t="str">
        <f aca="false">IF($A42="","",IF(OR(O42="",NOT(ISNUMBER(E42))),"",IF(_xlfn.MAXIFS(HISTORIAL!$K$5:$K$2004,HISTORIAL!$E$5:$E$2004,$A42,HISTORIAL!$F$5:$F$2004,"Bilbo",HISTORIAL!$G$5:$G$2004,$B42-1,HISTORIAL!$J$5:$J$2004,E42)=0,"sin dato comparable",_xlfn.MAXIFS(HISTORIAL!$K$5:$K$2004,HISTORIAL!$E$5:$E$2004,$A42,HISTORIAL!$F$5:$F$2004,"Bilbo",HISTORIAL!$G$5:$G$2004,$B42-1,HISTORIAL!$J$5:$J$2004,E42))))</f>
        <v/>
      </c>
      <c r="R42" s="18" t="str">
        <f aca="false">IF($A42="","",IF(AND(ISNUMBER(Q42),ISNUMBER(F42)),F42-Q42,""))</f>
        <v/>
      </c>
      <c r="S42" s="27" t="str">
        <f aca="false">IF($A42="","",SUMIFS(HISTORIAL!$R$5:$R$2004,HISTORIAL!$E$5:$E$2004,$A42,HISTORIAL!$F$5:$F$2004,"Bilbo",HISTORIAL!$G$5:$G$2004,$B42)+SUMIFS(HISTORIAL!$R$5:$R$2004,HISTORIAL!$E$5:$E$2004,$A42,HISTORIAL!$F$5:$F$2004,"Post-Bilbo",HISTORIAL!$G$5:$G$2004,$B42))</f>
        <v/>
      </c>
      <c r="T42" s="27" t="str">
        <f aca="false">IF($A42="","",IF(NOT(ISNUMBER(E42)),"",MAX(E42+INDEX(CONFIGURACIÓN!$H$42:$H$56,MATCH($A42,CONFIGURACIÓN!$B$42:$B$56,0)),-INT(-E42*(1+CONFIGURACIÓN!$C$17)/(INDEX(CONFIGURACIÓN!$H$42:$H$56,MATCH($A42,CONFIGURACIÓN!$B$42:$B$56,0))))*(INDEX(CONFIGURACIÓN!$H$42:$H$56,MATCH($A42,CONFIGURACIÓN!$B$42:$B$56,0))))))</f>
        <v/>
      </c>
      <c r="U42" s="13"/>
      <c r="V42" s="18" t="str">
        <f aca="false">IF($A42="","",IF(U42="","",IF(NOT(ISNUMBER(E42)),"sin carga inicial registrada",IF(U42&gt;E42,"OK","ERROR: debe ser &gt; "&amp;E42))))</f>
        <v/>
      </c>
      <c r="W42" s="11"/>
    </row>
    <row r="43" customFormat="false" ht="15" hidden="false" customHeight="true" outlineLevel="0" collapsed="false">
      <c r="A43" s="11"/>
      <c r="B43" s="11"/>
      <c r="C43" s="11"/>
      <c r="D43" s="28" t="str">
        <f aca="false">IF($A43="","",IF(_xlfn.MINIFS(HISTORIAL!$A$5:$A$2004,HISTORIAL!$E$5:$E$2004,$A43,HISTORIAL!$F$5:$F$2004,"Bilbo",HISTORIAL!$G$5:$G$2004,$B43)=0,"",INDEX(HISTORIAL!$B$5:$B$2004,_xlfn.MINIFS(HISTORIAL!$A$5:$A$2004,HISTORIAL!$E$5:$E$2004,$A43,HISTORIAL!$F$5:$F$2004,"Bilbo",HISTORIAL!$G$5:$G$2004,$B43))))</f>
        <v/>
      </c>
      <c r="E43" s="27" t="str">
        <f aca="false">IF($A43="","",IF(_xlfn.MINIFS(HISTORIAL!$A$5:$A$2004,HISTORIAL!$E$5:$E$2004,$A43,HISTORIAL!$F$5:$F$2004,"Bilbo",HISTORIAL!$G$5:$G$2004,$B43)=0,"",INDEX(HISTORIAL!$J$5:$J$2004,_xlfn.MINIFS(HISTORIAL!$A$5:$A$2004,HISTORIAL!$E$5:$E$2004,$A43,HISTORIAL!$F$5:$F$2004,"Bilbo",HISTORIAL!$G$5:$G$2004,$B43))))</f>
        <v/>
      </c>
      <c r="F43" s="18" t="str">
        <f aca="false">IF($A43="","",IF(_xlfn.MINIFS(HISTORIAL!$A$5:$A$2004,HISTORIAL!$E$5:$E$2004,$A43,HISTORIAL!$F$5:$F$2004,"Bilbo",HISTORIAL!$G$5:$G$2004,$B43)=0,"",INDEX(HISTORIAL!$K$5:$K$2004,_xlfn.MINIFS(HISTORIAL!$A$5:$A$2004,HISTORIAL!$E$5:$E$2004,$A43,HISTORIAL!$F$5:$F$2004,"Bilbo",HISTORIAL!$G$5:$G$2004,$B43))))</f>
        <v/>
      </c>
      <c r="G43" s="28" t="str">
        <f aca="false">IF($A43="","",IF(_xlfn.MAXIFS(HISTORIAL!$A$5:$A$2004,HISTORIAL!$E$5:$E$2004,$A43,HISTORIAL!$F$5:$F$2004,"Bilbo",HISTORIAL!$G$5:$G$2004,$B43)=0,"",INDEX(HISTORIAL!$B$5:$B$2004,_xlfn.MAXIFS(HISTORIAL!$A$5:$A$2004,HISTORIAL!$E$5:$E$2004,$A43,HISTORIAL!$F$5:$F$2004,"Bilbo",HISTORIAL!$G$5:$G$2004,$B43))))</f>
        <v/>
      </c>
      <c r="H43" s="27" t="str">
        <f aca="false">IF($A43="","",IF(_xlfn.MAXIFS(HISTORIAL!$A$5:$A$2004,HISTORIAL!$E$5:$E$2004,$A43,HISTORIAL!$F$5:$F$2004,"Bilbo",HISTORIAL!$G$5:$G$2004,$B43)=0,"",INDEX(HISTORIAL!$J$5:$J$2004,_xlfn.MAXIFS(HISTORIAL!$A$5:$A$2004,HISTORIAL!$E$5:$E$2004,$A43,HISTORIAL!$F$5:$F$2004,"Bilbo",HISTORIAL!$G$5:$G$2004,$B43))))</f>
        <v/>
      </c>
      <c r="I43" s="18" t="str">
        <f aca="false">IF($A43="","",IF(_xlfn.MAXIFS(HISTORIAL!$A$5:$A$2004,HISTORIAL!$E$5:$E$2004,$A43,HISTORIAL!$F$5:$F$2004,"Bilbo",HISTORIAL!$G$5:$G$2004,$B43)=0,"",INDEX(HISTORIAL!$K$5:$K$2004,_xlfn.MAXIFS(HISTORIAL!$A$5:$A$2004,HISTORIAL!$E$5:$E$2004,$A43,HISTORIAL!$F$5:$F$2004,"Bilbo",HISTORIAL!$G$5:$G$2004,$B43))))</f>
        <v/>
      </c>
      <c r="J43" s="18" t="str">
        <f aca="false">IF($A43="","",COUNTIFS(HISTORIAL!$E$5:$E$2004,$A43,HISTORIAL!$F$5:$F$2004,"Bilbo",HISTORIAL!$G$5:$G$2004,$B43))</f>
        <v/>
      </c>
      <c r="K43" s="27" t="str">
        <f aca="false">IF($A43="","",IF(J43=0,"",_xlfn.MAXIFS(HISTORIAL!$J$5:$J$2004,HISTORIAL!$E$5:$E$2004,$A43,HISTORIAL!$F$5:$F$2004,"Bilbo",HISTORIAL!$G$5:$G$2004,$B43)))</f>
        <v/>
      </c>
      <c r="L43" s="18" t="str">
        <f aca="false">IF($A43="","",IF(J43=0,"",_xlfn.MAXIFS(HISTORIAL!$K$5:$K$2004,HISTORIAL!$E$5:$E$2004,$A43,HISTORIAL!$F$5:$F$2004,"Bilbo",HISTORIAL!$G$5:$G$2004,$B43,HISTORIAL!$J$5:$J$2004,K43)))</f>
        <v/>
      </c>
      <c r="M43" s="27" t="str">
        <f aca="false">IF($A43="","",IF(J43=0,"",_xlfn.MAXIFS(HISTORIAL!$T$5:$T$2004,HISTORIAL!$E$5:$E$2004,$A43,HISTORIAL!$F$5:$F$2004,"Bilbo",HISTORIAL!$G$5:$G$2004,$B43)))</f>
        <v/>
      </c>
      <c r="N43" s="27" t="str">
        <f aca="false">IF($A43="","",IF(J43=0,"",H43-E43))</f>
        <v/>
      </c>
      <c r="O43" s="27" t="str">
        <f aca="false">IF($A43="","",IF(COUNTIFS($A$6:$A$105,$A43,$B$6:$B$105,$B43-1)=0,"",SUMIFS($E$6:$E$105,$A$6:$A$105,$A43,$B$6:$B$105,$B43-1)))</f>
        <v/>
      </c>
      <c r="P43" s="18" t="str">
        <f aca="false">IF($A43="","",IF(OR(O43="",NOT(ISNUMBER(E43))),"—",IF(E43&gt;O43,"OK","ERROR: debe ser &gt; "&amp;O43)))</f>
        <v/>
      </c>
      <c r="Q43" s="18" t="str">
        <f aca="false">IF($A43="","",IF(OR(O43="",NOT(ISNUMBER(E43))),"",IF(_xlfn.MAXIFS(HISTORIAL!$K$5:$K$2004,HISTORIAL!$E$5:$E$2004,$A43,HISTORIAL!$F$5:$F$2004,"Bilbo",HISTORIAL!$G$5:$G$2004,$B43-1,HISTORIAL!$J$5:$J$2004,E43)=0,"sin dato comparable",_xlfn.MAXIFS(HISTORIAL!$K$5:$K$2004,HISTORIAL!$E$5:$E$2004,$A43,HISTORIAL!$F$5:$F$2004,"Bilbo",HISTORIAL!$G$5:$G$2004,$B43-1,HISTORIAL!$J$5:$J$2004,E43))))</f>
        <v/>
      </c>
      <c r="R43" s="18" t="str">
        <f aca="false">IF($A43="","",IF(AND(ISNUMBER(Q43),ISNUMBER(F43)),F43-Q43,""))</f>
        <v/>
      </c>
      <c r="S43" s="27" t="str">
        <f aca="false">IF($A43="","",SUMIFS(HISTORIAL!$R$5:$R$2004,HISTORIAL!$E$5:$E$2004,$A43,HISTORIAL!$F$5:$F$2004,"Bilbo",HISTORIAL!$G$5:$G$2004,$B43)+SUMIFS(HISTORIAL!$R$5:$R$2004,HISTORIAL!$E$5:$E$2004,$A43,HISTORIAL!$F$5:$F$2004,"Post-Bilbo",HISTORIAL!$G$5:$G$2004,$B43))</f>
        <v/>
      </c>
      <c r="T43" s="27" t="str">
        <f aca="false">IF($A43="","",IF(NOT(ISNUMBER(E43)),"",MAX(E43+INDEX(CONFIGURACIÓN!$H$42:$H$56,MATCH($A43,CONFIGURACIÓN!$B$42:$B$56,0)),-INT(-E43*(1+CONFIGURACIÓN!$C$17)/(INDEX(CONFIGURACIÓN!$H$42:$H$56,MATCH($A43,CONFIGURACIÓN!$B$42:$B$56,0))))*(INDEX(CONFIGURACIÓN!$H$42:$H$56,MATCH($A43,CONFIGURACIÓN!$B$42:$B$56,0))))))</f>
        <v/>
      </c>
      <c r="U43" s="13"/>
      <c r="V43" s="18" t="str">
        <f aca="false">IF($A43="","",IF(U43="","",IF(NOT(ISNUMBER(E43)),"sin carga inicial registrada",IF(U43&gt;E43,"OK","ERROR: debe ser &gt; "&amp;E43))))</f>
        <v/>
      </c>
      <c r="W43" s="11"/>
    </row>
    <row r="44" customFormat="false" ht="15" hidden="false" customHeight="true" outlineLevel="0" collapsed="false">
      <c r="A44" s="11"/>
      <c r="B44" s="11"/>
      <c r="C44" s="11"/>
      <c r="D44" s="28" t="str">
        <f aca="false">IF($A44="","",IF(_xlfn.MINIFS(HISTORIAL!$A$5:$A$2004,HISTORIAL!$E$5:$E$2004,$A44,HISTORIAL!$F$5:$F$2004,"Bilbo",HISTORIAL!$G$5:$G$2004,$B44)=0,"",INDEX(HISTORIAL!$B$5:$B$2004,_xlfn.MINIFS(HISTORIAL!$A$5:$A$2004,HISTORIAL!$E$5:$E$2004,$A44,HISTORIAL!$F$5:$F$2004,"Bilbo",HISTORIAL!$G$5:$G$2004,$B44))))</f>
        <v/>
      </c>
      <c r="E44" s="27" t="str">
        <f aca="false">IF($A44="","",IF(_xlfn.MINIFS(HISTORIAL!$A$5:$A$2004,HISTORIAL!$E$5:$E$2004,$A44,HISTORIAL!$F$5:$F$2004,"Bilbo",HISTORIAL!$G$5:$G$2004,$B44)=0,"",INDEX(HISTORIAL!$J$5:$J$2004,_xlfn.MINIFS(HISTORIAL!$A$5:$A$2004,HISTORIAL!$E$5:$E$2004,$A44,HISTORIAL!$F$5:$F$2004,"Bilbo",HISTORIAL!$G$5:$G$2004,$B44))))</f>
        <v/>
      </c>
      <c r="F44" s="18" t="str">
        <f aca="false">IF($A44="","",IF(_xlfn.MINIFS(HISTORIAL!$A$5:$A$2004,HISTORIAL!$E$5:$E$2004,$A44,HISTORIAL!$F$5:$F$2004,"Bilbo",HISTORIAL!$G$5:$G$2004,$B44)=0,"",INDEX(HISTORIAL!$K$5:$K$2004,_xlfn.MINIFS(HISTORIAL!$A$5:$A$2004,HISTORIAL!$E$5:$E$2004,$A44,HISTORIAL!$F$5:$F$2004,"Bilbo",HISTORIAL!$G$5:$G$2004,$B44))))</f>
        <v/>
      </c>
      <c r="G44" s="28" t="str">
        <f aca="false">IF($A44="","",IF(_xlfn.MAXIFS(HISTORIAL!$A$5:$A$2004,HISTORIAL!$E$5:$E$2004,$A44,HISTORIAL!$F$5:$F$2004,"Bilbo",HISTORIAL!$G$5:$G$2004,$B44)=0,"",INDEX(HISTORIAL!$B$5:$B$2004,_xlfn.MAXIFS(HISTORIAL!$A$5:$A$2004,HISTORIAL!$E$5:$E$2004,$A44,HISTORIAL!$F$5:$F$2004,"Bilbo",HISTORIAL!$G$5:$G$2004,$B44))))</f>
        <v/>
      </c>
      <c r="H44" s="27" t="str">
        <f aca="false">IF($A44="","",IF(_xlfn.MAXIFS(HISTORIAL!$A$5:$A$2004,HISTORIAL!$E$5:$E$2004,$A44,HISTORIAL!$F$5:$F$2004,"Bilbo",HISTORIAL!$G$5:$G$2004,$B44)=0,"",INDEX(HISTORIAL!$J$5:$J$2004,_xlfn.MAXIFS(HISTORIAL!$A$5:$A$2004,HISTORIAL!$E$5:$E$2004,$A44,HISTORIAL!$F$5:$F$2004,"Bilbo",HISTORIAL!$G$5:$G$2004,$B44))))</f>
        <v/>
      </c>
      <c r="I44" s="18" t="str">
        <f aca="false">IF($A44="","",IF(_xlfn.MAXIFS(HISTORIAL!$A$5:$A$2004,HISTORIAL!$E$5:$E$2004,$A44,HISTORIAL!$F$5:$F$2004,"Bilbo",HISTORIAL!$G$5:$G$2004,$B44)=0,"",INDEX(HISTORIAL!$K$5:$K$2004,_xlfn.MAXIFS(HISTORIAL!$A$5:$A$2004,HISTORIAL!$E$5:$E$2004,$A44,HISTORIAL!$F$5:$F$2004,"Bilbo",HISTORIAL!$G$5:$G$2004,$B44))))</f>
        <v/>
      </c>
      <c r="J44" s="18" t="str">
        <f aca="false">IF($A44="","",COUNTIFS(HISTORIAL!$E$5:$E$2004,$A44,HISTORIAL!$F$5:$F$2004,"Bilbo",HISTORIAL!$G$5:$G$2004,$B44))</f>
        <v/>
      </c>
      <c r="K44" s="27" t="str">
        <f aca="false">IF($A44="","",IF(J44=0,"",_xlfn.MAXIFS(HISTORIAL!$J$5:$J$2004,HISTORIAL!$E$5:$E$2004,$A44,HISTORIAL!$F$5:$F$2004,"Bilbo",HISTORIAL!$G$5:$G$2004,$B44)))</f>
        <v/>
      </c>
      <c r="L44" s="18" t="str">
        <f aca="false">IF($A44="","",IF(J44=0,"",_xlfn.MAXIFS(HISTORIAL!$K$5:$K$2004,HISTORIAL!$E$5:$E$2004,$A44,HISTORIAL!$F$5:$F$2004,"Bilbo",HISTORIAL!$G$5:$G$2004,$B44,HISTORIAL!$J$5:$J$2004,K44)))</f>
        <v/>
      </c>
      <c r="M44" s="27" t="str">
        <f aca="false">IF($A44="","",IF(J44=0,"",_xlfn.MAXIFS(HISTORIAL!$T$5:$T$2004,HISTORIAL!$E$5:$E$2004,$A44,HISTORIAL!$F$5:$F$2004,"Bilbo",HISTORIAL!$G$5:$G$2004,$B44)))</f>
        <v/>
      </c>
      <c r="N44" s="27" t="str">
        <f aca="false">IF($A44="","",IF(J44=0,"",H44-E44))</f>
        <v/>
      </c>
      <c r="O44" s="27" t="str">
        <f aca="false">IF($A44="","",IF(COUNTIFS($A$6:$A$105,$A44,$B$6:$B$105,$B44-1)=0,"",SUMIFS($E$6:$E$105,$A$6:$A$105,$A44,$B$6:$B$105,$B44-1)))</f>
        <v/>
      </c>
      <c r="P44" s="18" t="str">
        <f aca="false">IF($A44="","",IF(OR(O44="",NOT(ISNUMBER(E44))),"—",IF(E44&gt;O44,"OK","ERROR: debe ser &gt; "&amp;O44)))</f>
        <v/>
      </c>
      <c r="Q44" s="18" t="str">
        <f aca="false">IF($A44="","",IF(OR(O44="",NOT(ISNUMBER(E44))),"",IF(_xlfn.MAXIFS(HISTORIAL!$K$5:$K$2004,HISTORIAL!$E$5:$E$2004,$A44,HISTORIAL!$F$5:$F$2004,"Bilbo",HISTORIAL!$G$5:$G$2004,$B44-1,HISTORIAL!$J$5:$J$2004,E44)=0,"sin dato comparable",_xlfn.MAXIFS(HISTORIAL!$K$5:$K$2004,HISTORIAL!$E$5:$E$2004,$A44,HISTORIAL!$F$5:$F$2004,"Bilbo",HISTORIAL!$G$5:$G$2004,$B44-1,HISTORIAL!$J$5:$J$2004,E44))))</f>
        <v/>
      </c>
      <c r="R44" s="18" t="str">
        <f aca="false">IF($A44="","",IF(AND(ISNUMBER(Q44),ISNUMBER(F44)),F44-Q44,""))</f>
        <v/>
      </c>
      <c r="S44" s="27" t="str">
        <f aca="false">IF($A44="","",SUMIFS(HISTORIAL!$R$5:$R$2004,HISTORIAL!$E$5:$E$2004,$A44,HISTORIAL!$F$5:$F$2004,"Bilbo",HISTORIAL!$G$5:$G$2004,$B44)+SUMIFS(HISTORIAL!$R$5:$R$2004,HISTORIAL!$E$5:$E$2004,$A44,HISTORIAL!$F$5:$F$2004,"Post-Bilbo",HISTORIAL!$G$5:$G$2004,$B44))</f>
        <v/>
      </c>
      <c r="T44" s="27" t="str">
        <f aca="false">IF($A44="","",IF(NOT(ISNUMBER(E44)),"",MAX(E44+INDEX(CONFIGURACIÓN!$H$42:$H$56,MATCH($A44,CONFIGURACIÓN!$B$42:$B$56,0)),-INT(-E44*(1+CONFIGURACIÓN!$C$17)/(INDEX(CONFIGURACIÓN!$H$42:$H$56,MATCH($A44,CONFIGURACIÓN!$B$42:$B$56,0))))*(INDEX(CONFIGURACIÓN!$H$42:$H$56,MATCH($A44,CONFIGURACIÓN!$B$42:$B$56,0))))))</f>
        <v/>
      </c>
      <c r="U44" s="13"/>
      <c r="V44" s="18" t="str">
        <f aca="false">IF($A44="","",IF(U44="","",IF(NOT(ISNUMBER(E44)),"sin carga inicial registrada",IF(U44&gt;E44,"OK","ERROR: debe ser &gt; "&amp;E44))))</f>
        <v/>
      </c>
      <c r="W44" s="11"/>
    </row>
    <row r="45" customFormat="false" ht="15" hidden="false" customHeight="true" outlineLevel="0" collapsed="false">
      <c r="A45" s="11"/>
      <c r="B45" s="11"/>
      <c r="C45" s="11"/>
      <c r="D45" s="28" t="str">
        <f aca="false">IF($A45="","",IF(_xlfn.MINIFS(HISTORIAL!$A$5:$A$2004,HISTORIAL!$E$5:$E$2004,$A45,HISTORIAL!$F$5:$F$2004,"Bilbo",HISTORIAL!$G$5:$G$2004,$B45)=0,"",INDEX(HISTORIAL!$B$5:$B$2004,_xlfn.MINIFS(HISTORIAL!$A$5:$A$2004,HISTORIAL!$E$5:$E$2004,$A45,HISTORIAL!$F$5:$F$2004,"Bilbo",HISTORIAL!$G$5:$G$2004,$B45))))</f>
        <v/>
      </c>
      <c r="E45" s="27" t="str">
        <f aca="false">IF($A45="","",IF(_xlfn.MINIFS(HISTORIAL!$A$5:$A$2004,HISTORIAL!$E$5:$E$2004,$A45,HISTORIAL!$F$5:$F$2004,"Bilbo",HISTORIAL!$G$5:$G$2004,$B45)=0,"",INDEX(HISTORIAL!$J$5:$J$2004,_xlfn.MINIFS(HISTORIAL!$A$5:$A$2004,HISTORIAL!$E$5:$E$2004,$A45,HISTORIAL!$F$5:$F$2004,"Bilbo",HISTORIAL!$G$5:$G$2004,$B45))))</f>
        <v/>
      </c>
      <c r="F45" s="18" t="str">
        <f aca="false">IF($A45="","",IF(_xlfn.MINIFS(HISTORIAL!$A$5:$A$2004,HISTORIAL!$E$5:$E$2004,$A45,HISTORIAL!$F$5:$F$2004,"Bilbo",HISTORIAL!$G$5:$G$2004,$B45)=0,"",INDEX(HISTORIAL!$K$5:$K$2004,_xlfn.MINIFS(HISTORIAL!$A$5:$A$2004,HISTORIAL!$E$5:$E$2004,$A45,HISTORIAL!$F$5:$F$2004,"Bilbo",HISTORIAL!$G$5:$G$2004,$B45))))</f>
        <v/>
      </c>
      <c r="G45" s="28" t="str">
        <f aca="false">IF($A45="","",IF(_xlfn.MAXIFS(HISTORIAL!$A$5:$A$2004,HISTORIAL!$E$5:$E$2004,$A45,HISTORIAL!$F$5:$F$2004,"Bilbo",HISTORIAL!$G$5:$G$2004,$B45)=0,"",INDEX(HISTORIAL!$B$5:$B$2004,_xlfn.MAXIFS(HISTORIAL!$A$5:$A$2004,HISTORIAL!$E$5:$E$2004,$A45,HISTORIAL!$F$5:$F$2004,"Bilbo",HISTORIAL!$G$5:$G$2004,$B45))))</f>
        <v/>
      </c>
      <c r="H45" s="27" t="str">
        <f aca="false">IF($A45="","",IF(_xlfn.MAXIFS(HISTORIAL!$A$5:$A$2004,HISTORIAL!$E$5:$E$2004,$A45,HISTORIAL!$F$5:$F$2004,"Bilbo",HISTORIAL!$G$5:$G$2004,$B45)=0,"",INDEX(HISTORIAL!$J$5:$J$2004,_xlfn.MAXIFS(HISTORIAL!$A$5:$A$2004,HISTORIAL!$E$5:$E$2004,$A45,HISTORIAL!$F$5:$F$2004,"Bilbo",HISTORIAL!$G$5:$G$2004,$B45))))</f>
        <v/>
      </c>
      <c r="I45" s="18" t="str">
        <f aca="false">IF($A45="","",IF(_xlfn.MAXIFS(HISTORIAL!$A$5:$A$2004,HISTORIAL!$E$5:$E$2004,$A45,HISTORIAL!$F$5:$F$2004,"Bilbo",HISTORIAL!$G$5:$G$2004,$B45)=0,"",INDEX(HISTORIAL!$K$5:$K$2004,_xlfn.MAXIFS(HISTORIAL!$A$5:$A$2004,HISTORIAL!$E$5:$E$2004,$A45,HISTORIAL!$F$5:$F$2004,"Bilbo",HISTORIAL!$G$5:$G$2004,$B45))))</f>
        <v/>
      </c>
      <c r="J45" s="18" t="str">
        <f aca="false">IF($A45="","",COUNTIFS(HISTORIAL!$E$5:$E$2004,$A45,HISTORIAL!$F$5:$F$2004,"Bilbo",HISTORIAL!$G$5:$G$2004,$B45))</f>
        <v/>
      </c>
      <c r="K45" s="27" t="str">
        <f aca="false">IF($A45="","",IF(J45=0,"",_xlfn.MAXIFS(HISTORIAL!$J$5:$J$2004,HISTORIAL!$E$5:$E$2004,$A45,HISTORIAL!$F$5:$F$2004,"Bilbo",HISTORIAL!$G$5:$G$2004,$B45)))</f>
        <v/>
      </c>
      <c r="L45" s="18" t="str">
        <f aca="false">IF($A45="","",IF(J45=0,"",_xlfn.MAXIFS(HISTORIAL!$K$5:$K$2004,HISTORIAL!$E$5:$E$2004,$A45,HISTORIAL!$F$5:$F$2004,"Bilbo",HISTORIAL!$G$5:$G$2004,$B45,HISTORIAL!$J$5:$J$2004,K45)))</f>
        <v/>
      </c>
      <c r="M45" s="27" t="str">
        <f aca="false">IF($A45="","",IF(J45=0,"",_xlfn.MAXIFS(HISTORIAL!$T$5:$T$2004,HISTORIAL!$E$5:$E$2004,$A45,HISTORIAL!$F$5:$F$2004,"Bilbo",HISTORIAL!$G$5:$G$2004,$B45)))</f>
        <v/>
      </c>
      <c r="N45" s="27" t="str">
        <f aca="false">IF($A45="","",IF(J45=0,"",H45-E45))</f>
        <v/>
      </c>
      <c r="O45" s="27" t="str">
        <f aca="false">IF($A45="","",IF(COUNTIFS($A$6:$A$105,$A45,$B$6:$B$105,$B45-1)=0,"",SUMIFS($E$6:$E$105,$A$6:$A$105,$A45,$B$6:$B$105,$B45-1)))</f>
        <v/>
      </c>
      <c r="P45" s="18" t="str">
        <f aca="false">IF($A45="","",IF(OR(O45="",NOT(ISNUMBER(E45))),"—",IF(E45&gt;O45,"OK","ERROR: debe ser &gt; "&amp;O45)))</f>
        <v/>
      </c>
      <c r="Q45" s="18" t="str">
        <f aca="false">IF($A45="","",IF(OR(O45="",NOT(ISNUMBER(E45))),"",IF(_xlfn.MAXIFS(HISTORIAL!$K$5:$K$2004,HISTORIAL!$E$5:$E$2004,$A45,HISTORIAL!$F$5:$F$2004,"Bilbo",HISTORIAL!$G$5:$G$2004,$B45-1,HISTORIAL!$J$5:$J$2004,E45)=0,"sin dato comparable",_xlfn.MAXIFS(HISTORIAL!$K$5:$K$2004,HISTORIAL!$E$5:$E$2004,$A45,HISTORIAL!$F$5:$F$2004,"Bilbo",HISTORIAL!$G$5:$G$2004,$B45-1,HISTORIAL!$J$5:$J$2004,E45))))</f>
        <v/>
      </c>
      <c r="R45" s="18" t="str">
        <f aca="false">IF($A45="","",IF(AND(ISNUMBER(Q45),ISNUMBER(F45)),F45-Q45,""))</f>
        <v/>
      </c>
      <c r="S45" s="27" t="str">
        <f aca="false">IF($A45="","",SUMIFS(HISTORIAL!$R$5:$R$2004,HISTORIAL!$E$5:$E$2004,$A45,HISTORIAL!$F$5:$F$2004,"Bilbo",HISTORIAL!$G$5:$G$2004,$B45)+SUMIFS(HISTORIAL!$R$5:$R$2004,HISTORIAL!$E$5:$E$2004,$A45,HISTORIAL!$F$5:$F$2004,"Post-Bilbo",HISTORIAL!$G$5:$G$2004,$B45))</f>
        <v/>
      </c>
      <c r="T45" s="27" t="str">
        <f aca="false">IF($A45="","",IF(NOT(ISNUMBER(E45)),"",MAX(E45+INDEX(CONFIGURACIÓN!$H$42:$H$56,MATCH($A45,CONFIGURACIÓN!$B$42:$B$56,0)),-INT(-E45*(1+CONFIGURACIÓN!$C$17)/(INDEX(CONFIGURACIÓN!$H$42:$H$56,MATCH($A45,CONFIGURACIÓN!$B$42:$B$56,0))))*(INDEX(CONFIGURACIÓN!$H$42:$H$56,MATCH($A45,CONFIGURACIÓN!$B$42:$B$56,0))))))</f>
        <v/>
      </c>
      <c r="U45" s="13"/>
      <c r="V45" s="18" t="str">
        <f aca="false">IF($A45="","",IF(U45="","",IF(NOT(ISNUMBER(E45)),"sin carga inicial registrada",IF(U45&gt;E45,"OK","ERROR: debe ser &gt; "&amp;E45))))</f>
        <v/>
      </c>
      <c r="W45" s="11"/>
    </row>
    <row r="46" customFormat="false" ht="15" hidden="false" customHeight="true" outlineLevel="0" collapsed="false">
      <c r="A46" s="11"/>
      <c r="B46" s="11"/>
      <c r="C46" s="11"/>
      <c r="D46" s="28" t="str">
        <f aca="false">IF($A46="","",IF(_xlfn.MINIFS(HISTORIAL!$A$5:$A$2004,HISTORIAL!$E$5:$E$2004,$A46,HISTORIAL!$F$5:$F$2004,"Bilbo",HISTORIAL!$G$5:$G$2004,$B46)=0,"",INDEX(HISTORIAL!$B$5:$B$2004,_xlfn.MINIFS(HISTORIAL!$A$5:$A$2004,HISTORIAL!$E$5:$E$2004,$A46,HISTORIAL!$F$5:$F$2004,"Bilbo",HISTORIAL!$G$5:$G$2004,$B46))))</f>
        <v/>
      </c>
      <c r="E46" s="27" t="str">
        <f aca="false">IF($A46="","",IF(_xlfn.MINIFS(HISTORIAL!$A$5:$A$2004,HISTORIAL!$E$5:$E$2004,$A46,HISTORIAL!$F$5:$F$2004,"Bilbo",HISTORIAL!$G$5:$G$2004,$B46)=0,"",INDEX(HISTORIAL!$J$5:$J$2004,_xlfn.MINIFS(HISTORIAL!$A$5:$A$2004,HISTORIAL!$E$5:$E$2004,$A46,HISTORIAL!$F$5:$F$2004,"Bilbo",HISTORIAL!$G$5:$G$2004,$B46))))</f>
        <v/>
      </c>
      <c r="F46" s="18" t="str">
        <f aca="false">IF($A46="","",IF(_xlfn.MINIFS(HISTORIAL!$A$5:$A$2004,HISTORIAL!$E$5:$E$2004,$A46,HISTORIAL!$F$5:$F$2004,"Bilbo",HISTORIAL!$G$5:$G$2004,$B46)=0,"",INDEX(HISTORIAL!$K$5:$K$2004,_xlfn.MINIFS(HISTORIAL!$A$5:$A$2004,HISTORIAL!$E$5:$E$2004,$A46,HISTORIAL!$F$5:$F$2004,"Bilbo",HISTORIAL!$G$5:$G$2004,$B46))))</f>
        <v/>
      </c>
      <c r="G46" s="28" t="str">
        <f aca="false">IF($A46="","",IF(_xlfn.MAXIFS(HISTORIAL!$A$5:$A$2004,HISTORIAL!$E$5:$E$2004,$A46,HISTORIAL!$F$5:$F$2004,"Bilbo",HISTORIAL!$G$5:$G$2004,$B46)=0,"",INDEX(HISTORIAL!$B$5:$B$2004,_xlfn.MAXIFS(HISTORIAL!$A$5:$A$2004,HISTORIAL!$E$5:$E$2004,$A46,HISTORIAL!$F$5:$F$2004,"Bilbo",HISTORIAL!$G$5:$G$2004,$B46))))</f>
        <v/>
      </c>
      <c r="H46" s="27" t="str">
        <f aca="false">IF($A46="","",IF(_xlfn.MAXIFS(HISTORIAL!$A$5:$A$2004,HISTORIAL!$E$5:$E$2004,$A46,HISTORIAL!$F$5:$F$2004,"Bilbo",HISTORIAL!$G$5:$G$2004,$B46)=0,"",INDEX(HISTORIAL!$J$5:$J$2004,_xlfn.MAXIFS(HISTORIAL!$A$5:$A$2004,HISTORIAL!$E$5:$E$2004,$A46,HISTORIAL!$F$5:$F$2004,"Bilbo",HISTORIAL!$G$5:$G$2004,$B46))))</f>
        <v/>
      </c>
      <c r="I46" s="18" t="str">
        <f aca="false">IF($A46="","",IF(_xlfn.MAXIFS(HISTORIAL!$A$5:$A$2004,HISTORIAL!$E$5:$E$2004,$A46,HISTORIAL!$F$5:$F$2004,"Bilbo",HISTORIAL!$G$5:$G$2004,$B46)=0,"",INDEX(HISTORIAL!$K$5:$K$2004,_xlfn.MAXIFS(HISTORIAL!$A$5:$A$2004,HISTORIAL!$E$5:$E$2004,$A46,HISTORIAL!$F$5:$F$2004,"Bilbo",HISTORIAL!$G$5:$G$2004,$B46))))</f>
        <v/>
      </c>
      <c r="J46" s="18" t="str">
        <f aca="false">IF($A46="","",COUNTIFS(HISTORIAL!$E$5:$E$2004,$A46,HISTORIAL!$F$5:$F$2004,"Bilbo",HISTORIAL!$G$5:$G$2004,$B46))</f>
        <v/>
      </c>
      <c r="K46" s="27" t="str">
        <f aca="false">IF($A46="","",IF(J46=0,"",_xlfn.MAXIFS(HISTORIAL!$J$5:$J$2004,HISTORIAL!$E$5:$E$2004,$A46,HISTORIAL!$F$5:$F$2004,"Bilbo",HISTORIAL!$G$5:$G$2004,$B46)))</f>
        <v/>
      </c>
      <c r="L46" s="18" t="str">
        <f aca="false">IF($A46="","",IF(J46=0,"",_xlfn.MAXIFS(HISTORIAL!$K$5:$K$2004,HISTORIAL!$E$5:$E$2004,$A46,HISTORIAL!$F$5:$F$2004,"Bilbo",HISTORIAL!$G$5:$G$2004,$B46,HISTORIAL!$J$5:$J$2004,K46)))</f>
        <v/>
      </c>
      <c r="M46" s="27" t="str">
        <f aca="false">IF($A46="","",IF(J46=0,"",_xlfn.MAXIFS(HISTORIAL!$T$5:$T$2004,HISTORIAL!$E$5:$E$2004,$A46,HISTORIAL!$F$5:$F$2004,"Bilbo",HISTORIAL!$G$5:$G$2004,$B46)))</f>
        <v/>
      </c>
      <c r="N46" s="27" t="str">
        <f aca="false">IF($A46="","",IF(J46=0,"",H46-E46))</f>
        <v/>
      </c>
      <c r="O46" s="27" t="str">
        <f aca="false">IF($A46="","",IF(COUNTIFS($A$6:$A$105,$A46,$B$6:$B$105,$B46-1)=0,"",SUMIFS($E$6:$E$105,$A$6:$A$105,$A46,$B$6:$B$105,$B46-1)))</f>
        <v/>
      </c>
      <c r="P46" s="18" t="str">
        <f aca="false">IF($A46="","",IF(OR(O46="",NOT(ISNUMBER(E46))),"—",IF(E46&gt;O46,"OK","ERROR: debe ser &gt; "&amp;O46)))</f>
        <v/>
      </c>
      <c r="Q46" s="18" t="str">
        <f aca="false">IF($A46="","",IF(OR(O46="",NOT(ISNUMBER(E46))),"",IF(_xlfn.MAXIFS(HISTORIAL!$K$5:$K$2004,HISTORIAL!$E$5:$E$2004,$A46,HISTORIAL!$F$5:$F$2004,"Bilbo",HISTORIAL!$G$5:$G$2004,$B46-1,HISTORIAL!$J$5:$J$2004,E46)=0,"sin dato comparable",_xlfn.MAXIFS(HISTORIAL!$K$5:$K$2004,HISTORIAL!$E$5:$E$2004,$A46,HISTORIAL!$F$5:$F$2004,"Bilbo",HISTORIAL!$G$5:$G$2004,$B46-1,HISTORIAL!$J$5:$J$2004,E46))))</f>
        <v/>
      </c>
      <c r="R46" s="18" t="str">
        <f aca="false">IF($A46="","",IF(AND(ISNUMBER(Q46),ISNUMBER(F46)),F46-Q46,""))</f>
        <v/>
      </c>
      <c r="S46" s="27" t="str">
        <f aca="false">IF($A46="","",SUMIFS(HISTORIAL!$R$5:$R$2004,HISTORIAL!$E$5:$E$2004,$A46,HISTORIAL!$F$5:$F$2004,"Bilbo",HISTORIAL!$G$5:$G$2004,$B46)+SUMIFS(HISTORIAL!$R$5:$R$2004,HISTORIAL!$E$5:$E$2004,$A46,HISTORIAL!$F$5:$F$2004,"Post-Bilbo",HISTORIAL!$G$5:$G$2004,$B46))</f>
        <v/>
      </c>
      <c r="T46" s="27" t="str">
        <f aca="false">IF($A46="","",IF(NOT(ISNUMBER(E46)),"",MAX(E46+INDEX(CONFIGURACIÓN!$H$42:$H$56,MATCH($A46,CONFIGURACIÓN!$B$42:$B$56,0)),-INT(-E46*(1+CONFIGURACIÓN!$C$17)/(INDEX(CONFIGURACIÓN!$H$42:$H$56,MATCH($A46,CONFIGURACIÓN!$B$42:$B$56,0))))*(INDEX(CONFIGURACIÓN!$H$42:$H$56,MATCH($A46,CONFIGURACIÓN!$B$42:$B$56,0))))))</f>
        <v/>
      </c>
      <c r="U46" s="13"/>
      <c r="V46" s="18" t="str">
        <f aca="false">IF($A46="","",IF(U46="","",IF(NOT(ISNUMBER(E46)),"sin carga inicial registrada",IF(U46&gt;E46,"OK","ERROR: debe ser &gt; "&amp;E46))))</f>
        <v/>
      </c>
      <c r="W46" s="11"/>
    </row>
    <row r="47" customFormat="false" ht="15" hidden="false" customHeight="true" outlineLevel="0" collapsed="false">
      <c r="A47" s="11"/>
      <c r="B47" s="11"/>
      <c r="C47" s="11"/>
      <c r="D47" s="28" t="str">
        <f aca="false">IF($A47="","",IF(_xlfn.MINIFS(HISTORIAL!$A$5:$A$2004,HISTORIAL!$E$5:$E$2004,$A47,HISTORIAL!$F$5:$F$2004,"Bilbo",HISTORIAL!$G$5:$G$2004,$B47)=0,"",INDEX(HISTORIAL!$B$5:$B$2004,_xlfn.MINIFS(HISTORIAL!$A$5:$A$2004,HISTORIAL!$E$5:$E$2004,$A47,HISTORIAL!$F$5:$F$2004,"Bilbo",HISTORIAL!$G$5:$G$2004,$B47))))</f>
        <v/>
      </c>
      <c r="E47" s="27" t="str">
        <f aca="false">IF($A47="","",IF(_xlfn.MINIFS(HISTORIAL!$A$5:$A$2004,HISTORIAL!$E$5:$E$2004,$A47,HISTORIAL!$F$5:$F$2004,"Bilbo",HISTORIAL!$G$5:$G$2004,$B47)=0,"",INDEX(HISTORIAL!$J$5:$J$2004,_xlfn.MINIFS(HISTORIAL!$A$5:$A$2004,HISTORIAL!$E$5:$E$2004,$A47,HISTORIAL!$F$5:$F$2004,"Bilbo",HISTORIAL!$G$5:$G$2004,$B47))))</f>
        <v/>
      </c>
      <c r="F47" s="18" t="str">
        <f aca="false">IF($A47="","",IF(_xlfn.MINIFS(HISTORIAL!$A$5:$A$2004,HISTORIAL!$E$5:$E$2004,$A47,HISTORIAL!$F$5:$F$2004,"Bilbo",HISTORIAL!$G$5:$G$2004,$B47)=0,"",INDEX(HISTORIAL!$K$5:$K$2004,_xlfn.MINIFS(HISTORIAL!$A$5:$A$2004,HISTORIAL!$E$5:$E$2004,$A47,HISTORIAL!$F$5:$F$2004,"Bilbo",HISTORIAL!$G$5:$G$2004,$B47))))</f>
        <v/>
      </c>
      <c r="G47" s="28" t="str">
        <f aca="false">IF($A47="","",IF(_xlfn.MAXIFS(HISTORIAL!$A$5:$A$2004,HISTORIAL!$E$5:$E$2004,$A47,HISTORIAL!$F$5:$F$2004,"Bilbo",HISTORIAL!$G$5:$G$2004,$B47)=0,"",INDEX(HISTORIAL!$B$5:$B$2004,_xlfn.MAXIFS(HISTORIAL!$A$5:$A$2004,HISTORIAL!$E$5:$E$2004,$A47,HISTORIAL!$F$5:$F$2004,"Bilbo",HISTORIAL!$G$5:$G$2004,$B47))))</f>
        <v/>
      </c>
      <c r="H47" s="27" t="str">
        <f aca="false">IF($A47="","",IF(_xlfn.MAXIFS(HISTORIAL!$A$5:$A$2004,HISTORIAL!$E$5:$E$2004,$A47,HISTORIAL!$F$5:$F$2004,"Bilbo",HISTORIAL!$G$5:$G$2004,$B47)=0,"",INDEX(HISTORIAL!$J$5:$J$2004,_xlfn.MAXIFS(HISTORIAL!$A$5:$A$2004,HISTORIAL!$E$5:$E$2004,$A47,HISTORIAL!$F$5:$F$2004,"Bilbo",HISTORIAL!$G$5:$G$2004,$B47))))</f>
        <v/>
      </c>
      <c r="I47" s="18" t="str">
        <f aca="false">IF($A47="","",IF(_xlfn.MAXIFS(HISTORIAL!$A$5:$A$2004,HISTORIAL!$E$5:$E$2004,$A47,HISTORIAL!$F$5:$F$2004,"Bilbo",HISTORIAL!$G$5:$G$2004,$B47)=0,"",INDEX(HISTORIAL!$K$5:$K$2004,_xlfn.MAXIFS(HISTORIAL!$A$5:$A$2004,HISTORIAL!$E$5:$E$2004,$A47,HISTORIAL!$F$5:$F$2004,"Bilbo",HISTORIAL!$G$5:$G$2004,$B47))))</f>
        <v/>
      </c>
      <c r="J47" s="18" t="str">
        <f aca="false">IF($A47="","",COUNTIFS(HISTORIAL!$E$5:$E$2004,$A47,HISTORIAL!$F$5:$F$2004,"Bilbo",HISTORIAL!$G$5:$G$2004,$B47))</f>
        <v/>
      </c>
      <c r="K47" s="27" t="str">
        <f aca="false">IF($A47="","",IF(J47=0,"",_xlfn.MAXIFS(HISTORIAL!$J$5:$J$2004,HISTORIAL!$E$5:$E$2004,$A47,HISTORIAL!$F$5:$F$2004,"Bilbo",HISTORIAL!$G$5:$G$2004,$B47)))</f>
        <v/>
      </c>
      <c r="L47" s="18" t="str">
        <f aca="false">IF($A47="","",IF(J47=0,"",_xlfn.MAXIFS(HISTORIAL!$K$5:$K$2004,HISTORIAL!$E$5:$E$2004,$A47,HISTORIAL!$F$5:$F$2004,"Bilbo",HISTORIAL!$G$5:$G$2004,$B47,HISTORIAL!$J$5:$J$2004,K47)))</f>
        <v/>
      </c>
      <c r="M47" s="27" t="str">
        <f aca="false">IF($A47="","",IF(J47=0,"",_xlfn.MAXIFS(HISTORIAL!$T$5:$T$2004,HISTORIAL!$E$5:$E$2004,$A47,HISTORIAL!$F$5:$F$2004,"Bilbo",HISTORIAL!$G$5:$G$2004,$B47)))</f>
        <v/>
      </c>
      <c r="N47" s="27" t="str">
        <f aca="false">IF($A47="","",IF(J47=0,"",H47-E47))</f>
        <v/>
      </c>
      <c r="O47" s="27" t="str">
        <f aca="false">IF($A47="","",IF(COUNTIFS($A$6:$A$105,$A47,$B$6:$B$105,$B47-1)=0,"",SUMIFS($E$6:$E$105,$A$6:$A$105,$A47,$B$6:$B$105,$B47-1)))</f>
        <v/>
      </c>
      <c r="P47" s="18" t="str">
        <f aca="false">IF($A47="","",IF(OR(O47="",NOT(ISNUMBER(E47))),"—",IF(E47&gt;O47,"OK","ERROR: debe ser &gt; "&amp;O47)))</f>
        <v/>
      </c>
      <c r="Q47" s="18" t="str">
        <f aca="false">IF($A47="","",IF(OR(O47="",NOT(ISNUMBER(E47))),"",IF(_xlfn.MAXIFS(HISTORIAL!$K$5:$K$2004,HISTORIAL!$E$5:$E$2004,$A47,HISTORIAL!$F$5:$F$2004,"Bilbo",HISTORIAL!$G$5:$G$2004,$B47-1,HISTORIAL!$J$5:$J$2004,E47)=0,"sin dato comparable",_xlfn.MAXIFS(HISTORIAL!$K$5:$K$2004,HISTORIAL!$E$5:$E$2004,$A47,HISTORIAL!$F$5:$F$2004,"Bilbo",HISTORIAL!$G$5:$G$2004,$B47-1,HISTORIAL!$J$5:$J$2004,E47))))</f>
        <v/>
      </c>
      <c r="R47" s="18" t="str">
        <f aca="false">IF($A47="","",IF(AND(ISNUMBER(Q47),ISNUMBER(F47)),F47-Q47,""))</f>
        <v/>
      </c>
      <c r="S47" s="27" t="str">
        <f aca="false">IF($A47="","",SUMIFS(HISTORIAL!$R$5:$R$2004,HISTORIAL!$E$5:$E$2004,$A47,HISTORIAL!$F$5:$F$2004,"Bilbo",HISTORIAL!$G$5:$G$2004,$B47)+SUMIFS(HISTORIAL!$R$5:$R$2004,HISTORIAL!$E$5:$E$2004,$A47,HISTORIAL!$F$5:$F$2004,"Post-Bilbo",HISTORIAL!$G$5:$G$2004,$B47))</f>
        <v/>
      </c>
      <c r="T47" s="27" t="str">
        <f aca="false">IF($A47="","",IF(NOT(ISNUMBER(E47)),"",MAX(E47+INDEX(CONFIGURACIÓN!$H$42:$H$56,MATCH($A47,CONFIGURACIÓN!$B$42:$B$56,0)),-INT(-E47*(1+CONFIGURACIÓN!$C$17)/(INDEX(CONFIGURACIÓN!$H$42:$H$56,MATCH($A47,CONFIGURACIÓN!$B$42:$B$56,0))))*(INDEX(CONFIGURACIÓN!$H$42:$H$56,MATCH($A47,CONFIGURACIÓN!$B$42:$B$56,0))))))</f>
        <v/>
      </c>
      <c r="U47" s="13"/>
      <c r="V47" s="18" t="str">
        <f aca="false">IF($A47="","",IF(U47="","",IF(NOT(ISNUMBER(E47)),"sin carga inicial registrada",IF(U47&gt;E47,"OK","ERROR: debe ser &gt; "&amp;E47))))</f>
        <v/>
      </c>
      <c r="W47" s="11"/>
    </row>
    <row r="48" customFormat="false" ht="15" hidden="false" customHeight="true" outlineLevel="0" collapsed="false">
      <c r="A48" s="11"/>
      <c r="B48" s="11"/>
      <c r="C48" s="11"/>
      <c r="D48" s="28" t="str">
        <f aca="false">IF($A48="","",IF(_xlfn.MINIFS(HISTORIAL!$A$5:$A$2004,HISTORIAL!$E$5:$E$2004,$A48,HISTORIAL!$F$5:$F$2004,"Bilbo",HISTORIAL!$G$5:$G$2004,$B48)=0,"",INDEX(HISTORIAL!$B$5:$B$2004,_xlfn.MINIFS(HISTORIAL!$A$5:$A$2004,HISTORIAL!$E$5:$E$2004,$A48,HISTORIAL!$F$5:$F$2004,"Bilbo",HISTORIAL!$G$5:$G$2004,$B48))))</f>
        <v/>
      </c>
      <c r="E48" s="27" t="str">
        <f aca="false">IF($A48="","",IF(_xlfn.MINIFS(HISTORIAL!$A$5:$A$2004,HISTORIAL!$E$5:$E$2004,$A48,HISTORIAL!$F$5:$F$2004,"Bilbo",HISTORIAL!$G$5:$G$2004,$B48)=0,"",INDEX(HISTORIAL!$J$5:$J$2004,_xlfn.MINIFS(HISTORIAL!$A$5:$A$2004,HISTORIAL!$E$5:$E$2004,$A48,HISTORIAL!$F$5:$F$2004,"Bilbo",HISTORIAL!$G$5:$G$2004,$B48))))</f>
        <v/>
      </c>
      <c r="F48" s="18" t="str">
        <f aca="false">IF($A48="","",IF(_xlfn.MINIFS(HISTORIAL!$A$5:$A$2004,HISTORIAL!$E$5:$E$2004,$A48,HISTORIAL!$F$5:$F$2004,"Bilbo",HISTORIAL!$G$5:$G$2004,$B48)=0,"",INDEX(HISTORIAL!$K$5:$K$2004,_xlfn.MINIFS(HISTORIAL!$A$5:$A$2004,HISTORIAL!$E$5:$E$2004,$A48,HISTORIAL!$F$5:$F$2004,"Bilbo",HISTORIAL!$G$5:$G$2004,$B48))))</f>
        <v/>
      </c>
      <c r="G48" s="28" t="str">
        <f aca="false">IF($A48="","",IF(_xlfn.MAXIFS(HISTORIAL!$A$5:$A$2004,HISTORIAL!$E$5:$E$2004,$A48,HISTORIAL!$F$5:$F$2004,"Bilbo",HISTORIAL!$G$5:$G$2004,$B48)=0,"",INDEX(HISTORIAL!$B$5:$B$2004,_xlfn.MAXIFS(HISTORIAL!$A$5:$A$2004,HISTORIAL!$E$5:$E$2004,$A48,HISTORIAL!$F$5:$F$2004,"Bilbo",HISTORIAL!$G$5:$G$2004,$B48))))</f>
        <v/>
      </c>
      <c r="H48" s="27" t="str">
        <f aca="false">IF($A48="","",IF(_xlfn.MAXIFS(HISTORIAL!$A$5:$A$2004,HISTORIAL!$E$5:$E$2004,$A48,HISTORIAL!$F$5:$F$2004,"Bilbo",HISTORIAL!$G$5:$G$2004,$B48)=0,"",INDEX(HISTORIAL!$J$5:$J$2004,_xlfn.MAXIFS(HISTORIAL!$A$5:$A$2004,HISTORIAL!$E$5:$E$2004,$A48,HISTORIAL!$F$5:$F$2004,"Bilbo",HISTORIAL!$G$5:$G$2004,$B48))))</f>
        <v/>
      </c>
      <c r="I48" s="18" t="str">
        <f aca="false">IF($A48="","",IF(_xlfn.MAXIFS(HISTORIAL!$A$5:$A$2004,HISTORIAL!$E$5:$E$2004,$A48,HISTORIAL!$F$5:$F$2004,"Bilbo",HISTORIAL!$G$5:$G$2004,$B48)=0,"",INDEX(HISTORIAL!$K$5:$K$2004,_xlfn.MAXIFS(HISTORIAL!$A$5:$A$2004,HISTORIAL!$E$5:$E$2004,$A48,HISTORIAL!$F$5:$F$2004,"Bilbo",HISTORIAL!$G$5:$G$2004,$B48))))</f>
        <v/>
      </c>
      <c r="J48" s="18" t="str">
        <f aca="false">IF($A48="","",COUNTIFS(HISTORIAL!$E$5:$E$2004,$A48,HISTORIAL!$F$5:$F$2004,"Bilbo",HISTORIAL!$G$5:$G$2004,$B48))</f>
        <v/>
      </c>
      <c r="K48" s="27" t="str">
        <f aca="false">IF($A48="","",IF(J48=0,"",_xlfn.MAXIFS(HISTORIAL!$J$5:$J$2004,HISTORIAL!$E$5:$E$2004,$A48,HISTORIAL!$F$5:$F$2004,"Bilbo",HISTORIAL!$G$5:$G$2004,$B48)))</f>
        <v/>
      </c>
      <c r="L48" s="18" t="str">
        <f aca="false">IF($A48="","",IF(J48=0,"",_xlfn.MAXIFS(HISTORIAL!$K$5:$K$2004,HISTORIAL!$E$5:$E$2004,$A48,HISTORIAL!$F$5:$F$2004,"Bilbo",HISTORIAL!$G$5:$G$2004,$B48,HISTORIAL!$J$5:$J$2004,K48)))</f>
        <v/>
      </c>
      <c r="M48" s="27" t="str">
        <f aca="false">IF($A48="","",IF(J48=0,"",_xlfn.MAXIFS(HISTORIAL!$T$5:$T$2004,HISTORIAL!$E$5:$E$2004,$A48,HISTORIAL!$F$5:$F$2004,"Bilbo",HISTORIAL!$G$5:$G$2004,$B48)))</f>
        <v/>
      </c>
      <c r="N48" s="27" t="str">
        <f aca="false">IF($A48="","",IF(J48=0,"",H48-E48))</f>
        <v/>
      </c>
      <c r="O48" s="27" t="str">
        <f aca="false">IF($A48="","",IF(COUNTIFS($A$6:$A$105,$A48,$B$6:$B$105,$B48-1)=0,"",SUMIFS($E$6:$E$105,$A$6:$A$105,$A48,$B$6:$B$105,$B48-1)))</f>
        <v/>
      </c>
      <c r="P48" s="18" t="str">
        <f aca="false">IF($A48="","",IF(OR(O48="",NOT(ISNUMBER(E48))),"—",IF(E48&gt;O48,"OK","ERROR: debe ser &gt; "&amp;O48)))</f>
        <v/>
      </c>
      <c r="Q48" s="18" t="str">
        <f aca="false">IF($A48="","",IF(OR(O48="",NOT(ISNUMBER(E48))),"",IF(_xlfn.MAXIFS(HISTORIAL!$K$5:$K$2004,HISTORIAL!$E$5:$E$2004,$A48,HISTORIAL!$F$5:$F$2004,"Bilbo",HISTORIAL!$G$5:$G$2004,$B48-1,HISTORIAL!$J$5:$J$2004,E48)=0,"sin dato comparable",_xlfn.MAXIFS(HISTORIAL!$K$5:$K$2004,HISTORIAL!$E$5:$E$2004,$A48,HISTORIAL!$F$5:$F$2004,"Bilbo",HISTORIAL!$G$5:$G$2004,$B48-1,HISTORIAL!$J$5:$J$2004,E48))))</f>
        <v/>
      </c>
      <c r="R48" s="18" t="str">
        <f aca="false">IF($A48="","",IF(AND(ISNUMBER(Q48),ISNUMBER(F48)),F48-Q48,""))</f>
        <v/>
      </c>
      <c r="S48" s="27" t="str">
        <f aca="false">IF($A48="","",SUMIFS(HISTORIAL!$R$5:$R$2004,HISTORIAL!$E$5:$E$2004,$A48,HISTORIAL!$F$5:$F$2004,"Bilbo",HISTORIAL!$G$5:$G$2004,$B48)+SUMIFS(HISTORIAL!$R$5:$R$2004,HISTORIAL!$E$5:$E$2004,$A48,HISTORIAL!$F$5:$F$2004,"Post-Bilbo",HISTORIAL!$G$5:$G$2004,$B48))</f>
        <v/>
      </c>
      <c r="T48" s="27" t="str">
        <f aca="false">IF($A48="","",IF(NOT(ISNUMBER(E48)),"",MAX(E48+INDEX(CONFIGURACIÓN!$H$42:$H$56,MATCH($A48,CONFIGURACIÓN!$B$42:$B$56,0)),-INT(-E48*(1+CONFIGURACIÓN!$C$17)/(INDEX(CONFIGURACIÓN!$H$42:$H$56,MATCH($A48,CONFIGURACIÓN!$B$42:$B$56,0))))*(INDEX(CONFIGURACIÓN!$H$42:$H$56,MATCH($A48,CONFIGURACIÓN!$B$42:$B$56,0))))))</f>
        <v/>
      </c>
      <c r="U48" s="13"/>
      <c r="V48" s="18" t="str">
        <f aca="false">IF($A48="","",IF(U48="","",IF(NOT(ISNUMBER(E48)),"sin carga inicial registrada",IF(U48&gt;E48,"OK","ERROR: debe ser &gt; "&amp;E48))))</f>
        <v/>
      </c>
      <c r="W48" s="11"/>
    </row>
    <row r="49" customFormat="false" ht="15" hidden="false" customHeight="true" outlineLevel="0" collapsed="false">
      <c r="A49" s="11"/>
      <c r="B49" s="11"/>
      <c r="C49" s="11"/>
      <c r="D49" s="28" t="str">
        <f aca="false">IF($A49="","",IF(_xlfn.MINIFS(HISTORIAL!$A$5:$A$2004,HISTORIAL!$E$5:$E$2004,$A49,HISTORIAL!$F$5:$F$2004,"Bilbo",HISTORIAL!$G$5:$G$2004,$B49)=0,"",INDEX(HISTORIAL!$B$5:$B$2004,_xlfn.MINIFS(HISTORIAL!$A$5:$A$2004,HISTORIAL!$E$5:$E$2004,$A49,HISTORIAL!$F$5:$F$2004,"Bilbo",HISTORIAL!$G$5:$G$2004,$B49))))</f>
        <v/>
      </c>
      <c r="E49" s="27" t="str">
        <f aca="false">IF($A49="","",IF(_xlfn.MINIFS(HISTORIAL!$A$5:$A$2004,HISTORIAL!$E$5:$E$2004,$A49,HISTORIAL!$F$5:$F$2004,"Bilbo",HISTORIAL!$G$5:$G$2004,$B49)=0,"",INDEX(HISTORIAL!$J$5:$J$2004,_xlfn.MINIFS(HISTORIAL!$A$5:$A$2004,HISTORIAL!$E$5:$E$2004,$A49,HISTORIAL!$F$5:$F$2004,"Bilbo",HISTORIAL!$G$5:$G$2004,$B49))))</f>
        <v/>
      </c>
      <c r="F49" s="18" t="str">
        <f aca="false">IF($A49="","",IF(_xlfn.MINIFS(HISTORIAL!$A$5:$A$2004,HISTORIAL!$E$5:$E$2004,$A49,HISTORIAL!$F$5:$F$2004,"Bilbo",HISTORIAL!$G$5:$G$2004,$B49)=0,"",INDEX(HISTORIAL!$K$5:$K$2004,_xlfn.MINIFS(HISTORIAL!$A$5:$A$2004,HISTORIAL!$E$5:$E$2004,$A49,HISTORIAL!$F$5:$F$2004,"Bilbo",HISTORIAL!$G$5:$G$2004,$B49))))</f>
        <v/>
      </c>
      <c r="G49" s="28" t="str">
        <f aca="false">IF($A49="","",IF(_xlfn.MAXIFS(HISTORIAL!$A$5:$A$2004,HISTORIAL!$E$5:$E$2004,$A49,HISTORIAL!$F$5:$F$2004,"Bilbo",HISTORIAL!$G$5:$G$2004,$B49)=0,"",INDEX(HISTORIAL!$B$5:$B$2004,_xlfn.MAXIFS(HISTORIAL!$A$5:$A$2004,HISTORIAL!$E$5:$E$2004,$A49,HISTORIAL!$F$5:$F$2004,"Bilbo",HISTORIAL!$G$5:$G$2004,$B49))))</f>
        <v/>
      </c>
      <c r="H49" s="27" t="str">
        <f aca="false">IF($A49="","",IF(_xlfn.MAXIFS(HISTORIAL!$A$5:$A$2004,HISTORIAL!$E$5:$E$2004,$A49,HISTORIAL!$F$5:$F$2004,"Bilbo",HISTORIAL!$G$5:$G$2004,$B49)=0,"",INDEX(HISTORIAL!$J$5:$J$2004,_xlfn.MAXIFS(HISTORIAL!$A$5:$A$2004,HISTORIAL!$E$5:$E$2004,$A49,HISTORIAL!$F$5:$F$2004,"Bilbo",HISTORIAL!$G$5:$G$2004,$B49))))</f>
        <v/>
      </c>
      <c r="I49" s="18" t="str">
        <f aca="false">IF($A49="","",IF(_xlfn.MAXIFS(HISTORIAL!$A$5:$A$2004,HISTORIAL!$E$5:$E$2004,$A49,HISTORIAL!$F$5:$F$2004,"Bilbo",HISTORIAL!$G$5:$G$2004,$B49)=0,"",INDEX(HISTORIAL!$K$5:$K$2004,_xlfn.MAXIFS(HISTORIAL!$A$5:$A$2004,HISTORIAL!$E$5:$E$2004,$A49,HISTORIAL!$F$5:$F$2004,"Bilbo",HISTORIAL!$G$5:$G$2004,$B49))))</f>
        <v/>
      </c>
      <c r="J49" s="18" t="str">
        <f aca="false">IF($A49="","",COUNTIFS(HISTORIAL!$E$5:$E$2004,$A49,HISTORIAL!$F$5:$F$2004,"Bilbo",HISTORIAL!$G$5:$G$2004,$B49))</f>
        <v/>
      </c>
      <c r="K49" s="27" t="str">
        <f aca="false">IF($A49="","",IF(J49=0,"",_xlfn.MAXIFS(HISTORIAL!$J$5:$J$2004,HISTORIAL!$E$5:$E$2004,$A49,HISTORIAL!$F$5:$F$2004,"Bilbo",HISTORIAL!$G$5:$G$2004,$B49)))</f>
        <v/>
      </c>
      <c r="L49" s="18" t="str">
        <f aca="false">IF($A49="","",IF(J49=0,"",_xlfn.MAXIFS(HISTORIAL!$K$5:$K$2004,HISTORIAL!$E$5:$E$2004,$A49,HISTORIAL!$F$5:$F$2004,"Bilbo",HISTORIAL!$G$5:$G$2004,$B49,HISTORIAL!$J$5:$J$2004,K49)))</f>
        <v/>
      </c>
      <c r="M49" s="27" t="str">
        <f aca="false">IF($A49="","",IF(J49=0,"",_xlfn.MAXIFS(HISTORIAL!$T$5:$T$2004,HISTORIAL!$E$5:$E$2004,$A49,HISTORIAL!$F$5:$F$2004,"Bilbo",HISTORIAL!$G$5:$G$2004,$B49)))</f>
        <v/>
      </c>
      <c r="N49" s="27" t="str">
        <f aca="false">IF($A49="","",IF(J49=0,"",H49-E49))</f>
        <v/>
      </c>
      <c r="O49" s="27" t="str">
        <f aca="false">IF($A49="","",IF(COUNTIFS($A$6:$A$105,$A49,$B$6:$B$105,$B49-1)=0,"",SUMIFS($E$6:$E$105,$A$6:$A$105,$A49,$B$6:$B$105,$B49-1)))</f>
        <v/>
      </c>
      <c r="P49" s="18" t="str">
        <f aca="false">IF($A49="","",IF(OR(O49="",NOT(ISNUMBER(E49))),"—",IF(E49&gt;O49,"OK","ERROR: debe ser &gt; "&amp;O49)))</f>
        <v/>
      </c>
      <c r="Q49" s="18" t="str">
        <f aca="false">IF($A49="","",IF(OR(O49="",NOT(ISNUMBER(E49))),"",IF(_xlfn.MAXIFS(HISTORIAL!$K$5:$K$2004,HISTORIAL!$E$5:$E$2004,$A49,HISTORIAL!$F$5:$F$2004,"Bilbo",HISTORIAL!$G$5:$G$2004,$B49-1,HISTORIAL!$J$5:$J$2004,E49)=0,"sin dato comparable",_xlfn.MAXIFS(HISTORIAL!$K$5:$K$2004,HISTORIAL!$E$5:$E$2004,$A49,HISTORIAL!$F$5:$F$2004,"Bilbo",HISTORIAL!$G$5:$G$2004,$B49-1,HISTORIAL!$J$5:$J$2004,E49))))</f>
        <v/>
      </c>
      <c r="R49" s="18" t="str">
        <f aca="false">IF($A49="","",IF(AND(ISNUMBER(Q49),ISNUMBER(F49)),F49-Q49,""))</f>
        <v/>
      </c>
      <c r="S49" s="27" t="str">
        <f aca="false">IF($A49="","",SUMIFS(HISTORIAL!$R$5:$R$2004,HISTORIAL!$E$5:$E$2004,$A49,HISTORIAL!$F$5:$F$2004,"Bilbo",HISTORIAL!$G$5:$G$2004,$B49)+SUMIFS(HISTORIAL!$R$5:$R$2004,HISTORIAL!$E$5:$E$2004,$A49,HISTORIAL!$F$5:$F$2004,"Post-Bilbo",HISTORIAL!$G$5:$G$2004,$B49))</f>
        <v/>
      </c>
      <c r="T49" s="27" t="str">
        <f aca="false">IF($A49="","",IF(NOT(ISNUMBER(E49)),"",MAX(E49+INDEX(CONFIGURACIÓN!$H$42:$H$56,MATCH($A49,CONFIGURACIÓN!$B$42:$B$56,0)),-INT(-E49*(1+CONFIGURACIÓN!$C$17)/(INDEX(CONFIGURACIÓN!$H$42:$H$56,MATCH($A49,CONFIGURACIÓN!$B$42:$B$56,0))))*(INDEX(CONFIGURACIÓN!$H$42:$H$56,MATCH($A49,CONFIGURACIÓN!$B$42:$B$56,0))))))</f>
        <v/>
      </c>
      <c r="U49" s="13"/>
      <c r="V49" s="18" t="str">
        <f aca="false">IF($A49="","",IF(U49="","",IF(NOT(ISNUMBER(E49)),"sin carga inicial registrada",IF(U49&gt;E49,"OK","ERROR: debe ser &gt; "&amp;E49))))</f>
        <v/>
      </c>
      <c r="W49" s="11"/>
    </row>
    <row r="50" customFormat="false" ht="15" hidden="false" customHeight="true" outlineLevel="0" collapsed="false">
      <c r="A50" s="11"/>
      <c r="B50" s="11"/>
      <c r="C50" s="11"/>
      <c r="D50" s="28" t="str">
        <f aca="false">IF($A50="","",IF(_xlfn.MINIFS(HISTORIAL!$A$5:$A$2004,HISTORIAL!$E$5:$E$2004,$A50,HISTORIAL!$F$5:$F$2004,"Bilbo",HISTORIAL!$G$5:$G$2004,$B50)=0,"",INDEX(HISTORIAL!$B$5:$B$2004,_xlfn.MINIFS(HISTORIAL!$A$5:$A$2004,HISTORIAL!$E$5:$E$2004,$A50,HISTORIAL!$F$5:$F$2004,"Bilbo",HISTORIAL!$G$5:$G$2004,$B50))))</f>
        <v/>
      </c>
      <c r="E50" s="27" t="str">
        <f aca="false">IF($A50="","",IF(_xlfn.MINIFS(HISTORIAL!$A$5:$A$2004,HISTORIAL!$E$5:$E$2004,$A50,HISTORIAL!$F$5:$F$2004,"Bilbo",HISTORIAL!$G$5:$G$2004,$B50)=0,"",INDEX(HISTORIAL!$J$5:$J$2004,_xlfn.MINIFS(HISTORIAL!$A$5:$A$2004,HISTORIAL!$E$5:$E$2004,$A50,HISTORIAL!$F$5:$F$2004,"Bilbo",HISTORIAL!$G$5:$G$2004,$B50))))</f>
        <v/>
      </c>
      <c r="F50" s="18" t="str">
        <f aca="false">IF($A50="","",IF(_xlfn.MINIFS(HISTORIAL!$A$5:$A$2004,HISTORIAL!$E$5:$E$2004,$A50,HISTORIAL!$F$5:$F$2004,"Bilbo",HISTORIAL!$G$5:$G$2004,$B50)=0,"",INDEX(HISTORIAL!$K$5:$K$2004,_xlfn.MINIFS(HISTORIAL!$A$5:$A$2004,HISTORIAL!$E$5:$E$2004,$A50,HISTORIAL!$F$5:$F$2004,"Bilbo",HISTORIAL!$G$5:$G$2004,$B50))))</f>
        <v/>
      </c>
      <c r="G50" s="28" t="str">
        <f aca="false">IF($A50="","",IF(_xlfn.MAXIFS(HISTORIAL!$A$5:$A$2004,HISTORIAL!$E$5:$E$2004,$A50,HISTORIAL!$F$5:$F$2004,"Bilbo",HISTORIAL!$G$5:$G$2004,$B50)=0,"",INDEX(HISTORIAL!$B$5:$B$2004,_xlfn.MAXIFS(HISTORIAL!$A$5:$A$2004,HISTORIAL!$E$5:$E$2004,$A50,HISTORIAL!$F$5:$F$2004,"Bilbo",HISTORIAL!$G$5:$G$2004,$B50))))</f>
        <v/>
      </c>
      <c r="H50" s="27" t="str">
        <f aca="false">IF($A50="","",IF(_xlfn.MAXIFS(HISTORIAL!$A$5:$A$2004,HISTORIAL!$E$5:$E$2004,$A50,HISTORIAL!$F$5:$F$2004,"Bilbo",HISTORIAL!$G$5:$G$2004,$B50)=0,"",INDEX(HISTORIAL!$J$5:$J$2004,_xlfn.MAXIFS(HISTORIAL!$A$5:$A$2004,HISTORIAL!$E$5:$E$2004,$A50,HISTORIAL!$F$5:$F$2004,"Bilbo",HISTORIAL!$G$5:$G$2004,$B50))))</f>
        <v/>
      </c>
      <c r="I50" s="18" t="str">
        <f aca="false">IF($A50="","",IF(_xlfn.MAXIFS(HISTORIAL!$A$5:$A$2004,HISTORIAL!$E$5:$E$2004,$A50,HISTORIAL!$F$5:$F$2004,"Bilbo",HISTORIAL!$G$5:$G$2004,$B50)=0,"",INDEX(HISTORIAL!$K$5:$K$2004,_xlfn.MAXIFS(HISTORIAL!$A$5:$A$2004,HISTORIAL!$E$5:$E$2004,$A50,HISTORIAL!$F$5:$F$2004,"Bilbo",HISTORIAL!$G$5:$G$2004,$B50))))</f>
        <v/>
      </c>
      <c r="J50" s="18" t="str">
        <f aca="false">IF($A50="","",COUNTIFS(HISTORIAL!$E$5:$E$2004,$A50,HISTORIAL!$F$5:$F$2004,"Bilbo",HISTORIAL!$G$5:$G$2004,$B50))</f>
        <v/>
      </c>
      <c r="K50" s="27" t="str">
        <f aca="false">IF($A50="","",IF(J50=0,"",_xlfn.MAXIFS(HISTORIAL!$J$5:$J$2004,HISTORIAL!$E$5:$E$2004,$A50,HISTORIAL!$F$5:$F$2004,"Bilbo",HISTORIAL!$G$5:$G$2004,$B50)))</f>
        <v/>
      </c>
      <c r="L50" s="18" t="str">
        <f aca="false">IF($A50="","",IF(J50=0,"",_xlfn.MAXIFS(HISTORIAL!$K$5:$K$2004,HISTORIAL!$E$5:$E$2004,$A50,HISTORIAL!$F$5:$F$2004,"Bilbo",HISTORIAL!$G$5:$G$2004,$B50,HISTORIAL!$J$5:$J$2004,K50)))</f>
        <v/>
      </c>
      <c r="M50" s="27" t="str">
        <f aca="false">IF($A50="","",IF(J50=0,"",_xlfn.MAXIFS(HISTORIAL!$T$5:$T$2004,HISTORIAL!$E$5:$E$2004,$A50,HISTORIAL!$F$5:$F$2004,"Bilbo",HISTORIAL!$G$5:$G$2004,$B50)))</f>
        <v/>
      </c>
      <c r="N50" s="27" t="str">
        <f aca="false">IF($A50="","",IF(J50=0,"",H50-E50))</f>
        <v/>
      </c>
      <c r="O50" s="27" t="str">
        <f aca="false">IF($A50="","",IF(COUNTIFS($A$6:$A$105,$A50,$B$6:$B$105,$B50-1)=0,"",SUMIFS($E$6:$E$105,$A$6:$A$105,$A50,$B$6:$B$105,$B50-1)))</f>
        <v/>
      </c>
      <c r="P50" s="18" t="str">
        <f aca="false">IF($A50="","",IF(OR(O50="",NOT(ISNUMBER(E50))),"—",IF(E50&gt;O50,"OK","ERROR: debe ser &gt; "&amp;O50)))</f>
        <v/>
      </c>
      <c r="Q50" s="18" t="str">
        <f aca="false">IF($A50="","",IF(OR(O50="",NOT(ISNUMBER(E50))),"",IF(_xlfn.MAXIFS(HISTORIAL!$K$5:$K$2004,HISTORIAL!$E$5:$E$2004,$A50,HISTORIAL!$F$5:$F$2004,"Bilbo",HISTORIAL!$G$5:$G$2004,$B50-1,HISTORIAL!$J$5:$J$2004,E50)=0,"sin dato comparable",_xlfn.MAXIFS(HISTORIAL!$K$5:$K$2004,HISTORIAL!$E$5:$E$2004,$A50,HISTORIAL!$F$5:$F$2004,"Bilbo",HISTORIAL!$G$5:$G$2004,$B50-1,HISTORIAL!$J$5:$J$2004,E50))))</f>
        <v/>
      </c>
      <c r="R50" s="18" t="str">
        <f aca="false">IF($A50="","",IF(AND(ISNUMBER(Q50),ISNUMBER(F50)),F50-Q50,""))</f>
        <v/>
      </c>
      <c r="S50" s="27" t="str">
        <f aca="false">IF($A50="","",SUMIFS(HISTORIAL!$R$5:$R$2004,HISTORIAL!$E$5:$E$2004,$A50,HISTORIAL!$F$5:$F$2004,"Bilbo",HISTORIAL!$G$5:$G$2004,$B50)+SUMIFS(HISTORIAL!$R$5:$R$2004,HISTORIAL!$E$5:$E$2004,$A50,HISTORIAL!$F$5:$F$2004,"Post-Bilbo",HISTORIAL!$G$5:$G$2004,$B50))</f>
        <v/>
      </c>
      <c r="T50" s="27" t="str">
        <f aca="false">IF($A50="","",IF(NOT(ISNUMBER(E50)),"",MAX(E50+INDEX(CONFIGURACIÓN!$H$42:$H$56,MATCH($A50,CONFIGURACIÓN!$B$42:$B$56,0)),-INT(-E50*(1+CONFIGURACIÓN!$C$17)/(INDEX(CONFIGURACIÓN!$H$42:$H$56,MATCH($A50,CONFIGURACIÓN!$B$42:$B$56,0))))*(INDEX(CONFIGURACIÓN!$H$42:$H$56,MATCH($A50,CONFIGURACIÓN!$B$42:$B$56,0))))))</f>
        <v/>
      </c>
      <c r="U50" s="13"/>
      <c r="V50" s="18" t="str">
        <f aca="false">IF($A50="","",IF(U50="","",IF(NOT(ISNUMBER(E50)),"sin carga inicial registrada",IF(U50&gt;E50,"OK","ERROR: debe ser &gt; "&amp;E50))))</f>
        <v/>
      </c>
      <c r="W50" s="11"/>
    </row>
    <row r="51" customFormat="false" ht="15" hidden="false" customHeight="true" outlineLevel="0" collapsed="false">
      <c r="A51" s="11"/>
      <c r="B51" s="11"/>
      <c r="C51" s="11"/>
      <c r="D51" s="28" t="str">
        <f aca="false">IF($A51="","",IF(_xlfn.MINIFS(HISTORIAL!$A$5:$A$2004,HISTORIAL!$E$5:$E$2004,$A51,HISTORIAL!$F$5:$F$2004,"Bilbo",HISTORIAL!$G$5:$G$2004,$B51)=0,"",INDEX(HISTORIAL!$B$5:$B$2004,_xlfn.MINIFS(HISTORIAL!$A$5:$A$2004,HISTORIAL!$E$5:$E$2004,$A51,HISTORIAL!$F$5:$F$2004,"Bilbo",HISTORIAL!$G$5:$G$2004,$B51))))</f>
        <v/>
      </c>
      <c r="E51" s="27" t="str">
        <f aca="false">IF($A51="","",IF(_xlfn.MINIFS(HISTORIAL!$A$5:$A$2004,HISTORIAL!$E$5:$E$2004,$A51,HISTORIAL!$F$5:$F$2004,"Bilbo",HISTORIAL!$G$5:$G$2004,$B51)=0,"",INDEX(HISTORIAL!$J$5:$J$2004,_xlfn.MINIFS(HISTORIAL!$A$5:$A$2004,HISTORIAL!$E$5:$E$2004,$A51,HISTORIAL!$F$5:$F$2004,"Bilbo",HISTORIAL!$G$5:$G$2004,$B51))))</f>
        <v/>
      </c>
      <c r="F51" s="18" t="str">
        <f aca="false">IF($A51="","",IF(_xlfn.MINIFS(HISTORIAL!$A$5:$A$2004,HISTORIAL!$E$5:$E$2004,$A51,HISTORIAL!$F$5:$F$2004,"Bilbo",HISTORIAL!$G$5:$G$2004,$B51)=0,"",INDEX(HISTORIAL!$K$5:$K$2004,_xlfn.MINIFS(HISTORIAL!$A$5:$A$2004,HISTORIAL!$E$5:$E$2004,$A51,HISTORIAL!$F$5:$F$2004,"Bilbo",HISTORIAL!$G$5:$G$2004,$B51))))</f>
        <v/>
      </c>
      <c r="G51" s="28" t="str">
        <f aca="false">IF($A51="","",IF(_xlfn.MAXIFS(HISTORIAL!$A$5:$A$2004,HISTORIAL!$E$5:$E$2004,$A51,HISTORIAL!$F$5:$F$2004,"Bilbo",HISTORIAL!$G$5:$G$2004,$B51)=0,"",INDEX(HISTORIAL!$B$5:$B$2004,_xlfn.MAXIFS(HISTORIAL!$A$5:$A$2004,HISTORIAL!$E$5:$E$2004,$A51,HISTORIAL!$F$5:$F$2004,"Bilbo",HISTORIAL!$G$5:$G$2004,$B51))))</f>
        <v/>
      </c>
      <c r="H51" s="27" t="str">
        <f aca="false">IF($A51="","",IF(_xlfn.MAXIFS(HISTORIAL!$A$5:$A$2004,HISTORIAL!$E$5:$E$2004,$A51,HISTORIAL!$F$5:$F$2004,"Bilbo",HISTORIAL!$G$5:$G$2004,$B51)=0,"",INDEX(HISTORIAL!$J$5:$J$2004,_xlfn.MAXIFS(HISTORIAL!$A$5:$A$2004,HISTORIAL!$E$5:$E$2004,$A51,HISTORIAL!$F$5:$F$2004,"Bilbo",HISTORIAL!$G$5:$G$2004,$B51))))</f>
        <v/>
      </c>
      <c r="I51" s="18" t="str">
        <f aca="false">IF($A51="","",IF(_xlfn.MAXIFS(HISTORIAL!$A$5:$A$2004,HISTORIAL!$E$5:$E$2004,$A51,HISTORIAL!$F$5:$F$2004,"Bilbo",HISTORIAL!$G$5:$G$2004,$B51)=0,"",INDEX(HISTORIAL!$K$5:$K$2004,_xlfn.MAXIFS(HISTORIAL!$A$5:$A$2004,HISTORIAL!$E$5:$E$2004,$A51,HISTORIAL!$F$5:$F$2004,"Bilbo",HISTORIAL!$G$5:$G$2004,$B51))))</f>
        <v/>
      </c>
      <c r="J51" s="18" t="str">
        <f aca="false">IF($A51="","",COUNTIFS(HISTORIAL!$E$5:$E$2004,$A51,HISTORIAL!$F$5:$F$2004,"Bilbo",HISTORIAL!$G$5:$G$2004,$B51))</f>
        <v/>
      </c>
      <c r="K51" s="27" t="str">
        <f aca="false">IF($A51="","",IF(J51=0,"",_xlfn.MAXIFS(HISTORIAL!$J$5:$J$2004,HISTORIAL!$E$5:$E$2004,$A51,HISTORIAL!$F$5:$F$2004,"Bilbo",HISTORIAL!$G$5:$G$2004,$B51)))</f>
        <v/>
      </c>
      <c r="L51" s="18" t="str">
        <f aca="false">IF($A51="","",IF(J51=0,"",_xlfn.MAXIFS(HISTORIAL!$K$5:$K$2004,HISTORIAL!$E$5:$E$2004,$A51,HISTORIAL!$F$5:$F$2004,"Bilbo",HISTORIAL!$G$5:$G$2004,$B51,HISTORIAL!$J$5:$J$2004,K51)))</f>
        <v/>
      </c>
      <c r="M51" s="27" t="str">
        <f aca="false">IF($A51="","",IF(J51=0,"",_xlfn.MAXIFS(HISTORIAL!$T$5:$T$2004,HISTORIAL!$E$5:$E$2004,$A51,HISTORIAL!$F$5:$F$2004,"Bilbo",HISTORIAL!$G$5:$G$2004,$B51)))</f>
        <v/>
      </c>
      <c r="N51" s="27" t="str">
        <f aca="false">IF($A51="","",IF(J51=0,"",H51-E51))</f>
        <v/>
      </c>
      <c r="O51" s="27" t="str">
        <f aca="false">IF($A51="","",IF(COUNTIFS($A$6:$A$105,$A51,$B$6:$B$105,$B51-1)=0,"",SUMIFS($E$6:$E$105,$A$6:$A$105,$A51,$B$6:$B$105,$B51-1)))</f>
        <v/>
      </c>
      <c r="P51" s="18" t="str">
        <f aca="false">IF($A51="","",IF(OR(O51="",NOT(ISNUMBER(E51))),"—",IF(E51&gt;O51,"OK","ERROR: debe ser &gt; "&amp;O51)))</f>
        <v/>
      </c>
      <c r="Q51" s="18" t="str">
        <f aca="false">IF($A51="","",IF(OR(O51="",NOT(ISNUMBER(E51))),"",IF(_xlfn.MAXIFS(HISTORIAL!$K$5:$K$2004,HISTORIAL!$E$5:$E$2004,$A51,HISTORIAL!$F$5:$F$2004,"Bilbo",HISTORIAL!$G$5:$G$2004,$B51-1,HISTORIAL!$J$5:$J$2004,E51)=0,"sin dato comparable",_xlfn.MAXIFS(HISTORIAL!$K$5:$K$2004,HISTORIAL!$E$5:$E$2004,$A51,HISTORIAL!$F$5:$F$2004,"Bilbo",HISTORIAL!$G$5:$G$2004,$B51-1,HISTORIAL!$J$5:$J$2004,E51))))</f>
        <v/>
      </c>
      <c r="R51" s="18" t="str">
        <f aca="false">IF($A51="","",IF(AND(ISNUMBER(Q51),ISNUMBER(F51)),F51-Q51,""))</f>
        <v/>
      </c>
      <c r="S51" s="27" t="str">
        <f aca="false">IF($A51="","",SUMIFS(HISTORIAL!$R$5:$R$2004,HISTORIAL!$E$5:$E$2004,$A51,HISTORIAL!$F$5:$F$2004,"Bilbo",HISTORIAL!$G$5:$G$2004,$B51)+SUMIFS(HISTORIAL!$R$5:$R$2004,HISTORIAL!$E$5:$E$2004,$A51,HISTORIAL!$F$5:$F$2004,"Post-Bilbo",HISTORIAL!$G$5:$G$2004,$B51))</f>
        <v/>
      </c>
      <c r="T51" s="27" t="str">
        <f aca="false">IF($A51="","",IF(NOT(ISNUMBER(E51)),"",MAX(E51+INDEX(CONFIGURACIÓN!$H$42:$H$56,MATCH($A51,CONFIGURACIÓN!$B$42:$B$56,0)),-INT(-E51*(1+CONFIGURACIÓN!$C$17)/(INDEX(CONFIGURACIÓN!$H$42:$H$56,MATCH($A51,CONFIGURACIÓN!$B$42:$B$56,0))))*(INDEX(CONFIGURACIÓN!$H$42:$H$56,MATCH($A51,CONFIGURACIÓN!$B$42:$B$56,0))))))</f>
        <v/>
      </c>
      <c r="U51" s="13"/>
      <c r="V51" s="18" t="str">
        <f aca="false">IF($A51="","",IF(U51="","",IF(NOT(ISNUMBER(E51)),"sin carga inicial registrada",IF(U51&gt;E51,"OK","ERROR: debe ser &gt; "&amp;E51))))</f>
        <v/>
      </c>
      <c r="W51" s="11"/>
    </row>
    <row r="52" customFormat="false" ht="15" hidden="false" customHeight="true" outlineLevel="0" collapsed="false">
      <c r="A52" s="11"/>
      <c r="B52" s="11"/>
      <c r="C52" s="11"/>
      <c r="D52" s="28" t="str">
        <f aca="false">IF($A52="","",IF(_xlfn.MINIFS(HISTORIAL!$A$5:$A$2004,HISTORIAL!$E$5:$E$2004,$A52,HISTORIAL!$F$5:$F$2004,"Bilbo",HISTORIAL!$G$5:$G$2004,$B52)=0,"",INDEX(HISTORIAL!$B$5:$B$2004,_xlfn.MINIFS(HISTORIAL!$A$5:$A$2004,HISTORIAL!$E$5:$E$2004,$A52,HISTORIAL!$F$5:$F$2004,"Bilbo",HISTORIAL!$G$5:$G$2004,$B52))))</f>
        <v/>
      </c>
      <c r="E52" s="27" t="str">
        <f aca="false">IF($A52="","",IF(_xlfn.MINIFS(HISTORIAL!$A$5:$A$2004,HISTORIAL!$E$5:$E$2004,$A52,HISTORIAL!$F$5:$F$2004,"Bilbo",HISTORIAL!$G$5:$G$2004,$B52)=0,"",INDEX(HISTORIAL!$J$5:$J$2004,_xlfn.MINIFS(HISTORIAL!$A$5:$A$2004,HISTORIAL!$E$5:$E$2004,$A52,HISTORIAL!$F$5:$F$2004,"Bilbo",HISTORIAL!$G$5:$G$2004,$B52))))</f>
        <v/>
      </c>
      <c r="F52" s="18" t="str">
        <f aca="false">IF($A52="","",IF(_xlfn.MINIFS(HISTORIAL!$A$5:$A$2004,HISTORIAL!$E$5:$E$2004,$A52,HISTORIAL!$F$5:$F$2004,"Bilbo",HISTORIAL!$G$5:$G$2004,$B52)=0,"",INDEX(HISTORIAL!$K$5:$K$2004,_xlfn.MINIFS(HISTORIAL!$A$5:$A$2004,HISTORIAL!$E$5:$E$2004,$A52,HISTORIAL!$F$5:$F$2004,"Bilbo",HISTORIAL!$G$5:$G$2004,$B52))))</f>
        <v/>
      </c>
      <c r="G52" s="28" t="str">
        <f aca="false">IF($A52="","",IF(_xlfn.MAXIFS(HISTORIAL!$A$5:$A$2004,HISTORIAL!$E$5:$E$2004,$A52,HISTORIAL!$F$5:$F$2004,"Bilbo",HISTORIAL!$G$5:$G$2004,$B52)=0,"",INDEX(HISTORIAL!$B$5:$B$2004,_xlfn.MAXIFS(HISTORIAL!$A$5:$A$2004,HISTORIAL!$E$5:$E$2004,$A52,HISTORIAL!$F$5:$F$2004,"Bilbo",HISTORIAL!$G$5:$G$2004,$B52))))</f>
        <v/>
      </c>
      <c r="H52" s="27" t="str">
        <f aca="false">IF($A52="","",IF(_xlfn.MAXIFS(HISTORIAL!$A$5:$A$2004,HISTORIAL!$E$5:$E$2004,$A52,HISTORIAL!$F$5:$F$2004,"Bilbo",HISTORIAL!$G$5:$G$2004,$B52)=0,"",INDEX(HISTORIAL!$J$5:$J$2004,_xlfn.MAXIFS(HISTORIAL!$A$5:$A$2004,HISTORIAL!$E$5:$E$2004,$A52,HISTORIAL!$F$5:$F$2004,"Bilbo",HISTORIAL!$G$5:$G$2004,$B52))))</f>
        <v/>
      </c>
      <c r="I52" s="18" t="str">
        <f aca="false">IF($A52="","",IF(_xlfn.MAXIFS(HISTORIAL!$A$5:$A$2004,HISTORIAL!$E$5:$E$2004,$A52,HISTORIAL!$F$5:$F$2004,"Bilbo",HISTORIAL!$G$5:$G$2004,$B52)=0,"",INDEX(HISTORIAL!$K$5:$K$2004,_xlfn.MAXIFS(HISTORIAL!$A$5:$A$2004,HISTORIAL!$E$5:$E$2004,$A52,HISTORIAL!$F$5:$F$2004,"Bilbo",HISTORIAL!$G$5:$G$2004,$B52))))</f>
        <v/>
      </c>
      <c r="J52" s="18" t="str">
        <f aca="false">IF($A52="","",COUNTIFS(HISTORIAL!$E$5:$E$2004,$A52,HISTORIAL!$F$5:$F$2004,"Bilbo",HISTORIAL!$G$5:$G$2004,$B52))</f>
        <v/>
      </c>
      <c r="K52" s="27" t="str">
        <f aca="false">IF($A52="","",IF(J52=0,"",_xlfn.MAXIFS(HISTORIAL!$J$5:$J$2004,HISTORIAL!$E$5:$E$2004,$A52,HISTORIAL!$F$5:$F$2004,"Bilbo",HISTORIAL!$G$5:$G$2004,$B52)))</f>
        <v/>
      </c>
      <c r="L52" s="18" t="str">
        <f aca="false">IF($A52="","",IF(J52=0,"",_xlfn.MAXIFS(HISTORIAL!$K$5:$K$2004,HISTORIAL!$E$5:$E$2004,$A52,HISTORIAL!$F$5:$F$2004,"Bilbo",HISTORIAL!$G$5:$G$2004,$B52,HISTORIAL!$J$5:$J$2004,K52)))</f>
        <v/>
      </c>
      <c r="M52" s="27" t="str">
        <f aca="false">IF($A52="","",IF(J52=0,"",_xlfn.MAXIFS(HISTORIAL!$T$5:$T$2004,HISTORIAL!$E$5:$E$2004,$A52,HISTORIAL!$F$5:$F$2004,"Bilbo",HISTORIAL!$G$5:$G$2004,$B52)))</f>
        <v/>
      </c>
      <c r="N52" s="27" t="str">
        <f aca="false">IF($A52="","",IF(J52=0,"",H52-E52))</f>
        <v/>
      </c>
      <c r="O52" s="27" t="str">
        <f aca="false">IF($A52="","",IF(COUNTIFS($A$6:$A$105,$A52,$B$6:$B$105,$B52-1)=0,"",SUMIFS($E$6:$E$105,$A$6:$A$105,$A52,$B$6:$B$105,$B52-1)))</f>
        <v/>
      </c>
      <c r="P52" s="18" t="str">
        <f aca="false">IF($A52="","",IF(OR(O52="",NOT(ISNUMBER(E52))),"—",IF(E52&gt;O52,"OK","ERROR: debe ser &gt; "&amp;O52)))</f>
        <v/>
      </c>
      <c r="Q52" s="18" t="str">
        <f aca="false">IF($A52="","",IF(OR(O52="",NOT(ISNUMBER(E52))),"",IF(_xlfn.MAXIFS(HISTORIAL!$K$5:$K$2004,HISTORIAL!$E$5:$E$2004,$A52,HISTORIAL!$F$5:$F$2004,"Bilbo",HISTORIAL!$G$5:$G$2004,$B52-1,HISTORIAL!$J$5:$J$2004,E52)=0,"sin dato comparable",_xlfn.MAXIFS(HISTORIAL!$K$5:$K$2004,HISTORIAL!$E$5:$E$2004,$A52,HISTORIAL!$F$5:$F$2004,"Bilbo",HISTORIAL!$G$5:$G$2004,$B52-1,HISTORIAL!$J$5:$J$2004,E52))))</f>
        <v/>
      </c>
      <c r="R52" s="18" t="str">
        <f aca="false">IF($A52="","",IF(AND(ISNUMBER(Q52),ISNUMBER(F52)),F52-Q52,""))</f>
        <v/>
      </c>
      <c r="S52" s="27" t="str">
        <f aca="false">IF($A52="","",SUMIFS(HISTORIAL!$R$5:$R$2004,HISTORIAL!$E$5:$E$2004,$A52,HISTORIAL!$F$5:$F$2004,"Bilbo",HISTORIAL!$G$5:$G$2004,$B52)+SUMIFS(HISTORIAL!$R$5:$R$2004,HISTORIAL!$E$5:$E$2004,$A52,HISTORIAL!$F$5:$F$2004,"Post-Bilbo",HISTORIAL!$G$5:$G$2004,$B52))</f>
        <v/>
      </c>
      <c r="T52" s="27" t="str">
        <f aca="false">IF($A52="","",IF(NOT(ISNUMBER(E52)),"",MAX(E52+INDEX(CONFIGURACIÓN!$H$42:$H$56,MATCH($A52,CONFIGURACIÓN!$B$42:$B$56,0)),-INT(-E52*(1+CONFIGURACIÓN!$C$17)/(INDEX(CONFIGURACIÓN!$H$42:$H$56,MATCH($A52,CONFIGURACIÓN!$B$42:$B$56,0))))*(INDEX(CONFIGURACIÓN!$H$42:$H$56,MATCH($A52,CONFIGURACIÓN!$B$42:$B$56,0))))))</f>
        <v/>
      </c>
      <c r="U52" s="13"/>
      <c r="V52" s="18" t="str">
        <f aca="false">IF($A52="","",IF(U52="","",IF(NOT(ISNUMBER(E52)),"sin carga inicial registrada",IF(U52&gt;E52,"OK","ERROR: debe ser &gt; "&amp;E52))))</f>
        <v/>
      </c>
      <c r="W52" s="11"/>
    </row>
    <row r="53" customFormat="false" ht="15" hidden="false" customHeight="true" outlineLevel="0" collapsed="false">
      <c r="A53" s="11"/>
      <c r="B53" s="11"/>
      <c r="C53" s="11"/>
      <c r="D53" s="28" t="str">
        <f aca="false">IF($A53="","",IF(_xlfn.MINIFS(HISTORIAL!$A$5:$A$2004,HISTORIAL!$E$5:$E$2004,$A53,HISTORIAL!$F$5:$F$2004,"Bilbo",HISTORIAL!$G$5:$G$2004,$B53)=0,"",INDEX(HISTORIAL!$B$5:$B$2004,_xlfn.MINIFS(HISTORIAL!$A$5:$A$2004,HISTORIAL!$E$5:$E$2004,$A53,HISTORIAL!$F$5:$F$2004,"Bilbo",HISTORIAL!$G$5:$G$2004,$B53))))</f>
        <v/>
      </c>
      <c r="E53" s="27" t="str">
        <f aca="false">IF($A53="","",IF(_xlfn.MINIFS(HISTORIAL!$A$5:$A$2004,HISTORIAL!$E$5:$E$2004,$A53,HISTORIAL!$F$5:$F$2004,"Bilbo",HISTORIAL!$G$5:$G$2004,$B53)=0,"",INDEX(HISTORIAL!$J$5:$J$2004,_xlfn.MINIFS(HISTORIAL!$A$5:$A$2004,HISTORIAL!$E$5:$E$2004,$A53,HISTORIAL!$F$5:$F$2004,"Bilbo",HISTORIAL!$G$5:$G$2004,$B53))))</f>
        <v/>
      </c>
      <c r="F53" s="18" t="str">
        <f aca="false">IF($A53="","",IF(_xlfn.MINIFS(HISTORIAL!$A$5:$A$2004,HISTORIAL!$E$5:$E$2004,$A53,HISTORIAL!$F$5:$F$2004,"Bilbo",HISTORIAL!$G$5:$G$2004,$B53)=0,"",INDEX(HISTORIAL!$K$5:$K$2004,_xlfn.MINIFS(HISTORIAL!$A$5:$A$2004,HISTORIAL!$E$5:$E$2004,$A53,HISTORIAL!$F$5:$F$2004,"Bilbo",HISTORIAL!$G$5:$G$2004,$B53))))</f>
        <v/>
      </c>
      <c r="G53" s="28" t="str">
        <f aca="false">IF($A53="","",IF(_xlfn.MAXIFS(HISTORIAL!$A$5:$A$2004,HISTORIAL!$E$5:$E$2004,$A53,HISTORIAL!$F$5:$F$2004,"Bilbo",HISTORIAL!$G$5:$G$2004,$B53)=0,"",INDEX(HISTORIAL!$B$5:$B$2004,_xlfn.MAXIFS(HISTORIAL!$A$5:$A$2004,HISTORIAL!$E$5:$E$2004,$A53,HISTORIAL!$F$5:$F$2004,"Bilbo",HISTORIAL!$G$5:$G$2004,$B53))))</f>
        <v/>
      </c>
      <c r="H53" s="27" t="str">
        <f aca="false">IF($A53="","",IF(_xlfn.MAXIFS(HISTORIAL!$A$5:$A$2004,HISTORIAL!$E$5:$E$2004,$A53,HISTORIAL!$F$5:$F$2004,"Bilbo",HISTORIAL!$G$5:$G$2004,$B53)=0,"",INDEX(HISTORIAL!$J$5:$J$2004,_xlfn.MAXIFS(HISTORIAL!$A$5:$A$2004,HISTORIAL!$E$5:$E$2004,$A53,HISTORIAL!$F$5:$F$2004,"Bilbo",HISTORIAL!$G$5:$G$2004,$B53))))</f>
        <v/>
      </c>
      <c r="I53" s="18" t="str">
        <f aca="false">IF($A53="","",IF(_xlfn.MAXIFS(HISTORIAL!$A$5:$A$2004,HISTORIAL!$E$5:$E$2004,$A53,HISTORIAL!$F$5:$F$2004,"Bilbo",HISTORIAL!$G$5:$G$2004,$B53)=0,"",INDEX(HISTORIAL!$K$5:$K$2004,_xlfn.MAXIFS(HISTORIAL!$A$5:$A$2004,HISTORIAL!$E$5:$E$2004,$A53,HISTORIAL!$F$5:$F$2004,"Bilbo",HISTORIAL!$G$5:$G$2004,$B53))))</f>
        <v/>
      </c>
      <c r="J53" s="18" t="str">
        <f aca="false">IF($A53="","",COUNTIFS(HISTORIAL!$E$5:$E$2004,$A53,HISTORIAL!$F$5:$F$2004,"Bilbo",HISTORIAL!$G$5:$G$2004,$B53))</f>
        <v/>
      </c>
      <c r="K53" s="27" t="str">
        <f aca="false">IF($A53="","",IF(J53=0,"",_xlfn.MAXIFS(HISTORIAL!$J$5:$J$2004,HISTORIAL!$E$5:$E$2004,$A53,HISTORIAL!$F$5:$F$2004,"Bilbo",HISTORIAL!$G$5:$G$2004,$B53)))</f>
        <v/>
      </c>
      <c r="L53" s="18" t="str">
        <f aca="false">IF($A53="","",IF(J53=0,"",_xlfn.MAXIFS(HISTORIAL!$K$5:$K$2004,HISTORIAL!$E$5:$E$2004,$A53,HISTORIAL!$F$5:$F$2004,"Bilbo",HISTORIAL!$G$5:$G$2004,$B53,HISTORIAL!$J$5:$J$2004,K53)))</f>
        <v/>
      </c>
      <c r="M53" s="27" t="str">
        <f aca="false">IF($A53="","",IF(J53=0,"",_xlfn.MAXIFS(HISTORIAL!$T$5:$T$2004,HISTORIAL!$E$5:$E$2004,$A53,HISTORIAL!$F$5:$F$2004,"Bilbo",HISTORIAL!$G$5:$G$2004,$B53)))</f>
        <v/>
      </c>
      <c r="N53" s="27" t="str">
        <f aca="false">IF($A53="","",IF(J53=0,"",H53-E53))</f>
        <v/>
      </c>
      <c r="O53" s="27" t="str">
        <f aca="false">IF($A53="","",IF(COUNTIFS($A$6:$A$105,$A53,$B$6:$B$105,$B53-1)=0,"",SUMIFS($E$6:$E$105,$A$6:$A$105,$A53,$B$6:$B$105,$B53-1)))</f>
        <v/>
      </c>
      <c r="P53" s="18" t="str">
        <f aca="false">IF($A53="","",IF(OR(O53="",NOT(ISNUMBER(E53))),"—",IF(E53&gt;O53,"OK","ERROR: debe ser &gt; "&amp;O53)))</f>
        <v/>
      </c>
      <c r="Q53" s="18" t="str">
        <f aca="false">IF($A53="","",IF(OR(O53="",NOT(ISNUMBER(E53))),"",IF(_xlfn.MAXIFS(HISTORIAL!$K$5:$K$2004,HISTORIAL!$E$5:$E$2004,$A53,HISTORIAL!$F$5:$F$2004,"Bilbo",HISTORIAL!$G$5:$G$2004,$B53-1,HISTORIAL!$J$5:$J$2004,E53)=0,"sin dato comparable",_xlfn.MAXIFS(HISTORIAL!$K$5:$K$2004,HISTORIAL!$E$5:$E$2004,$A53,HISTORIAL!$F$5:$F$2004,"Bilbo",HISTORIAL!$G$5:$G$2004,$B53-1,HISTORIAL!$J$5:$J$2004,E53))))</f>
        <v/>
      </c>
      <c r="R53" s="18" t="str">
        <f aca="false">IF($A53="","",IF(AND(ISNUMBER(Q53),ISNUMBER(F53)),F53-Q53,""))</f>
        <v/>
      </c>
      <c r="S53" s="27" t="str">
        <f aca="false">IF($A53="","",SUMIFS(HISTORIAL!$R$5:$R$2004,HISTORIAL!$E$5:$E$2004,$A53,HISTORIAL!$F$5:$F$2004,"Bilbo",HISTORIAL!$G$5:$G$2004,$B53)+SUMIFS(HISTORIAL!$R$5:$R$2004,HISTORIAL!$E$5:$E$2004,$A53,HISTORIAL!$F$5:$F$2004,"Post-Bilbo",HISTORIAL!$G$5:$G$2004,$B53))</f>
        <v/>
      </c>
      <c r="T53" s="27" t="str">
        <f aca="false">IF($A53="","",IF(NOT(ISNUMBER(E53)),"",MAX(E53+INDEX(CONFIGURACIÓN!$H$42:$H$56,MATCH($A53,CONFIGURACIÓN!$B$42:$B$56,0)),-INT(-E53*(1+CONFIGURACIÓN!$C$17)/(INDEX(CONFIGURACIÓN!$H$42:$H$56,MATCH($A53,CONFIGURACIÓN!$B$42:$B$56,0))))*(INDEX(CONFIGURACIÓN!$H$42:$H$56,MATCH($A53,CONFIGURACIÓN!$B$42:$B$56,0))))))</f>
        <v/>
      </c>
      <c r="U53" s="13"/>
      <c r="V53" s="18" t="str">
        <f aca="false">IF($A53="","",IF(U53="","",IF(NOT(ISNUMBER(E53)),"sin carga inicial registrada",IF(U53&gt;E53,"OK","ERROR: debe ser &gt; "&amp;E53))))</f>
        <v/>
      </c>
      <c r="W53" s="11"/>
    </row>
    <row r="54" customFormat="false" ht="15" hidden="false" customHeight="true" outlineLevel="0" collapsed="false">
      <c r="A54" s="11"/>
      <c r="B54" s="11"/>
      <c r="C54" s="11"/>
      <c r="D54" s="28" t="str">
        <f aca="false">IF($A54="","",IF(_xlfn.MINIFS(HISTORIAL!$A$5:$A$2004,HISTORIAL!$E$5:$E$2004,$A54,HISTORIAL!$F$5:$F$2004,"Bilbo",HISTORIAL!$G$5:$G$2004,$B54)=0,"",INDEX(HISTORIAL!$B$5:$B$2004,_xlfn.MINIFS(HISTORIAL!$A$5:$A$2004,HISTORIAL!$E$5:$E$2004,$A54,HISTORIAL!$F$5:$F$2004,"Bilbo",HISTORIAL!$G$5:$G$2004,$B54))))</f>
        <v/>
      </c>
      <c r="E54" s="27" t="str">
        <f aca="false">IF($A54="","",IF(_xlfn.MINIFS(HISTORIAL!$A$5:$A$2004,HISTORIAL!$E$5:$E$2004,$A54,HISTORIAL!$F$5:$F$2004,"Bilbo",HISTORIAL!$G$5:$G$2004,$B54)=0,"",INDEX(HISTORIAL!$J$5:$J$2004,_xlfn.MINIFS(HISTORIAL!$A$5:$A$2004,HISTORIAL!$E$5:$E$2004,$A54,HISTORIAL!$F$5:$F$2004,"Bilbo",HISTORIAL!$G$5:$G$2004,$B54))))</f>
        <v/>
      </c>
      <c r="F54" s="18" t="str">
        <f aca="false">IF($A54="","",IF(_xlfn.MINIFS(HISTORIAL!$A$5:$A$2004,HISTORIAL!$E$5:$E$2004,$A54,HISTORIAL!$F$5:$F$2004,"Bilbo",HISTORIAL!$G$5:$G$2004,$B54)=0,"",INDEX(HISTORIAL!$K$5:$K$2004,_xlfn.MINIFS(HISTORIAL!$A$5:$A$2004,HISTORIAL!$E$5:$E$2004,$A54,HISTORIAL!$F$5:$F$2004,"Bilbo",HISTORIAL!$G$5:$G$2004,$B54))))</f>
        <v/>
      </c>
      <c r="G54" s="28" t="str">
        <f aca="false">IF($A54="","",IF(_xlfn.MAXIFS(HISTORIAL!$A$5:$A$2004,HISTORIAL!$E$5:$E$2004,$A54,HISTORIAL!$F$5:$F$2004,"Bilbo",HISTORIAL!$G$5:$G$2004,$B54)=0,"",INDEX(HISTORIAL!$B$5:$B$2004,_xlfn.MAXIFS(HISTORIAL!$A$5:$A$2004,HISTORIAL!$E$5:$E$2004,$A54,HISTORIAL!$F$5:$F$2004,"Bilbo",HISTORIAL!$G$5:$G$2004,$B54))))</f>
        <v/>
      </c>
      <c r="H54" s="27" t="str">
        <f aca="false">IF($A54="","",IF(_xlfn.MAXIFS(HISTORIAL!$A$5:$A$2004,HISTORIAL!$E$5:$E$2004,$A54,HISTORIAL!$F$5:$F$2004,"Bilbo",HISTORIAL!$G$5:$G$2004,$B54)=0,"",INDEX(HISTORIAL!$J$5:$J$2004,_xlfn.MAXIFS(HISTORIAL!$A$5:$A$2004,HISTORIAL!$E$5:$E$2004,$A54,HISTORIAL!$F$5:$F$2004,"Bilbo",HISTORIAL!$G$5:$G$2004,$B54))))</f>
        <v/>
      </c>
      <c r="I54" s="18" t="str">
        <f aca="false">IF($A54="","",IF(_xlfn.MAXIFS(HISTORIAL!$A$5:$A$2004,HISTORIAL!$E$5:$E$2004,$A54,HISTORIAL!$F$5:$F$2004,"Bilbo",HISTORIAL!$G$5:$G$2004,$B54)=0,"",INDEX(HISTORIAL!$K$5:$K$2004,_xlfn.MAXIFS(HISTORIAL!$A$5:$A$2004,HISTORIAL!$E$5:$E$2004,$A54,HISTORIAL!$F$5:$F$2004,"Bilbo",HISTORIAL!$G$5:$G$2004,$B54))))</f>
        <v/>
      </c>
      <c r="J54" s="18" t="str">
        <f aca="false">IF($A54="","",COUNTIFS(HISTORIAL!$E$5:$E$2004,$A54,HISTORIAL!$F$5:$F$2004,"Bilbo",HISTORIAL!$G$5:$G$2004,$B54))</f>
        <v/>
      </c>
      <c r="K54" s="27" t="str">
        <f aca="false">IF($A54="","",IF(J54=0,"",_xlfn.MAXIFS(HISTORIAL!$J$5:$J$2004,HISTORIAL!$E$5:$E$2004,$A54,HISTORIAL!$F$5:$F$2004,"Bilbo",HISTORIAL!$G$5:$G$2004,$B54)))</f>
        <v/>
      </c>
      <c r="L54" s="18" t="str">
        <f aca="false">IF($A54="","",IF(J54=0,"",_xlfn.MAXIFS(HISTORIAL!$K$5:$K$2004,HISTORIAL!$E$5:$E$2004,$A54,HISTORIAL!$F$5:$F$2004,"Bilbo",HISTORIAL!$G$5:$G$2004,$B54,HISTORIAL!$J$5:$J$2004,K54)))</f>
        <v/>
      </c>
      <c r="M54" s="27" t="str">
        <f aca="false">IF($A54="","",IF(J54=0,"",_xlfn.MAXIFS(HISTORIAL!$T$5:$T$2004,HISTORIAL!$E$5:$E$2004,$A54,HISTORIAL!$F$5:$F$2004,"Bilbo",HISTORIAL!$G$5:$G$2004,$B54)))</f>
        <v/>
      </c>
      <c r="N54" s="27" t="str">
        <f aca="false">IF($A54="","",IF(J54=0,"",H54-E54))</f>
        <v/>
      </c>
      <c r="O54" s="27" t="str">
        <f aca="false">IF($A54="","",IF(COUNTIFS($A$6:$A$105,$A54,$B$6:$B$105,$B54-1)=0,"",SUMIFS($E$6:$E$105,$A$6:$A$105,$A54,$B$6:$B$105,$B54-1)))</f>
        <v/>
      </c>
      <c r="P54" s="18" t="str">
        <f aca="false">IF($A54="","",IF(OR(O54="",NOT(ISNUMBER(E54))),"—",IF(E54&gt;O54,"OK","ERROR: debe ser &gt; "&amp;O54)))</f>
        <v/>
      </c>
      <c r="Q54" s="18" t="str">
        <f aca="false">IF($A54="","",IF(OR(O54="",NOT(ISNUMBER(E54))),"",IF(_xlfn.MAXIFS(HISTORIAL!$K$5:$K$2004,HISTORIAL!$E$5:$E$2004,$A54,HISTORIAL!$F$5:$F$2004,"Bilbo",HISTORIAL!$G$5:$G$2004,$B54-1,HISTORIAL!$J$5:$J$2004,E54)=0,"sin dato comparable",_xlfn.MAXIFS(HISTORIAL!$K$5:$K$2004,HISTORIAL!$E$5:$E$2004,$A54,HISTORIAL!$F$5:$F$2004,"Bilbo",HISTORIAL!$G$5:$G$2004,$B54-1,HISTORIAL!$J$5:$J$2004,E54))))</f>
        <v/>
      </c>
      <c r="R54" s="18" t="str">
        <f aca="false">IF($A54="","",IF(AND(ISNUMBER(Q54),ISNUMBER(F54)),F54-Q54,""))</f>
        <v/>
      </c>
      <c r="S54" s="27" t="str">
        <f aca="false">IF($A54="","",SUMIFS(HISTORIAL!$R$5:$R$2004,HISTORIAL!$E$5:$E$2004,$A54,HISTORIAL!$F$5:$F$2004,"Bilbo",HISTORIAL!$G$5:$G$2004,$B54)+SUMIFS(HISTORIAL!$R$5:$R$2004,HISTORIAL!$E$5:$E$2004,$A54,HISTORIAL!$F$5:$F$2004,"Post-Bilbo",HISTORIAL!$G$5:$G$2004,$B54))</f>
        <v/>
      </c>
      <c r="T54" s="27" t="str">
        <f aca="false">IF($A54="","",IF(NOT(ISNUMBER(E54)),"",MAX(E54+INDEX(CONFIGURACIÓN!$H$42:$H$56,MATCH($A54,CONFIGURACIÓN!$B$42:$B$56,0)),-INT(-E54*(1+CONFIGURACIÓN!$C$17)/(INDEX(CONFIGURACIÓN!$H$42:$H$56,MATCH($A54,CONFIGURACIÓN!$B$42:$B$56,0))))*(INDEX(CONFIGURACIÓN!$H$42:$H$56,MATCH($A54,CONFIGURACIÓN!$B$42:$B$56,0))))))</f>
        <v/>
      </c>
      <c r="U54" s="13"/>
      <c r="V54" s="18" t="str">
        <f aca="false">IF($A54="","",IF(U54="","",IF(NOT(ISNUMBER(E54)),"sin carga inicial registrada",IF(U54&gt;E54,"OK","ERROR: debe ser &gt; "&amp;E54))))</f>
        <v/>
      </c>
      <c r="W54" s="11"/>
    </row>
    <row r="55" customFormat="false" ht="15" hidden="false" customHeight="true" outlineLevel="0" collapsed="false">
      <c r="A55" s="11"/>
      <c r="B55" s="11"/>
      <c r="C55" s="11"/>
      <c r="D55" s="28" t="str">
        <f aca="false">IF($A55="","",IF(_xlfn.MINIFS(HISTORIAL!$A$5:$A$2004,HISTORIAL!$E$5:$E$2004,$A55,HISTORIAL!$F$5:$F$2004,"Bilbo",HISTORIAL!$G$5:$G$2004,$B55)=0,"",INDEX(HISTORIAL!$B$5:$B$2004,_xlfn.MINIFS(HISTORIAL!$A$5:$A$2004,HISTORIAL!$E$5:$E$2004,$A55,HISTORIAL!$F$5:$F$2004,"Bilbo",HISTORIAL!$G$5:$G$2004,$B55))))</f>
        <v/>
      </c>
      <c r="E55" s="27" t="str">
        <f aca="false">IF($A55="","",IF(_xlfn.MINIFS(HISTORIAL!$A$5:$A$2004,HISTORIAL!$E$5:$E$2004,$A55,HISTORIAL!$F$5:$F$2004,"Bilbo",HISTORIAL!$G$5:$G$2004,$B55)=0,"",INDEX(HISTORIAL!$J$5:$J$2004,_xlfn.MINIFS(HISTORIAL!$A$5:$A$2004,HISTORIAL!$E$5:$E$2004,$A55,HISTORIAL!$F$5:$F$2004,"Bilbo",HISTORIAL!$G$5:$G$2004,$B55))))</f>
        <v/>
      </c>
      <c r="F55" s="18" t="str">
        <f aca="false">IF($A55="","",IF(_xlfn.MINIFS(HISTORIAL!$A$5:$A$2004,HISTORIAL!$E$5:$E$2004,$A55,HISTORIAL!$F$5:$F$2004,"Bilbo",HISTORIAL!$G$5:$G$2004,$B55)=0,"",INDEX(HISTORIAL!$K$5:$K$2004,_xlfn.MINIFS(HISTORIAL!$A$5:$A$2004,HISTORIAL!$E$5:$E$2004,$A55,HISTORIAL!$F$5:$F$2004,"Bilbo",HISTORIAL!$G$5:$G$2004,$B55))))</f>
        <v/>
      </c>
      <c r="G55" s="28" t="str">
        <f aca="false">IF($A55="","",IF(_xlfn.MAXIFS(HISTORIAL!$A$5:$A$2004,HISTORIAL!$E$5:$E$2004,$A55,HISTORIAL!$F$5:$F$2004,"Bilbo",HISTORIAL!$G$5:$G$2004,$B55)=0,"",INDEX(HISTORIAL!$B$5:$B$2004,_xlfn.MAXIFS(HISTORIAL!$A$5:$A$2004,HISTORIAL!$E$5:$E$2004,$A55,HISTORIAL!$F$5:$F$2004,"Bilbo",HISTORIAL!$G$5:$G$2004,$B55))))</f>
        <v/>
      </c>
      <c r="H55" s="27" t="str">
        <f aca="false">IF($A55="","",IF(_xlfn.MAXIFS(HISTORIAL!$A$5:$A$2004,HISTORIAL!$E$5:$E$2004,$A55,HISTORIAL!$F$5:$F$2004,"Bilbo",HISTORIAL!$G$5:$G$2004,$B55)=0,"",INDEX(HISTORIAL!$J$5:$J$2004,_xlfn.MAXIFS(HISTORIAL!$A$5:$A$2004,HISTORIAL!$E$5:$E$2004,$A55,HISTORIAL!$F$5:$F$2004,"Bilbo",HISTORIAL!$G$5:$G$2004,$B55))))</f>
        <v/>
      </c>
      <c r="I55" s="18" t="str">
        <f aca="false">IF($A55="","",IF(_xlfn.MAXIFS(HISTORIAL!$A$5:$A$2004,HISTORIAL!$E$5:$E$2004,$A55,HISTORIAL!$F$5:$F$2004,"Bilbo",HISTORIAL!$G$5:$G$2004,$B55)=0,"",INDEX(HISTORIAL!$K$5:$K$2004,_xlfn.MAXIFS(HISTORIAL!$A$5:$A$2004,HISTORIAL!$E$5:$E$2004,$A55,HISTORIAL!$F$5:$F$2004,"Bilbo",HISTORIAL!$G$5:$G$2004,$B55))))</f>
        <v/>
      </c>
      <c r="J55" s="18" t="str">
        <f aca="false">IF($A55="","",COUNTIFS(HISTORIAL!$E$5:$E$2004,$A55,HISTORIAL!$F$5:$F$2004,"Bilbo",HISTORIAL!$G$5:$G$2004,$B55))</f>
        <v/>
      </c>
      <c r="K55" s="27" t="str">
        <f aca="false">IF($A55="","",IF(J55=0,"",_xlfn.MAXIFS(HISTORIAL!$J$5:$J$2004,HISTORIAL!$E$5:$E$2004,$A55,HISTORIAL!$F$5:$F$2004,"Bilbo",HISTORIAL!$G$5:$G$2004,$B55)))</f>
        <v/>
      </c>
      <c r="L55" s="18" t="str">
        <f aca="false">IF($A55="","",IF(J55=0,"",_xlfn.MAXIFS(HISTORIAL!$K$5:$K$2004,HISTORIAL!$E$5:$E$2004,$A55,HISTORIAL!$F$5:$F$2004,"Bilbo",HISTORIAL!$G$5:$G$2004,$B55,HISTORIAL!$J$5:$J$2004,K55)))</f>
        <v/>
      </c>
      <c r="M55" s="27" t="str">
        <f aca="false">IF($A55="","",IF(J55=0,"",_xlfn.MAXIFS(HISTORIAL!$T$5:$T$2004,HISTORIAL!$E$5:$E$2004,$A55,HISTORIAL!$F$5:$F$2004,"Bilbo",HISTORIAL!$G$5:$G$2004,$B55)))</f>
        <v/>
      </c>
      <c r="N55" s="27" t="str">
        <f aca="false">IF($A55="","",IF(J55=0,"",H55-E55))</f>
        <v/>
      </c>
      <c r="O55" s="27" t="str">
        <f aca="false">IF($A55="","",IF(COUNTIFS($A$6:$A$105,$A55,$B$6:$B$105,$B55-1)=0,"",SUMIFS($E$6:$E$105,$A$6:$A$105,$A55,$B$6:$B$105,$B55-1)))</f>
        <v/>
      </c>
      <c r="P55" s="18" t="str">
        <f aca="false">IF($A55="","",IF(OR(O55="",NOT(ISNUMBER(E55))),"—",IF(E55&gt;O55,"OK","ERROR: debe ser &gt; "&amp;O55)))</f>
        <v/>
      </c>
      <c r="Q55" s="18" t="str">
        <f aca="false">IF($A55="","",IF(OR(O55="",NOT(ISNUMBER(E55))),"",IF(_xlfn.MAXIFS(HISTORIAL!$K$5:$K$2004,HISTORIAL!$E$5:$E$2004,$A55,HISTORIAL!$F$5:$F$2004,"Bilbo",HISTORIAL!$G$5:$G$2004,$B55-1,HISTORIAL!$J$5:$J$2004,E55)=0,"sin dato comparable",_xlfn.MAXIFS(HISTORIAL!$K$5:$K$2004,HISTORIAL!$E$5:$E$2004,$A55,HISTORIAL!$F$5:$F$2004,"Bilbo",HISTORIAL!$G$5:$G$2004,$B55-1,HISTORIAL!$J$5:$J$2004,E55))))</f>
        <v/>
      </c>
      <c r="R55" s="18" t="str">
        <f aca="false">IF($A55="","",IF(AND(ISNUMBER(Q55),ISNUMBER(F55)),F55-Q55,""))</f>
        <v/>
      </c>
      <c r="S55" s="27" t="str">
        <f aca="false">IF($A55="","",SUMIFS(HISTORIAL!$R$5:$R$2004,HISTORIAL!$E$5:$E$2004,$A55,HISTORIAL!$F$5:$F$2004,"Bilbo",HISTORIAL!$G$5:$G$2004,$B55)+SUMIFS(HISTORIAL!$R$5:$R$2004,HISTORIAL!$E$5:$E$2004,$A55,HISTORIAL!$F$5:$F$2004,"Post-Bilbo",HISTORIAL!$G$5:$G$2004,$B55))</f>
        <v/>
      </c>
      <c r="T55" s="27" t="str">
        <f aca="false">IF($A55="","",IF(NOT(ISNUMBER(E55)),"",MAX(E55+INDEX(CONFIGURACIÓN!$H$42:$H$56,MATCH($A55,CONFIGURACIÓN!$B$42:$B$56,0)),-INT(-E55*(1+CONFIGURACIÓN!$C$17)/(INDEX(CONFIGURACIÓN!$H$42:$H$56,MATCH($A55,CONFIGURACIÓN!$B$42:$B$56,0))))*(INDEX(CONFIGURACIÓN!$H$42:$H$56,MATCH($A55,CONFIGURACIÓN!$B$42:$B$56,0))))))</f>
        <v/>
      </c>
      <c r="U55" s="13"/>
      <c r="V55" s="18" t="str">
        <f aca="false">IF($A55="","",IF(U55="","",IF(NOT(ISNUMBER(E55)),"sin carga inicial registrada",IF(U55&gt;E55,"OK","ERROR: debe ser &gt; "&amp;E55))))</f>
        <v/>
      </c>
      <c r="W55" s="11"/>
    </row>
    <row r="56" customFormat="false" ht="15" hidden="false" customHeight="true" outlineLevel="0" collapsed="false">
      <c r="A56" s="11"/>
      <c r="B56" s="11"/>
      <c r="C56" s="11"/>
      <c r="D56" s="28" t="str">
        <f aca="false">IF($A56="","",IF(_xlfn.MINIFS(HISTORIAL!$A$5:$A$2004,HISTORIAL!$E$5:$E$2004,$A56,HISTORIAL!$F$5:$F$2004,"Bilbo",HISTORIAL!$G$5:$G$2004,$B56)=0,"",INDEX(HISTORIAL!$B$5:$B$2004,_xlfn.MINIFS(HISTORIAL!$A$5:$A$2004,HISTORIAL!$E$5:$E$2004,$A56,HISTORIAL!$F$5:$F$2004,"Bilbo",HISTORIAL!$G$5:$G$2004,$B56))))</f>
        <v/>
      </c>
      <c r="E56" s="27" t="str">
        <f aca="false">IF($A56="","",IF(_xlfn.MINIFS(HISTORIAL!$A$5:$A$2004,HISTORIAL!$E$5:$E$2004,$A56,HISTORIAL!$F$5:$F$2004,"Bilbo",HISTORIAL!$G$5:$G$2004,$B56)=0,"",INDEX(HISTORIAL!$J$5:$J$2004,_xlfn.MINIFS(HISTORIAL!$A$5:$A$2004,HISTORIAL!$E$5:$E$2004,$A56,HISTORIAL!$F$5:$F$2004,"Bilbo",HISTORIAL!$G$5:$G$2004,$B56))))</f>
        <v/>
      </c>
      <c r="F56" s="18" t="str">
        <f aca="false">IF($A56="","",IF(_xlfn.MINIFS(HISTORIAL!$A$5:$A$2004,HISTORIAL!$E$5:$E$2004,$A56,HISTORIAL!$F$5:$F$2004,"Bilbo",HISTORIAL!$G$5:$G$2004,$B56)=0,"",INDEX(HISTORIAL!$K$5:$K$2004,_xlfn.MINIFS(HISTORIAL!$A$5:$A$2004,HISTORIAL!$E$5:$E$2004,$A56,HISTORIAL!$F$5:$F$2004,"Bilbo",HISTORIAL!$G$5:$G$2004,$B56))))</f>
        <v/>
      </c>
      <c r="G56" s="28" t="str">
        <f aca="false">IF($A56="","",IF(_xlfn.MAXIFS(HISTORIAL!$A$5:$A$2004,HISTORIAL!$E$5:$E$2004,$A56,HISTORIAL!$F$5:$F$2004,"Bilbo",HISTORIAL!$G$5:$G$2004,$B56)=0,"",INDEX(HISTORIAL!$B$5:$B$2004,_xlfn.MAXIFS(HISTORIAL!$A$5:$A$2004,HISTORIAL!$E$5:$E$2004,$A56,HISTORIAL!$F$5:$F$2004,"Bilbo",HISTORIAL!$G$5:$G$2004,$B56))))</f>
        <v/>
      </c>
      <c r="H56" s="27" t="str">
        <f aca="false">IF($A56="","",IF(_xlfn.MAXIFS(HISTORIAL!$A$5:$A$2004,HISTORIAL!$E$5:$E$2004,$A56,HISTORIAL!$F$5:$F$2004,"Bilbo",HISTORIAL!$G$5:$G$2004,$B56)=0,"",INDEX(HISTORIAL!$J$5:$J$2004,_xlfn.MAXIFS(HISTORIAL!$A$5:$A$2004,HISTORIAL!$E$5:$E$2004,$A56,HISTORIAL!$F$5:$F$2004,"Bilbo",HISTORIAL!$G$5:$G$2004,$B56))))</f>
        <v/>
      </c>
      <c r="I56" s="18" t="str">
        <f aca="false">IF($A56="","",IF(_xlfn.MAXIFS(HISTORIAL!$A$5:$A$2004,HISTORIAL!$E$5:$E$2004,$A56,HISTORIAL!$F$5:$F$2004,"Bilbo",HISTORIAL!$G$5:$G$2004,$B56)=0,"",INDEX(HISTORIAL!$K$5:$K$2004,_xlfn.MAXIFS(HISTORIAL!$A$5:$A$2004,HISTORIAL!$E$5:$E$2004,$A56,HISTORIAL!$F$5:$F$2004,"Bilbo",HISTORIAL!$G$5:$G$2004,$B56))))</f>
        <v/>
      </c>
      <c r="J56" s="18" t="str">
        <f aca="false">IF($A56="","",COUNTIFS(HISTORIAL!$E$5:$E$2004,$A56,HISTORIAL!$F$5:$F$2004,"Bilbo",HISTORIAL!$G$5:$G$2004,$B56))</f>
        <v/>
      </c>
      <c r="K56" s="27" t="str">
        <f aca="false">IF($A56="","",IF(J56=0,"",_xlfn.MAXIFS(HISTORIAL!$J$5:$J$2004,HISTORIAL!$E$5:$E$2004,$A56,HISTORIAL!$F$5:$F$2004,"Bilbo",HISTORIAL!$G$5:$G$2004,$B56)))</f>
        <v/>
      </c>
      <c r="L56" s="18" t="str">
        <f aca="false">IF($A56="","",IF(J56=0,"",_xlfn.MAXIFS(HISTORIAL!$K$5:$K$2004,HISTORIAL!$E$5:$E$2004,$A56,HISTORIAL!$F$5:$F$2004,"Bilbo",HISTORIAL!$G$5:$G$2004,$B56,HISTORIAL!$J$5:$J$2004,K56)))</f>
        <v/>
      </c>
      <c r="M56" s="27" t="str">
        <f aca="false">IF($A56="","",IF(J56=0,"",_xlfn.MAXIFS(HISTORIAL!$T$5:$T$2004,HISTORIAL!$E$5:$E$2004,$A56,HISTORIAL!$F$5:$F$2004,"Bilbo",HISTORIAL!$G$5:$G$2004,$B56)))</f>
        <v/>
      </c>
      <c r="N56" s="27" t="str">
        <f aca="false">IF($A56="","",IF(J56=0,"",H56-E56))</f>
        <v/>
      </c>
      <c r="O56" s="27" t="str">
        <f aca="false">IF($A56="","",IF(COUNTIFS($A$6:$A$105,$A56,$B$6:$B$105,$B56-1)=0,"",SUMIFS($E$6:$E$105,$A$6:$A$105,$A56,$B$6:$B$105,$B56-1)))</f>
        <v/>
      </c>
      <c r="P56" s="18" t="str">
        <f aca="false">IF($A56="","",IF(OR(O56="",NOT(ISNUMBER(E56))),"—",IF(E56&gt;O56,"OK","ERROR: debe ser &gt; "&amp;O56)))</f>
        <v/>
      </c>
      <c r="Q56" s="18" t="str">
        <f aca="false">IF($A56="","",IF(OR(O56="",NOT(ISNUMBER(E56))),"",IF(_xlfn.MAXIFS(HISTORIAL!$K$5:$K$2004,HISTORIAL!$E$5:$E$2004,$A56,HISTORIAL!$F$5:$F$2004,"Bilbo",HISTORIAL!$G$5:$G$2004,$B56-1,HISTORIAL!$J$5:$J$2004,E56)=0,"sin dato comparable",_xlfn.MAXIFS(HISTORIAL!$K$5:$K$2004,HISTORIAL!$E$5:$E$2004,$A56,HISTORIAL!$F$5:$F$2004,"Bilbo",HISTORIAL!$G$5:$G$2004,$B56-1,HISTORIAL!$J$5:$J$2004,E56))))</f>
        <v/>
      </c>
      <c r="R56" s="18" t="str">
        <f aca="false">IF($A56="","",IF(AND(ISNUMBER(Q56),ISNUMBER(F56)),F56-Q56,""))</f>
        <v/>
      </c>
      <c r="S56" s="27" t="str">
        <f aca="false">IF($A56="","",SUMIFS(HISTORIAL!$R$5:$R$2004,HISTORIAL!$E$5:$E$2004,$A56,HISTORIAL!$F$5:$F$2004,"Bilbo",HISTORIAL!$G$5:$G$2004,$B56)+SUMIFS(HISTORIAL!$R$5:$R$2004,HISTORIAL!$E$5:$E$2004,$A56,HISTORIAL!$F$5:$F$2004,"Post-Bilbo",HISTORIAL!$G$5:$G$2004,$B56))</f>
        <v/>
      </c>
      <c r="T56" s="27" t="str">
        <f aca="false">IF($A56="","",IF(NOT(ISNUMBER(E56)),"",MAX(E56+INDEX(CONFIGURACIÓN!$H$42:$H$56,MATCH($A56,CONFIGURACIÓN!$B$42:$B$56,0)),-INT(-E56*(1+CONFIGURACIÓN!$C$17)/(INDEX(CONFIGURACIÓN!$H$42:$H$56,MATCH($A56,CONFIGURACIÓN!$B$42:$B$56,0))))*(INDEX(CONFIGURACIÓN!$H$42:$H$56,MATCH($A56,CONFIGURACIÓN!$B$42:$B$56,0))))))</f>
        <v/>
      </c>
      <c r="U56" s="13"/>
      <c r="V56" s="18" t="str">
        <f aca="false">IF($A56="","",IF(U56="","",IF(NOT(ISNUMBER(E56)),"sin carga inicial registrada",IF(U56&gt;E56,"OK","ERROR: debe ser &gt; "&amp;E56))))</f>
        <v/>
      </c>
      <c r="W56" s="11"/>
    </row>
    <row r="57" customFormat="false" ht="15" hidden="false" customHeight="true" outlineLevel="0" collapsed="false">
      <c r="A57" s="11"/>
      <c r="B57" s="11"/>
      <c r="C57" s="11"/>
      <c r="D57" s="28" t="str">
        <f aca="false">IF($A57="","",IF(_xlfn.MINIFS(HISTORIAL!$A$5:$A$2004,HISTORIAL!$E$5:$E$2004,$A57,HISTORIAL!$F$5:$F$2004,"Bilbo",HISTORIAL!$G$5:$G$2004,$B57)=0,"",INDEX(HISTORIAL!$B$5:$B$2004,_xlfn.MINIFS(HISTORIAL!$A$5:$A$2004,HISTORIAL!$E$5:$E$2004,$A57,HISTORIAL!$F$5:$F$2004,"Bilbo",HISTORIAL!$G$5:$G$2004,$B57))))</f>
        <v/>
      </c>
      <c r="E57" s="27" t="str">
        <f aca="false">IF($A57="","",IF(_xlfn.MINIFS(HISTORIAL!$A$5:$A$2004,HISTORIAL!$E$5:$E$2004,$A57,HISTORIAL!$F$5:$F$2004,"Bilbo",HISTORIAL!$G$5:$G$2004,$B57)=0,"",INDEX(HISTORIAL!$J$5:$J$2004,_xlfn.MINIFS(HISTORIAL!$A$5:$A$2004,HISTORIAL!$E$5:$E$2004,$A57,HISTORIAL!$F$5:$F$2004,"Bilbo",HISTORIAL!$G$5:$G$2004,$B57))))</f>
        <v/>
      </c>
      <c r="F57" s="18" t="str">
        <f aca="false">IF($A57="","",IF(_xlfn.MINIFS(HISTORIAL!$A$5:$A$2004,HISTORIAL!$E$5:$E$2004,$A57,HISTORIAL!$F$5:$F$2004,"Bilbo",HISTORIAL!$G$5:$G$2004,$B57)=0,"",INDEX(HISTORIAL!$K$5:$K$2004,_xlfn.MINIFS(HISTORIAL!$A$5:$A$2004,HISTORIAL!$E$5:$E$2004,$A57,HISTORIAL!$F$5:$F$2004,"Bilbo",HISTORIAL!$G$5:$G$2004,$B57))))</f>
        <v/>
      </c>
      <c r="G57" s="28" t="str">
        <f aca="false">IF($A57="","",IF(_xlfn.MAXIFS(HISTORIAL!$A$5:$A$2004,HISTORIAL!$E$5:$E$2004,$A57,HISTORIAL!$F$5:$F$2004,"Bilbo",HISTORIAL!$G$5:$G$2004,$B57)=0,"",INDEX(HISTORIAL!$B$5:$B$2004,_xlfn.MAXIFS(HISTORIAL!$A$5:$A$2004,HISTORIAL!$E$5:$E$2004,$A57,HISTORIAL!$F$5:$F$2004,"Bilbo",HISTORIAL!$G$5:$G$2004,$B57))))</f>
        <v/>
      </c>
      <c r="H57" s="27" t="str">
        <f aca="false">IF($A57="","",IF(_xlfn.MAXIFS(HISTORIAL!$A$5:$A$2004,HISTORIAL!$E$5:$E$2004,$A57,HISTORIAL!$F$5:$F$2004,"Bilbo",HISTORIAL!$G$5:$G$2004,$B57)=0,"",INDEX(HISTORIAL!$J$5:$J$2004,_xlfn.MAXIFS(HISTORIAL!$A$5:$A$2004,HISTORIAL!$E$5:$E$2004,$A57,HISTORIAL!$F$5:$F$2004,"Bilbo",HISTORIAL!$G$5:$G$2004,$B57))))</f>
        <v/>
      </c>
      <c r="I57" s="18" t="str">
        <f aca="false">IF($A57="","",IF(_xlfn.MAXIFS(HISTORIAL!$A$5:$A$2004,HISTORIAL!$E$5:$E$2004,$A57,HISTORIAL!$F$5:$F$2004,"Bilbo",HISTORIAL!$G$5:$G$2004,$B57)=0,"",INDEX(HISTORIAL!$K$5:$K$2004,_xlfn.MAXIFS(HISTORIAL!$A$5:$A$2004,HISTORIAL!$E$5:$E$2004,$A57,HISTORIAL!$F$5:$F$2004,"Bilbo",HISTORIAL!$G$5:$G$2004,$B57))))</f>
        <v/>
      </c>
      <c r="J57" s="18" t="str">
        <f aca="false">IF($A57="","",COUNTIFS(HISTORIAL!$E$5:$E$2004,$A57,HISTORIAL!$F$5:$F$2004,"Bilbo",HISTORIAL!$G$5:$G$2004,$B57))</f>
        <v/>
      </c>
      <c r="K57" s="27" t="str">
        <f aca="false">IF($A57="","",IF(J57=0,"",_xlfn.MAXIFS(HISTORIAL!$J$5:$J$2004,HISTORIAL!$E$5:$E$2004,$A57,HISTORIAL!$F$5:$F$2004,"Bilbo",HISTORIAL!$G$5:$G$2004,$B57)))</f>
        <v/>
      </c>
      <c r="L57" s="18" t="str">
        <f aca="false">IF($A57="","",IF(J57=0,"",_xlfn.MAXIFS(HISTORIAL!$K$5:$K$2004,HISTORIAL!$E$5:$E$2004,$A57,HISTORIAL!$F$5:$F$2004,"Bilbo",HISTORIAL!$G$5:$G$2004,$B57,HISTORIAL!$J$5:$J$2004,K57)))</f>
        <v/>
      </c>
      <c r="M57" s="27" t="str">
        <f aca="false">IF($A57="","",IF(J57=0,"",_xlfn.MAXIFS(HISTORIAL!$T$5:$T$2004,HISTORIAL!$E$5:$E$2004,$A57,HISTORIAL!$F$5:$F$2004,"Bilbo",HISTORIAL!$G$5:$G$2004,$B57)))</f>
        <v/>
      </c>
      <c r="N57" s="27" t="str">
        <f aca="false">IF($A57="","",IF(J57=0,"",H57-E57))</f>
        <v/>
      </c>
      <c r="O57" s="27" t="str">
        <f aca="false">IF($A57="","",IF(COUNTIFS($A$6:$A$105,$A57,$B$6:$B$105,$B57-1)=0,"",SUMIFS($E$6:$E$105,$A$6:$A$105,$A57,$B$6:$B$105,$B57-1)))</f>
        <v/>
      </c>
      <c r="P57" s="18" t="str">
        <f aca="false">IF($A57="","",IF(OR(O57="",NOT(ISNUMBER(E57))),"—",IF(E57&gt;O57,"OK","ERROR: debe ser &gt; "&amp;O57)))</f>
        <v/>
      </c>
      <c r="Q57" s="18" t="str">
        <f aca="false">IF($A57="","",IF(OR(O57="",NOT(ISNUMBER(E57))),"",IF(_xlfn.MAXIFS(HISTORIAL!$K$5:$K$2004,HISTORIAL!$E$5:$E$2004,$A57,HISTORIAL!$F$5:$F$2004,"Bilbo",HISTORIAL!$G$5:$G$2004,$B57-1,HISTORIAL!$J$5:$J$2004,E57)=0,"sin dato comparable",_xlfn.MAXIFS(HISTORIAL!$K$5:$K$2004,HISTORIAL!$E$5:$E$2004,$A57,HISTORIAL!$F$5:$F$2004,"Bilbo",HISTORIAL!$G$5:$G$2004,$B57-1,HISTORIAL!$J$5:$J$2004,E57))))</f>
        <v/>
      </c>
      <c r="R57" s="18" t="str">
        <f aca="false">IF($A57="","",IF(AND(ISNUMBER(Q57),ISNUMBER(F57)),F57-Q57,""))</f>
        <v/>
      </c>
      <c r="S57" s="27" t="str">
        <f aca="false">IF($A57="","",SUMIFS(HISTORIAL!$R$5:$R$2004,HISTORIAL!$E$5:$E$2004,$A57,HISTORIAL!$F$5:$F$2004,"Bilbo",HISTORIAL!$G$5:$G$2004,$B57)+SUMIFS(HISTORIAL!$R$5:$R$2004,HISTORIAL!$E$5:$E$2004,$A57,HISTORIAL!$F$5:$F$2004,"Post-Bilbo",HISTORIAL!$G$5:$G$2004,$B57))</f>
        <v/>
      </c>
      <c r="T57" s="27" t="str">
        <f aca="false">IF($A57="","",IF(NOT(ISNUMBER(E57)),"",MAX(E57+INDEX(CONFIGURACIÓN!$H$42:$H$56,MATCH($A57,CONFIGURACIÓN!$B$42:$B$56,0)),-INT(-E57*(1+CONFIGURACIÓN!$C$17)/(INDEX(CONFIGURACIÓN!$H$42:$H$56,MATCH($A57,CONFIGURACIÓN!$B$42:$B$56,0))))*(INDEX(CONFIGURACIÓN!$H$42:$H$56,MATCH($A57,CONFIGURACIÓN!$B$42:$B$56,0))))))</f>
        <v/>
      </c>
      <c r="U57" s="13"/>
      <c r="V57" s="18" t="str">
        <f aca="false">IF($A57="","",IF(U57="","",IF(NOT(ISNUMBER(E57)),"sin carga inicial registrada",IF(U57&gt;E57,"OK","ERROR: debe ser &gt; "&amp;E57))))</f>
        <v/>
      </c>
      <c r="W57" s="11"/>
    </row>
    <row r="58" customFormat="false" ht="15" hidden="false" customHeight="true" outlineLevel="0" collapsed="false">
      <c r="A58" s="11"/>
      <c r="B58" s="11"/>
      <c r="C58" s="11"/>
      <c r="D58" s="28" t="str">
        <f aca="false">IF($A58="","",IF(_xlfn.MINIFS(HISTORIAL!$A$5:$A$2004,HISTORIAL!$E$5:$E$2004,$A58,HISTORIAL!$F$5:$F$2004,"Bilbo",HISTORIAL!$G$5:$G$2004,$B58)=0,"",INDEX(HISTORIAL!$B$5:$B$2004,_xlfn.MINIFS(HISTORIAL!$A$5:$A$2004,HISTORIAL!$E$5:$E$2004,$A58,HISTORIAL!$F$5:$F$2004,"Bilbo",HISTORIAL!$G$5:$G$2004,$B58))))</f>
        <v/>
      </c>
      <c r="E58" s="27" t="str">
        <f aca="false">IF($A58="","",IF(_xlfn.MINIFS(HISTORIAL!$A$5:$A$2004,HISTORIAL!$E$5:$E$2004,$A58,HISTORIAL!$F$5:$F$2004,"Bilbo",HISTORIAL!$G$5:$G$2004,$B58)=0,"",INDEX(HISTORIAL!$J$5:$J$2004,_xlfn.MINIFS(HISTORIAL!$A$5:$A$2004,HISTORIAL!$E$5:$E$2004,$A58,HISTORIAL!$F$5:$F$2004,"Bilbo",HISTORIAL!$G$5:$G$2004,$B58))))</f>
        <v/>
      </c>
      <c r="F58" s="18" t="str">
        <f aca="false">IF($A58="","",IF(_xlfn.MINIFS(HISTORIAL!$A$5:$A$2004,HISTORIAL!$E$5:$E$2004,$A58,HISTORIAL!$F$5:$F$2004,"Bilbo",HISTORIAL!$G$5:$G$2004,$B58)=0,"",INDEX(HISTORIAL!$K$5:$K$2004,_xlfn.MINIFS(HISTORIAL!$A$5:$A$2004,HISTORIAL!$E$5:$E$2004,$A58,HISTORIAL!$F$5:$F$2004,"Bilbo",HISTORIAL!$G$5:$G$2004,$B58))))</f>
        <v/>
      </c>
      <c r="G58" s="28" t="str">
        <f aca="false">IF($A58="","",IF(_xlfn.MAXIFS(HISTORIAL!$A$5:$A$2004,HISTORIAL!$E$5:$E$2004,$A58,HISTORIAL!$F$5:$F$2004,"Bilbo",HISTORIAL!$G$5:$G$2004,$B58)=0,"",INDEX(HISTORIAL!$B$5:$B$2004,_xlfn.MAXIFS(HISTORIAL!$A$5:$A$2004,HISTORIAL!$E$5:$E$2004,$A58,HISTORIAL!$F$5:$F$2004,"Bilbo",HISTORIAL!$G$5:$G$2004,$B58))))</f>
        <v/>
      </c>
      <c r="H58" s="27" t="str">
        <f aca="false">IF($A58="","",IF(_xlfn.MAXIFS(HISTORIAL!$A$5:$A$2004,HISTORIAL!$E$5:$E$2004,$A58,HISTORIAL!$F$5:$F$2004,"Bilbo",HISTORIAL!$G$5:$G$2004,$B58)=0,"",INDEX(HISTORIAL!$J$5:$J$2004,_xlfn.MAXIFS(HISTORIAL!$A$5:$A$2004,HISTORIAL!$E$5:$E$2004,$A58,HISTORIAL!$F$5:$F$2004,"Bilbo",HISTORIAL!$G$5:$G$2004,$B58))))</f>
        <v/>
      </c>
      <c r="I58" s="18" t="str">
        <f aca="false">IF($A58="","",IF(_xlfn.MAXIFS(HISTORIAL!$A$5:$A$2004,HISTORIAL!$E$5:$E$2004,$A58,HISTORIAL!$F$5:$F$2004,"Bilbo",HISTORIAL!$G$5:$G$2004,$B58)=0,"",INDEX(HISTORIAL!$K$5:$K$2004,_xlfn.MAXIFS(HISTORIAL!$A$5:$A$2004,HISTORIAL!$E$5:$E$2004,$A58,HISTORIAL!$F$5:$F$2004,"Bilbo",HISTORIAL!$G$5:$G$2004,$B58))))</f>
        <v/>
      </c>
      <c r="J58" s="18" t="str">
        <f aca="false">IF($A58="","",COUNTIFS(HISTORIAL!$E$5:$E$2004,$A58,HISTORIAL!$F$5:$F$2004,"Bilbo",HISTORIAL!$G$5:$G$2004,$B58))</f>
        <v/>
      </c>
      <c r="K58" s="27" t="str">
        <f aca="false">IF($A58="","",IF(J58=0,"",_xlfn.MAXIFS(HISTORIAL!$J$5:$J$2004,HISTORIAL!$E$5:$E$2004,$A58,HISTORIAL!$F$5:$F$2004,"Bilbo",HISTORIAL!$G$5:$G$2004,$B58)))</f>
        <v/>
      </c>
      <c r="L58" s="18" t="str">
        <f aca="false">IF($A58="","",IF(J58=0,"",_xlfn.MAXIFS(HISTORIAL!$K$5:$K$2004,HISTORIAL!$E$5:$E$2004,$A58,HISTORIAL!$F$5:$F$2004,"Bilbo",HISTORIAL!$G$5:$G$2004,$B58,HISTORIAL!$J$5:$J$2004,K58)))</f>
        <v/>
      </c>
      <c r="M58" s="27" t="str">
        <f aca="false">IF($A58="","",IF(J58=0,"",_xlfn.MAXIFS(HISTORIAL!$T$5:$T$2004,HISTORIAL!$E$5:$E$2004,$A58,HISTORIAL!$F$5:$F$2004,"Bilbo",HISTORIAL!$G$5:$G$2004,$B58)))</f>
        <v/>
      </c>
      <c r="N58" s="27" t="str">
        <f aca="false">IF($A58="","",IF(J58=0,"",H58-E58))</f>
        <v/>
      </c>
      <c r="O58" s="27" t="str">
        <f aca="false">IF($A58="","",IF(COUNTIFS($A$6:$A$105,$A58,$B$6:$B$105,$B58-1)=0,"",SUMIFS($E$6:$E$105,$A$6:$A$105,$A58,$B$6:$B$105,$B58-1)))</f>
        <v/>
      </c>
      <c r="P58" s="18" t="str">
        <f aca="false">IF($A58="","",IF(OR(O58="",NOT(ISNUMBER(E58))),"—",IF(E58&gt;O58,"OK","ERROR: debe ser &gt; "&amp;O58)))</f>
        <v/>
      </c>
      <c r="Q58" s="18" t="str">
        <f aca="false">IF($A58="","",IF(OR(O58="",NOT(ISNUMBER(E58))),"",IF(_xlfn.MAXIFS(HISTORIAL!$K$5:$K$2004,HISTORIAL!$E$5:$E$2004,$A58,HISTORIAL!$F$5:$F$2004,"Bilbo",HISTORIAL!$G$5:$G$2004,$B58-1,HISTORIAL!$J$5:$J$2004,E58)=0,"sin dato comparable",_xlfn.MAXIFS(HISTORIAL!$K$5:$K$2004,HISTORIAL!$E$5:$E$2004,$A58,HISTORIAL!$F$5:$F$2004,"Bilbo",HISTORIAL!$G$5:$G$2004,$B58-1,HISTORIAL!$J$5:$J$2004,E58))))</f>
        <v/>
      </c>
      <c r="R58" s="18" t="str">
        <f aca="false">IF($A58="","",IF(AND(ISNUMBER(Q58),ISNUMBER(F58)),F58-Q58,""))</f>
        <v/>
      </c>
      <c r="S58" s="27" t="str">
        <f aca="false">IF($A58="","",SUMIFS(HISTORIAL!$R$5:$R$2004,HISTORIAL!$E$5:$E$2004,$A58,HISTORIAL!$F$5:$F$2004,"Bilbo",HISTORIAL!$G$5:$G$2004,$B58)+SUMIFS(HISTORIAL!$R$5:$R$2004,HISTORIAL!$E$5:$E$2004,$A58,HISTORIAL!$F$5:$F$2004,"Post-Bilbo",HISTORIAL!$G$5:$G$2004,$B58))</f>
        <v/>
      </c>
      <c r="T58" s="27" t="str">
        <f aca="false">IF($A58="","",IF(NOT(ISNUMBER(E58)),"",MAX(E58+INDEX(CONFIGURACIÓN!$H$42:$H$56,MATCH($A58,CONFIGURACIÓN!$B$42:$B$56,0)),-INT(-E58*(1+CONFIGURACIÓN!$C$17)/(INDEX(CONFIGURACIÓN!$H$42:$H$56,MATCH($A58,CONFIGURACIÓN!$B$42:$B$56,0))))*(INDEX(CONFIGURACIÓN!$H$42:$H$56,MATCH($A58,CONFIGURACIÓN!$B$42:$B$56,0))))))</f>
        <v/>
      </c>
      <c r="U58" s="13"/>
      <c r="V58" s="18" t="str">
        <f aca="false">IF($A58="","",IF(U58="","",IF(NOT(ISNUMBER(E58)),"sin carga inicial registrada",IF(U58&gt;E58,"OK","ERROR: debe ser &gt; "&amp;E58))))</f>
        <v/>
      </c>
      <c r="W58" s="11"/>
    </row>
    <row r="59" customFormat="false" ht="15" hidden="false" customHeight="true" outlineLevel="0" collapsed="false">
      <c r="A59" s="11"/>
      <c r="B59" s="11"/>
      <c r="C59" s="11"/>
      <c r="D59" s="28" t="str">
        <f aca="false">IF($A59="","",IF(_xlfn.MINIFS(HISTORIAL!$A$5:$A$2004,HISTORIAL!$E$5:$E$2004,$A59,HISTORIAL!$F$5:$F$2004,"Bilbo",HISTORIAL!$G$5:$G$2004,$B59)=0,"",INDEX(HISTORIAL!$B$5:$B$2004,_xlfn.MINIFS(HISTORIAL!$A$5:$A$2004,HISTORIAL!$E$5:$E$2004,$A59,HISTORIAL!$F$5:$F$2004,"Bilbo",HISTORIAL!$G$5:$G$2004,$B59))))</f>
        <v/>
      </c>
      <c r="E59" s="27" t="str">
        <f aca="false">IF($A59="","",IF(_xlfn.MINIFS(HISTORIAL!$A$5:$A$2004,HISTORIAL!$E$5:$E$2004,$A59,HISTORIAL!$F$5:$F$2004,"Bilbo",HISTORIAL!$G$5:$G$2004,$B59)=0,"",INDEX(HISTORIAL!$J$5:$J$2004,_xlfn.MINIFS(HISTORIAL!$A$5:$A$2004,HISTORIAL!$E$5:$E$2004,$A59,HISTORIAL!$F$5:$F$2004,"Bilbo",HISTORIAL!$G$5:$G$2004,$B59))))</f>
        <v/>
      </c>
      <c r="F59" s="18" t="str">
        <f aca="false">IF($A59="","",IF(_xlfn.MINIFS(HISTORIAL!$A$5:$A$2004,HISTORIAL!$E$5:$E$2004,$A59,HISTORIAL!$F$5:$F$2004,"Bilbo",HISTORIAL!$G$5:$G$2004,$B59)=0,"",INDEX(HISTORIAL!$K$5:$K$2004,_xlfn.MINIFS(HISTORIAL!$A$5:$A$2004,HISTORIAL!$E$5:$E$2004,$A59,HISTORIAL!$F$5:$F$2004,"Bilbo",HISTORIAL!$G$5:$G$2004,$B59))))</f>
        <v/>
      </c>
      <c r="G59" s="28" t="str">
        <f aca="false">IF($A59="","",IF(_xlfn.MAXIFS(HISTORIAL!$A$5:$A$2004,HISTORIAL!$E$5:$E$2004,$A59,HISTORIAL!$F$5:$F$2004,"Bilbo",HISTORIAL!$G$5:$G$2004,$B59)=0,"",INDEX(HISTORIAL!$B$5:$B$2004,_xlfn.MAXIFS(HISTORIAL!$A$5:$A$2004,HISTORIAL!$E$5:$E$2004,$A59,HISTORIAL!$F$5:$F$2004,"Bilbo",HISTORIAL!$G$5:$G$2004,$B59))))</f>
        <v/>
      </c>
      <c r="H59" s="27" t="str">
        <f aca="false">IF($A59="","",IF(_xlfn.MAXIFS(HISTORIAL!$A$5:$A$2004,HISTORIAL!$E$5:$E$2004,$A59,HISTORIAL!$F$5:$F$2004,"Bilbo",HISTORIAL!$G$5:$G$2004,$B59)=0,"",INDEX(HISTORIAL!$J$5:$J$2004,_xlfn.MAXIFS(HISTORIAL!$A$5:$A$2004,HISTORIAL!$E$5:$E$2004,$A59,HISTORIAL!$F$5:$F$2004,"Bilbo",HISTORIAL!$G$5:$G$2004,$B59))))</f>
        <v/>
      </c>
      <c r="I59" s="18" t="str">
        <f aca="false">IF($A59="","",IF(_xlfn.MAXIFS(HISTORIAL!$A$5:$A$2004,HISTORIAL!$E$5:$E$2004,$A59,HISTORIAL!$F$5:$F$2004,"Bilbo",HISTORIAL!$G$5:$G$2004,$B59)=0,"",INDEX(HISTORIAL!$K$5:$K$2004,_xlfn.MAXIFS(HISTORIAL!$A$5:$A$2004,HISTORIAL!$E$5:$E$2004,$A59,HISTORIAL!$F$5:$F$2004,"Bilbo",HISTORIAL!$G$5:$G$2004,$B59))))</f>
        <v/>
      </c>
      <c r="J59" s="18" t="str">
        <f aca="false">IF($A59="","",COUNTIFS(HISTORIAL!$E$5:$E$2004,$A59,HISTORIAL!$F$5:$F$2004,"Bilbo",HISTORIAL!$G$5:$G$2004,$B59))</f>
        <v/>
      </c>
      <c r="K59" s="27" t="str">
        <f aca="false">IF($A59="","",IF(J59=0,"",_xlfn.MAXIFS(HISTORIAL!$J$5:$J$2004,HISTORIAL!$E$5:$E$2004,$A59,HISTORIAL!$F$5:$F$2004,"Bilbo",HISTORIAL!$G$5:$G$2004,$B59)))</f>
        <v/>
      </c>
      <c r="L59" s="18" t="str">
        <f aca="false">IF($A59="","",IF(J59=0,"",_xlfn.MAXIFS(HISTORIAL!$K$5:$K$2004,HISTORIAL!$E$5:$E$2004,$A59,HISTORIAL!$F$5:$F$2004,"Bilbo",HISTORIAL!$G$5:$G$2004,$B59,HISTORIAL!$J$5:$J$2004,K59)))</f>
        <v/>
      </c>
      <c r="M59" s="27" t="str">
        <f aca="false">IF($A59="","",IF(J59=0,"",_xlfn.MAXIFS(HISTORIAL!$T$5:$T$2004,HISTORIAL!$E$5:$E$2004,$A59,HISTORIAL!$F$5:$F$2004,"Bilbo",HISTORIAL!$G$5:$G$2004,$B59)))</f>
        <v/>
      </c>
      <c r="N59" s="27" t="str">
        <f aca="false">IF($A59="","",IF(J59=0,"",H59-E59))</f>
        <v/>
      </c>
      <c r="O59" s="27" t="str">
        <f aca="false">IF($A59="","",IF(COUNTIFS($A$6:$A$105,$A59,$B$6:$B$105,$B59-1)=0,"",SUMIFS($E$6:$E$105,$A$6:$A$105,$A59,$B$6:$B$105,$B59-1)))</f>
        <v/>
      </c>
      <c r="P59" s="18" t="str">
        <f aca="false">IF($A59="","",IF(OR(O59="",NOT(ISNUMBER(E59))),"—",IF(E59&gt;O59,"OK","ERROR: debe ser &gt; "&amp;O59)))</f>
        <v/>
      </c>
      <c r="Q59" s="18" t="str">
        <f aca="false">IF($A59="","",IF(OR(O59="",NOT(ISNUMBER(E59))),"",IF(_xlfn.MAXIFS(HISTORIAL!$K$5:$K$2004,HISTORIAL!$E$5:$E$2004,$A59,HISTORIAL!$F$5:$F$2004,"Bilbo",HISTORIAL!$G$5:$G$2004,$B59-1,HISTORIAL!$J$5:$J$2004,E59)=0,"sin dato comparable",_xlfn.MAXIFS(HISTORIAL!$K$5:$K$2004,HISTORIAL!$E$5:$E$2004,$A59,HISTORIAL!$F$5:$F$2004,"Bilbo",HISTORIAL!$G$5:$G$2004,$B59-1,HISTORIAL!$J$5:$J$2004,E59))))</f>
        <v/>
      </c>
      <c r="R59" s="18" t="str">
        <f aca="false">IF($A59="","",IF(AND(ISNUMBER(Q59),ISNUMBER(F59)),F59-Q59,""))</f>
        <v/>
      </c>
      <c r="S59" s="27" t="str">
        <f aca="false">IF($A59="","",SUMIFS(HISTORIAL!$R$5:$R$2004,HISTORIAL!$E$5:$E$2004,$A59,HISTORIAL!$F$5:$F$2004,"Bilbo",HISTORIAL!$G$5:$G$2004,$B59)+SUMIFS(HISTORIAL!$R$5:$R$2004,HISTORIAL!$E$5:$E$2004,$A59,HISTORIAL!$F$5:$F$2004,"Post-Bilbo",HISTORIAL!$G$5:$G$2004,$B59))</f>
        <v/>
      </c>
      <c r="T59" s="27" t="str">
        <f aca="false">IF($A59="","",IF(NOT(ISNUMBER(E59)),"",MAX(E59+INDEX(CONFIGURACIÓN!$H$42:$H$56,MATCH($A59,CONFIGURACIÓN!$B$42:$B$56,0)),-INT(-E59*(1+CONFIGURACIÓN!$C$17)/(INDEX(CONFIGURACIÓN!$H$42:$H$56,MATCH($A59,CONFIGURACIÓN!$B$42:$B$56,0))))*(INDEX(CONFIGURACIÓN!$H$42:$H$56,MATCH($A59,CONFIGURACIÓN!$B$42:$B$56,0))))))</f>
        <v/>
      </c>
      <c r="U59" s="13"/>
      <c r="V59" s="18" t="str">
        <f aca="false">IF($A59="","",IF(U59="","",IF(NOT(ISNUMBER(E59)),"sin carga inicial registrada",IF(U59&gt;E59,"OK","ERROR: debe ser &gt; "&amp;E59))))</f>
        <v/>
      </c>
      <c r="W59" s="11"/>
    </row>
    <row r="60" customFormat="false" ht="15" hidden="false" customHeight="true" outlineLevel="0" collapsed="false">
      <c r="A60" s="11"/>
      <c r="B60" s="11"/>
      <c r="C60" s="11"/>
      <c r="D60" s="28" t="str">
        <f aca="false">IF($A60="","",IF(_xlfn.MINIFS(HISTORIAL!$A$5:$A$2004,HISTORIAL!$E$5:$E$2004,$A60,HISTORIAL!$F$5:$F$2004,"Bilbo",HISTORIAL!$G$5:$G$2004,$B60)=0,"",INDEX(HISTORIAL!$B$5:$B$2004,_xlfn.MINIFS(HISTORIAL!$A$5:$A$2004,HISTORIAL!$E$5:$E$2004,$A60,HISTORIAL!$F$5:$F$2004,"Bilbo",HISTORIAL!$G$5:$G$2004,$B60))))</f>
        <v/>
      </c>
      <c r="E60" s="27" t="str">
        <f aca="false">IF($A60="","",IF(_xlfn.MINIFS(HISTORIAL!$A$5:$A$2004,HISTORIAL!$E$5:$E$2004,$A60,HISTORIAL!$F$5:$F$2004,"Bilbo",HISTORIAL!$G$5:$G$2004,$B60)=0,"",INDEX(HISTORIAL!$J$5:$J$2004,_xlfn.MINIFS(HISTORIAL!$A$5:$A$2004,HISTORIAL!$E$5:$E$2004,$A60,HISTORIAL!$F$5:$F$2004,"Bilbo",HISTORIAL!$G$5:$G$2004,$B60))))</f>
        <v/>
      </c>
      <c r="F60" s="18" t="str">
        <f aca="false">IF($A60="","",IF(_xlfn.MINIFS(HISTORIAL!$A$5:$A$2004,HISTORIAL!$E$5:$E$2004,$A60,HISTORIAL!$F$5:$F$2004,"Bilbo",HISTORIAL!$G$5:$G$2004,$B60)=0,"",INDEX(HISTORIAL!$K$5:$K$2004,_xlfn.MINIFS(HISTORIAL!$A$5:$A$2004,HISTORIAL!$E$5:$E$2004,$A60,HISTORIAL!$F$5:$F$2004,"Bilbo",HISTORIAL!$G$5:$G$2004,$B60))))</f>
        <v/>
      </c>
      <c r="G60" s="28" t="str">
        <f aca="false">IF($A60="","",IF(_xlfn.MAXIFS(HISTORIAL!$A$5:$A$2004,HISTORIAL!$E$5:$E$2004,$A60,HISTORIAL!$F$5:$F$2004,"Bilbo",HISTORIAL!$G$5:$G$2004,$B60)=0,"",INDEX(HISTORIAL!$B$5:$B$2004,_xlfn.MAXIFS(HISTORIAL!$A$5:$A$2004,HISTORIAL!$E$5:$E$2004,$A60,HISTORIAL!$F$5:$F$2004,"Bilbo",HISTORIAL!$G$5:$G$2004,$B60))))</f>
        <v/>
      </c>
      <c r="H60" s="27" t="str">
        <f aca="false">IF($A60="","",IF(_xlfn.MAXIFS(HISTORIAL!$A$5:$A$2004,HISTORIAL!$E$5:$E$2004,$A60,HISTORIAL!$F$5:$F$2004,"Bilbo",HISTORIAL!$G$5:$G$2004,$B60)=0,"",INDEX(HISTORIAL!$J$5:$J$2004,_xlfn.MAXIFS(HISTORIAL!$A$5:$A$2004,HISTORIAL!$E$5:$E$2004,$A60,HISTORIAL!$F$5:$F$2004,"Bilbo",HISTORIAL!$G$5:$G$2004,$B60))))</f>
        <v/>
      </c>
      <c r="I60" s="18" t="str">
        <f aca="false">IF($A60="","",IF(_xlfn.MAXIFS(HISTORIAL!$A$5:$A$2004,HISTORIAL!$E$5:$E$2004,$A60,HISTORIAL!$F$5:$F$2004,"Bilbo",HISTORIAL!$G$5:$G$2004,$B60)=0,"",INDEX(HISTORIAL!$K$5:$K$2004,_xlfn.MAXIFS(HISTORIAL!$A$5:$A$2004,HISTORIAL!$E$5:$E$2004,$A60,HISTORIAL!$F$5:$F$2004,"Bilbo",HISTORIAL!$G$5:$G$2004,$B60))))</f>
        <v/>
      </c>
      <c r="J60" s="18" t="str">
        <f aca="false">IF($A60="","",COUNTIFS(HISTORIAL!$E$5:$E$2004,$A60,HISTORIAL!$F$5:$F$2004,"Bilbo",HISTORIAL!$G$5:$G$2004,$B60))</f>
        <v/>
      </c>
      <c r="K60" s="27" t="str">
        <f aca="false">IF($A60="","",IF(J60=0,"",_xlfn.MAXIFS(HISTORIAL!$J$5:$J$2004,HISTORIAL!$E$5:$E$2004,$A60,HISTORIAL!$F$5:$F$2004,"Bilbo",HISTORIAL!$G$5:$G$2004,$B60)))</f>
        <v/>
      </c>
      <c r="L60" s="18" t="str">
        <f aca="false">IF($A60="","",IF(J60=0,"",_xlfn.MAXIFS(HISTORIAL!$K$5:$K$2004,HISTORIAL!$E$5:$E$2004,$A60,HISTORIAL!$F$5:$F$2004,"Bilbo",HISTORIAL!$G$5:$G$2004,$B60,HISTORIAL!$J$5:$J$2004,K60)))</f>
        <v/>
      </c>
      <c r="M60" s="27" t="str">
        <f aca="false">IF($A60="","",IF(J60=0,"",_xlfn.MAXIFS(HISTORIAL!$T$5:$T$2004,HISTORIAL!$E$5:$E$2004,$A60,HISTORIAL!$F$5:$F$2004,"Bilbo",HISTORIAL!$G$5:$G$2004,$B60)))</f>
        <v/>
      </c>
      <c r="N60" s="27" t="str">
        <f aca="false">IF($A60="","",IF(J60=0,"",H60-E60))</f>
        <v/>
      </c>
      <c r="O60" s="27" t="str">
        <f aca="false">IF($A60="","",IF(COUNTIFS($A$6:$A$105,$A60,$B$6:$B$105,$B60-1)=0,"",SUMIFS($E$6:$E$105,$A$6:$A$105,$A60,$B$6:$B$105,$B60-1)))</f>
        <v/>
      </c>
      <c r="P60" s="18" t="str">
        <f aca="false">IF($A60="","",IF(OR(O60="",NOT(ISNUMBER(E60))),"—",IF(E60&gt;O60,"OK","ERROR: debe ser &gt; "&amp;O60)))</f>
        <v/>
      </c>
      <c r="Q60" s="18" t="str">
        <f aca="false">IF($A60="","",IF(OR(O60="",NOT(ISNUMBER(E60))),"",IF(_xlfn.MAXIFS(HISTORIAL!$K$5:$K$2004,HISTORIAL!$E$5:$E$2004,$A60,HISTORIAL!$F$5:$F$2004,"Bilbo",HISTORIAL!$G$5:$G$2004,$B60-1,HISTORIAL!$J$5:$J$2004,E60)=0,"sin dato comparable",_xlfn.MAXIFS(HISTORIAL!$K$5:$K$2004,HISTORIAL!$E$5:$E$2004,$A60,HISTORIAL!$F$5:$F$2004,"Bilbo",HISTORIAL!$G$5:$G$2004,$B60-1,HISTORIAL!$J$5:$J$2004,E60))))</f>
        <v/>
      </c>
      <c r="R60" s="18" t="str">
        <f aca="false">IF($A60="","",IF(AND(ISNUMBER(Q60),ISNUMBER(F60)),F60-Q60,""))</f>
        <v/>
      </c>
      <c r="S60" s="27" t="str">
        <f aca="false">IF($A60="","",SUMIFS(HISTORIAL!$R$5:$R$2004,HISTORIAL!$E$5:$E$2004,$A60,HISTORIAL!$F$5:$F$2004,"Bilbo",HISTORIAL!$G$5:$G$2004,$B60)+SUMIFS(HISTORIAL!$R$5:$R$2004,HISTORIAL!$E$5:$E$2004,$A60,HISTORIAL!$F$5:$F$2004,"Post-Bilbo",HISTORIAL!$G$5:$G$2004,$B60))</f>
        <v/>
      </c>
      <c r="T60" s="27" t="str">
        <f aca="false">IF($A60="","",IF(NOT(ISNUMBER(E60)),"",MAX(E60+INDEX(CONFIGURACIÓN!$H$42:$H$56,MATCH($A60,CONFIGURACIÓN!$B$42:$B$56,0)),-INT(-E60*(1+CONFIGURACIÓN!$C$17)/(INDEX(CONFIGURACIÓN!$H$42:$H$56,MATCH($A60,CONFIGURACIÓN!$B$42:$B$56,0))))*(INDEX(CONFIGURACIÓN!$H$42:$H$56,MATCH($A60,CONFIGURACIÓN!$B$42:$B$56,0))))))</f>
        <v/>
      </c>
      <c r="U60" s="13"/>
      <c r="V60" s="18" t="str">
        <f aca="false">IF($A60="","",IF(U60="","",IF(NOT(ISNUMBER(E60)),"sin carga inicial registrada",IF(U60&gt;E60,"OK","ERROR: debe ser &gt; "&amp;E60))))</f>
        <v/>
      </c>
      <c r="W60" s="11"/>
    </row>
    <row r="61" customFormat="false" ht="15" hidden="false" customHeight="true" outlineLevel="0" collapsed="false">
      <c r="A61" s="11"/>
      <c r="B61" s="11"/>
      <c r="C61" s="11"/>
      <c r="D61" s="28" t="str">
        <f aca="false">IF($A61="","",IF(_xlfn.MINIFS(HISTORIAL!$A$5:$A$2004,HISTORIAL!$E$5:$E$2004,$A61,HISTORIAL!$F$5:$F$2004,"Bilbo",HISTORIAL!$G$5:$G$2004,$B61)=0,"",INDEX(HISTORIAL!$B$5:$B$2004,_xlfn.MINIFS(HISTORIAL!$A$5:$A$2004,HISTORIAL!$E$5:$E$2004,$A61,HISTORIAL!$F$5:$F$2004,"Bilbo",HISTORIAL!$G$5:$G$2004,$B61))))</f>
        <v/>
      </c>
      <c r="E61" s="27" t="str">
        <f aca="false">IF($A61="","",IF(_xlfn.MINIFS(HISTORIAL!$A$5:$A$2004,HISTORIAL!$E$5:$E$2004,$A61,HISTORIAL!$F$5:$F$2004,"Bilbo",HISTORIAL!$G$5:$G$2004,$B61)=0,"",INDEX(HISTORIAL!$J$5:$J$2004,_xlfn.MINIFS(HISTORIAL!$A$5:$A$2004,HISTORIAL!$E$5:$E$2004,$A61,HISTORIAL!$F$5:$F$2004,"Bilbo",HISTORIAL!$G$5:$G$2004,$B61))))</f>
        <v/>
      </c>
      <c r="F61" s="18" t="str">
        <f aca="false">IF($A61="","",IF(_xlfn.MINIFS(HISTORIAL!$A$5:$A$2004,HISTORIAL!$E$5:$E$2004,$A61,HISTORIAL!$F$5:$F$2004,"Bilbo",HISTORIAL!$G$5:$G$2004,$B61)=0,"",INDEX(HISTORIAL!$K$5:$K$2004,_xlfn.MINIFS(HISTORIAL!$A$5:$A$2004,HISTORIAL!$E$5:$E$2004,$A61,HISTORIAL!$F$5:$F$2004,"Bilbo",HISTORIAL!$G$5:$G$2004,$B61))))</f>
        <v/>
      </c>
      <c r="G61" s="28" t="str">
        <f aca="false">IF($A61="","",IF(_xlfn.MAXIFS(HISTORIAL!$A$5:$A$2004,HISTORIAL!$E$5:$E$2004,$A61,HISTORIAL!$F$5:$F$2004,"Bilbo",HISTORIAL!$G$5:$G$2004,$B61)=0,"",INDEX(HISTORIAL!$B$5:$B$2004,_xlfn.MAXIFS(HISTORIAL!$A$5:$A$2004,HISTORIAL!$E$5:$E$2004,$A61,HISTORIAL!$F$5:$F$2004,"Bilbo",HISTORIAL!$G$5:$G$2004,$B61))))</f>
        <v/>
      </c>
      <c r="H61" s="27" t="str">
        <f aca="false">IF($A61="","",IF(_xlfn.MAXIFS(HISTORIAL!$A$5:$A$2004,HISTORIAL!$E$5:$E$2004,$A61,HISTORIAL!$F$5:$F$2004,"Bilbo",HISTORIAL!$G$5:$G$2004,$B61)=0,"",INDEX(HISTORIAL!$J$5:$J$2004,_xlfn.MAXIFS(HISTORIAL!$A$5:$A$2004,HISTORIAL!$E$5:$E$2004,$A61,HISTORIAL!$F$5:$F$2004,"Bilbo",HISTORIAL!$G$5:$G$2004,$B61))))</f>
        <v/>
      </c>
      <c r="I61" s="18" t="str">
        <f aca="false">IF($A61="","",IF(_xlfn.MAXIFS(HISTORIAL!$A$5:$A$2004,HISTORIAL!$E$5:$E$2004,$A61,HISTORIAL!$F$5:$F$2004,"Bilbo",HISTORIAL!$G$5:$G$2004,$B61)=0,"",INDEX(HISTORIAL!$K$5:$K$2004,_xlfn.MAXIFS(HISTORIAL!$A$5:$A$2004,HISTORIAL!$E$5:$E$2004,$A61,HISTORIAL!$F$5:$F$2004,"Bilbo",HISTORIAL!$G$5:$G$2004,$B61))))</f>
        <v/>
      </c>
      <c r="J61" s="18" t="str">
        <f aca="false">IF($A61="","",COUNTIFS(HISTORIAL!$E$5:$E$2004,$A61,HISTORIAL!$F$5:$F$2004,"Bilbo",HISTORIAL!$G$5:$G$2004,$B61))</f>
        <v/>
      </c>
      <c r="K61" s="27" t="str">
        <f aca="false">IF($A61="","",IF(J61=0,"",_xlfn.MAXIFS(HISTORIAL!$J$5:$J$2004,HISTORIAL!$E$5:$E$2004,$A61,HISTORIAL!$F$5:$F$2004,"Bilbo",HISTORIAL!$G$5:$G$2004,$B61)))</f>
        <v/>
      </c>
      <c r="L61" s="18" t="str">
        <f aca="false">IF($A61="","",IF(J61=0,"",_xlfn.MAXIFS(HISTORIAL!$K$5:$K$2004,HISTORIAL!$E$5:$E$2004,$A61,HISTORIAL!$F$5:$F$2004,"Bilbo",HISTORIAL!$G$5:$G$2004,$B61,HISTORIAL!$J$5:$J$2004,K61)))</f>
        <v/>
      </c>
      <c r="M61" s="27" t="str">
        <f aca="false">IF($A61="","",IF(J61=0,"",_xlfn.MAXIFS(HISTORIAL!$T$5:$T$2004,HISTORIAL!$E$5:$E$2004,$A61,HISTORIAL!$F$5:$F$2004,"Bilbo",HISTORIAL!$G$5:$G$2004,$B61)))</f>
        <v/>
      </c>
      <c r="N61" s="27" t="str">
        <f aca="false">IF($A61="","",IF(J61=0,"",H61-E61))</f>
        <v/>
      </c>
      <c r="O61" s="27" t="str">
        <f aca="false">IF($A61="","",IF(COUNTIFS($A$6:$A$105,$A61,$B$6:$B$105,$B61-1)=0,"",SUMIFS($E$6:$E$105,$A$6:$A$105,$A61,$B$6:$B$105,$B61-1)))</f>
        <v/>
      </c>
      <c r="P61" s="18" t="str">
        <f aca="false">IF($A61="","",IF(OR(O61="",NOT(ISNUMBER(E61))),"—",IF(E61&gt;O61,"OK","ERROR: debe ser &gt; "&amp;O61)))</f>
        <v/>
      </c>
      <c r="Q61" s="18" t="str">
        <f aca="false">IF($A61="","",IF(OR(O61="",NOT(ISNUMBER(E61))),"",IF(_xlfn.MAXIFS(HISTORIAL!$K$5:$K$2004,HISTORIAL!$E$5:$E$2004,$A61,HISTORIAL!$F$5:$F$2004,"Bilbo",HISTORIAL!$G$5:$G$2004,$B61-1,HISTORIAL!$J$5:$J$2004,E61)=0,"sin dato comparable",_xlfn.MAXIFS(HISTORIAL!$K$5:$K$2004,HISTORIAL!$E$5:$E$2004,$A61,HISTORIAL!$F$5:$F$2004,"Bilbo",HISTORIAL!$G$5:$G$2004,$B61-1,HISTORIAL!$J$5:$J$2004,E61))))</f>
        <v/>
      </c>
      <c r="R61" s="18" t="str">
        <f aca="false">IF($A61="","",IF(AND(ISNUMBER(Q61),ISNUMBER(F61)),F61-Q61,""))</f>
        <v/>
      </c>
      <c r="S61" s="27" t="str">
        <f aca="false">IF($A61="","",SUMIFS(HISTORIAL!$R$5:$R$2004,HISTORIAL!$E$5:$E$2004,$A61,HISTORIAL!$F$5:$F$2004,"Bilbo",HISTORIAL!$G$5:$G$2004,$B61)+SUMIFS(HISTORIAL!$R$5:$R$2004,HISTORIAL!$E$5:$E$2004,$A61,HISTORIAL!$F$5:$F$2004,"Post-Bilbo",HISTORIAL!$G$5:$G$2004,$B61))</f>
        <v/>
      </c>
      <c r="T61" s="27" t="str">
        <f aca="false">IF($A61="","",IF(NOT(ISNUMBER(E61)),"",MAX(E61+INDEX(CONFIGURACIÓN!$H$42:$H$56,MATCH($A61,CONFIGURACIÓN!$B$42:$B$56,0)),-INT(-E61*(1+CONFIGURACIÓN!$C$17)/(INDEX(CONFIGURACIÓN!$H$42:$H$56,MATCH($A61,CONFIGURACIÓN!$B$42:$B$56,0))))*(INDEX(CONFIGURACIÓN!$H$42:$H$56,MATCH($A61,CONFIGURACIÓN!$B$42:$B$56,0))))))</f>
        <v/>
      </c>
      <c r="U61" s="13"/>
      <c r="V61" s="18" t="str">
        <f aca="false">IF($A61="","",IF(U61="","",IF(NOT(ISNUMBER(E61)),"sin carga inicial registrada",IF(U61&gt;E61,"OK","ERROR: debe ser &gt; "&amp;E61))))</f>
        <v/>
      </c>
      <c r="W61" s="11"/>
    </row>
    <row r="62" customFormat="false" ht="15" hidden="false" customHeight="true" outlineLevel="0" collapsed="false">
      <c r="A62" s="11"/>
      <c r="B62" s="11"/>
      <c r="C62" s="11"/>
      <c r="D62" s="28" t="str">
        <f aca="false">IF($A62="","",IF(_xlfn.MINIFS(HISTORIAL!$A$5:$A$2004,HISTORIAL!$E$5:$E$2004,$A62,HISTORIAL!$F$5:$F$2004,"Bilbo",HISTORIAL!$G$5:$G$2004,$B62)=0,"",INDEX(HISTORIAL!$B$5:$B$2004,_xlfn.MINIFS(HISTORIAL!$A$5:$A$2004,HISTORIAL!$E$5:$E$2004,$A62,HISTORIAL!$F$5:$F$2004,"Bilbo",HISTORIAL!$G$5:$G$2004,$B62))))</f>
        <v/>
      </c>
      <c r="E62" s="27" t="str">
        <f aca="false">IF($A62="","",IF(_xlfn.MINIFS(HISTORIAL!$A$5:$A$2004,HISTORIAL!$E$5:$E$2004,$A62,HISTORIAL!$F$5:$F$2004,"Bilbo",HISTORIAL!$G$5:$G$2004,$B62)=0,"",INDEX(HISTORIAL!$J$5:$J$2004,_xlfn.MINIFS(HISTORIAL!$A$5:$A$2004,HISTORIAL!$E$5:$E$2004,$A62,HISTORIAL!$F$5:$F$2004,"Bilbo",HISTORIAL!$G$5:$G$2004,$B62))))</f>
        <v/>
      </c>
      <c r="F62" s="18" t="str">
        <f aca="false">IF($A62="","",IF(_xlfn.MINIFS(HISTORIAL!$A$5:$A$2004,HISTORIAL!$E$5:$E$2004,$A62,HISTORIAL!$F$5:$F$2004,"Bilbo",HISTORIAL!$G$5:$G$2004,$B62)=0,"",INDEX(HISTORIAL!$K$5:$K$2004,_xlfn.MINIFS(HISTORIAL!$A$5:$A$2004,HISTORIAL!$E$5:$E$2004,$A62,HISTORIAL!$F$5:$F$2004,"Bilbo",HISTORIAL!$G$5:$G$2004,$B62))))</f>
        <v/>
      </c>
      <c r="G62" s="28" t="str">
        <f aca="false">IF($A62="","",IF(_xlfn.MAXIFS(HISTORIAL!$A$5:$A$2004,HISTORIAL!$E$5:$E$2004,$A62,HISTORIAL!$F$5:$F$2004,"Bilbo",HISTORIAL!$G$5:$G$2004,$B62)=0,"",INDEX(HISTORIAL!$B$5:$B$2004,_xlfn.MAXIFS(HISTORIAL!$A$5:$A$2004,HISTORIAL!$E$5:$E$2004,$A62,HISTORIAL!$F$5:$F$2004,"Bilbo",HISTORIAL!$G$5:$G$2004,$B62))))</f>
        <v/>
      </c>
      <c r="H62" s="27" t="str">
        <f aca="false">IF($A62="","",IF(_xlfn.MAXIFS(HISTORIAL!$A$5:$A$2004,HISTORIAL!$E$5:$E$2004,$A62,HISTORIAL!$F$5:$F$2004,"Bilbo",HISTORIAL!$G$5:$G$2004,$B62)=0,"",INDEX(HISTORIAL!$J$5:$J$2004,_xlfn.MAXIFS(HISTORIAL!$A$5:$A$2004,HISTORIAL!$E$5:$E$2004,$A62,HISTORIAL!$F$5:$F$2004,"Bilbo",HISTORIAL!$G$5:$G$2004,$B62))))</f>
        <v/>
      </c>
      <c r="I62" s="18" t="str">
        <f aca="false">IF($A62="","",IF(_xlfn.MAXIFS(HISTORIAL!$A$5:$A$2004,HISTORIAL!$E$5:$E$2004,$A62,HISTORIAL!$F$5:$F$2004,"Bilbo",HISTORIAL!$G$5:$G$2004,$B62)=0,"",INDEX(HISTORIAL!$K$5:$K$2004,_xlfn.MAXIFS(HISTORIAL!$A$5:$A$2004,HISTORIAL!$E$5:$E$2004,$A62,HISTORIAL!$F$5:$F$2004,"Bilbo",HISTORIAL!$G$5:$G$2004,$B62))))</f>
        <v/>
      </c>
      <c r="J62" s="18" t="str">
        <f aca="false">IF($A62="","",COUNTIFS(HISTORIAL!$E$5:$E$2004,$A62,HISTORIAL!$F$5:$F$2004,"Bilbo",HISTORIAL!$G$5:$G$2004,$B62))</f>
        <v/>
      </c>
      <c r="K62" s="27" t="str">
        <f aca="false">IF($A62="","",IF(J62=0,"",_xlfn.MAXIFS(HISTORIAL!$J$5:$J$2004,HISTORIAL!$E$5:$E$2004,$A62,HISTORIAL!$F$5:$F$2004,"Bilbo",HISTORIAL!$G$5:$G$2004,$B62)))</f>
        <v/>
      </c>
      <c r="L62" s="18" t="str">
        <f aca="false">IF($A62="","",IF(J62=0,"",_xlfn.MAXIFS(HISTORIAL!$K$5:$K$2004,HISTORIAL!$E$5:$E$2004,$A62,HISTORIAL!$F$5:$F$2004,"Bilbo",HISTORIAL!$G$5:$G$2004,$B62,HISTORIAL!$J$5:$J$2004,K62)))</f>
        <v/>
      </c>
      <c r="M62" s="27" t="str">
        <f aca="false">IF($A62="","",IF(J62=0,"",_xlfn.MAXIFS(HISTORIAL!$T$5:$T$2004,HISTORIAL!$E$5:$E$2004,$A62,HISTORIAL!$F$5:$F$2004,"Bilbo",HISTORIAL!$G$5:$G$2004,$B62)))</f>
        <v/>
      </c>
      <c r="N62" s="27" t="str">
        <f aca="false">IF($A62="","",IF(J62=0,"",H62-E62))</f>
        <v/>
      </c>
      <c r="O62" s="27" t="str">
        <f aca="false">IF($A62="","",IF(COUNTIFS($A$6:$A$105,$A62,$B$6:$B$105,$B62-1)=0,"",SUMIFS($E$6:$E$105,$A$6:$A$105,$A62,$B$6:$B$105,$B62-1)))</f>
        <v/>
      </c>
      <c r="P62" s="18" t="str">
        <f aca="false">IF($A62="","",IF(OR(O62="",NOT(ISNUMBER(E62))),"—",IF(E62&gt;O62,"OK","ERROR: debe ser &gt; "&amp;O62)))</f>
        <v/>
      </c>
      <c r="Q62" s="18" t="str">
        <f aca="false">IF($A62="","",IF(OR(O62="",NOT(ISNUMBER(E62))),"",IF(_xlfn.MAXIFS(HISTORIAL!$K$5:$K$2004,HISTORIAL!$E$5:$E$2004,$A62,HISTORIAL!$F$5:$F$2004,"Bilbo",HISTORIAL!$G$5:$G$2004,$B62-1,HISTORIAL!$J$5:$J$2004,E62)=0,"sin dato comparable",_xlfn.MAXIFS(HISTORIAL!$K$5:$K$2004,HISTORIAL!$E$5:$E$2004,$A62,HISTORIAL!$F$5:$F$2004,"Bilbo",HISTORIAL!$G$5:$G$2004,$B62-1,HISTORIAL!$J$5:$J$2004,E62))))</f>
        <v/>
      </c>
      <c r="R62" s="18" t="str">
        <f aca="false">IF($A62="","",IF(AND(ISNUMBER(Q62),ISNUMBER(F62)),F62-Q62,""))</f>
        <v/>
      </c>
      <c r="S62" s="27" t="str">
        <f aca="false">IF($A62="","",SUMIFS(HISTORIAL!$R$5:$R$2004,HISTORIAL!$E$5:$E$2004,$A62,HISTORIAL!$F$5:$F$2004,"Bilbo",HISTORIAL!$G$5:$G$2004,$B62)+SUMIFS(HISTORIAL!$R$5:$R$2004,HISTORIAL!$E$5:$E$2004,$A62,HISTORIAL!$F$5:$F$2004,"Post-Bilbo",HISTORIAL!$G$5:$G$2004,$B62))</f>
        <v/>
      </c>
      <c r="T62" s="27" t="str">
        <f aca="false">IF($A62="","",IF(NOT(ISNUMBER(E62)),"",MAX(E62+INDEX(CONFIGURACIÓN!$H$42:$H$56,MATCH($A62,CONFIGURACIÓN!$B$42:$B$56,0)),-INT(-E62*(1+CONFIGURACIÓN!$C$17)/(INDEX(CONFIGURACIÓN!$H$42:$H$56,MATCH($A62,CONFIGURACIÓN!$B$42:$B$56,0))))*(INDEX(CONFIGURACIÓN!$H$42:$H$56,MATCH($A62,CONFIGURACIÓN!$B$42:$B$56,0))))))</f>
        <v/>
      </c>
      <c r="U62" s="13"/>
      <c r="V62" s="18" t="str">
        <f aca="false">IF($A62="","",IF(U62="","",IF(NOT(ISNUMBER(E62)),"sin carga inicial registrada",IF(U62&gt;E62,"OK","ERROR: debe ser &gt; "&amp;E62))))</f>
        <v/>
      </c>
      <c r="W62" s="11"/>
    </row>
    <row r="63" customFormat="false" ht="15" hidden="false" customHeight="true" outlineLevel="0" collapsed="false">
      <c r="A63" s="11"/>
      <c r="B63" s="11"/>
      <c r="C63" s="11"/>
      <c r="D63" s="28" t="str">
        <f aca="false">IF($A63="","",IF(_xlfn.MINIFS(HISTORIAL!$A$5:$A$2004,HISTORIAL!$E$5:$E$2004,$A63,HISTORIAL!$F$5:$F$2004,"Bilbo",HISTORIAL!$G$5:$G$2004,$B63)=0,"",INDEX(HISTORIAL!$B$5:$B$2004,_xlfn.MINIFS(HISTORIAL!$A$5:$A$2004,HISTORIAL!$E$5:$E$2004,$A63,HISTORIAL!$F$5:$F$2004,"Bilbo",HISTORIAL!$G$5:$G$2004,$B63))))</f>
        <v/>
      </c>
      <c r="E63" s="27" t="str">
        <f aca="false">IF($A63="","",IF(_xlfn.MINIFS(HISTORIAL!$A$5:$A$2004,HISTORIAL!$E$5:$E$2004,$A63,HISTORIAL!$F$5:$F$2004,"Bilbo",HISTORIAL!$G$5:$G$2004,$B63)=0,"",INDEX(HISTORIAL!$J$5:$J$2004,_xlfn.MINIFS(HISTORIAL!$A$5:$A$2004,HISTORIAL!$E$5:$E$2004,$A63,HISTORIAL!$F$5:$F$2004,"Bilbo",HISTORIAL!$G$5:$G$2004,$B63))))</f>
        <v/>
      </c>
      <c r="F63" s="18" t="str">
        <f aca="false">IF($A63="","",IF(_xlfn.MINIFS(HISTORIAL!$A$5:$A$2004,HISTORIAL!$E$5:$E$2004,$A63,HISTORIAL!$F$5:$F$2004,"Bilbo",HISTORIAL!$G$5:$G$2004,$B63)=0,"",INDEX(HISTORIAL!$K$5:$K$2004,_xlfn.MINIFS(HISTORIAL!$A$5:$A$2004,HISTORIAL!$E$5:$E$2004,$A63,HISTORIAL!$F$5:$F$2004,"Bilbo",HISTORIAL!$G$5:$G$2004,$B63))))</f>
        <v/>
      </c>
      <c r="G63" s="28" t="str">
        <f aca="false">IF($A63="","",IF(_xlfn.MAXIFS(HISTORIAL!$A$5:$A$2004,HISTORIAL!$E$5:$E$2004,$A63,HISTORIAL!$F$5:$F$2004,"Bilbo",HISTORIAL!$G$5:$G$2004,$B63)=0,"",INDEX(HISTORIAL!$B$5:$B$2004,_xlfn.MAXIFS(HISTORIAL!$A$5:$A$2004,HISTORIAL!$E$5:$E$2004,$A63,HISTORIAL!$F$5:$F$2004,"Bilbo",HISTORIAL!$G$5:$G$2004,$B63))))</f>
        <v/>
      </c>
      <c r="H63" s="27" t="str">
        <f aca="false">IF($A63="","",IF(_xlfn.MAXIFS(HISTORIAL!$A$5:$A$2004,HISTORIAL!$E$5:$E$2004,$A63,HISTORIAL!$F$5:$F$2004,"Bilbo",HISTORIAL!$G$5:$G$2004,$B63)=0,"",INDEX(HISTORIAL!$J$5:$J$2004,_xlfn.MAXIFS(HISTORIAL!$A$5:$A$2004,HISTORIAL!$E$5:$E$2004,$A63,HISTORIAL!$F$5:$F$2004,"Bilbo",HISTORIAL!$G$5:$G$2004,$B63))))</f>
        <v/>
      </c>
      <c r="I63" s="18" t="str">
        <f aca="false">IF($A63="","",IF(_xlfn.MAXIFS(HISTORIAL!$A$5:$A$2004,HISTORIAL!$E$5:$E$2004,$A63,HISTORIAL!$F$5:$F$2004,"Bilbo",HISTORIAL!$G$5:$G$2004,$B63)=0,"",INDEX(HISTORIAL!$K$5:$K$2004,_xlfn.MAXIFS(HISTORIAL!$A$5:$A$2004,HISTORIAL!$E$5:$E$2004,$A63,HISTORIAL!$F$5:$F$2004,"Bilbo",HISTORIAL!$G$5:$G$2004,$B63))))</f>
        <v/>
      </c>
      <c r="J63" s="18" t="str">
        <f aca="false">IF($A63="","",COUNTIFS(HISTORIAL!$E$5:$E$2004,$A63,HISTORIAL!$F$5:$F$2004,"Bilbo",HISTORIAL!$G$5:$G$2004,$B63))</f>
        <v/>
      </c>
      <c r="K63" s="27" t="str">
        <f aca="false">IF($A63="","",IF(J63=0,"",_xlfn.MAXIFS(HISTORIAL!$J$5:$J$2004,HISTORIAL!$E$5:$E$2004,$A63,HISTORIAL!$F$5:$F$2004,"Bilbo",HISTORIAL!$G$5:$G$2004,$B63)))</f>
        <v/>
      </c>
      <c r="L63" s="18" t="str">
        <f aca="false">IF($A63="","",IF(J63=0,"",_xlfn.MAXIFS(HISTORIAL!$K$5:$K$2004,HISTORIAL!$E$5:$E$2004,$A63,HISTORIAL!$F$5:$F$2004,"Bilbo",HISTORIAL!$G$5:$G$2004,$B63,HISTORIAL!$J$5:$J$2004,K63)))</f>
        <v/>
      </c>
      <c r="M63" s="27" t="str">
        <f aca="false">IF($A63="","",IF(J63=0,"",_xlfn.MAXIFS(HISTORIAL!$T$5:$T$2004,HISTORIAL!$E$5:$E$2004,$A63,HISTORIAL!$F$5:$F$2004,"Bilbo",HISTORIAL!$G$5:$G$2004,$B63)))</f>
        <v/>
      </c>
      <c r="N63" s="27" t="str">
        <f aca="false">IF($A63="","",IF(J63=0,"",H63-E63))</f>
        <v/>
      </c>
      <c r="O63" s="27" t="str">
        <f aca="false">IF($A63="","",IF(COUNTIFS($A$6:$A$105,$A63,$B$6:$B$105,$B63-1)=0,"",SUMIFS($E$6:$E$105,$A$6:$A$105,$A63,$B$6:$B$105,$B63-1)))</f>
        <v/>
      </c>
      <c r="P63" s="18" t="str">
        <f aca="false">IF($A63="","",IF(OR(O63="",NOT(ISNUMBER(E63))),"—",IF(E63&gt;O63,"OK","ERROR: debe ser &gt; "&amp;O63)))</f>
        <v/>
      </c>
      <c r="Q63" s="18" t="str">
        <f aca="false">IF($A63="","",IF(OR(O63="",NOT(ISNUMBER(E63))),"",IF(_xlfn.MAXIFS(HISTORIAL!$K$5:$K$2004,HISTORIAL!$E$5:$E$2004,$A63,HISTORIAL!$F$5:$F$2004,"Bilbo",HISTORIAL!$G$5:$G$2004,$B63-1,HISTORIAL!$J$5:$J$2004,E63)=0,"sin dato comparable",_xlfn.MAXIFS(HISTORIAL!$K$5:$K$2004,HISTORIAL!$E$5:$E$2004,$A63,HISTORIAL!$F$5:$F$2004,"Bilbo",HISTORIAL!$G$5:$G$2004,$B63-1,HISTORIAL!$J$5:$J$2004,E63))))</f>
        <v/>
      </c>
      <c r="R63" s="18" t="str">
        <f aca="false">IF($A63="","",IF(AND(ISNUMBER(Q63),ISNUMBER(F63)),F63-Q63,""))</f>
        <v/>
      </c>
      <c r="S63" s="27" t="str">
        <f aca="false">IF($A63="","",SUMIFS(HISTORIAL!$R$5:$R$2004,HISTORIAL!$E$5:$E$2004,$A63,HISTORIAL!$F$5:$F$2004,"Bilbo",HISTORIAL!$G$5:$G$2004,$B63)+SUMIFS(HISTORIAL!$R$5:$R$2004,HISTORIAL!$E$5:$E$2004,$A63,HISTORIAL!$F$5:$F$2004,"Post-Bilbo",HISTORIAL!$G$5:$G$2004,$B63))</f>
        <v/>
      </c>
      <c r="T63" s="27" t="str">
        <f aca="false">IF($A63="","",IF(NOT(ISNUMBER(E63)),"",MAX(E63+INDEX(CONFIGURACIÓN!$H$42:$H$56,MATCH($A63,CONFIGURACIÓN!$B$42:$B$56,0)),-INT(-E63*(1+CONFIGURACIÓN!$C$17)/(INDEX(CONFIGURACIÓN!$H$42:$H$56,MATCH($A63,CONFIGURACIÓN!$B$42:$B$56,0))))*(INDEX(CONFIGURACIÓN!$H$42:$H$56,MATCH($A63,CONFIGURACIÓN!$B$42:$B$56,0))))))</f>
        <v/>
      </c>
      <c r="U63" s="13"/>
      <c r="V63" s="18" t="str">
        <f aca="false">IF($A63="","",IF(U63="","",IF(NOT(ISNUMBER(E63)),"sin carga inicial registrada",IF(U63&gt;E63,"OK","ERROR: debe ser &gt; "&amp;E63))))</f>
        <v/>
      </c>
      <c r="W63" s="11"/>
    </row>
    <row r="64" customFormat="false" ht="15" hidden="false" customHeight="true" outlineLevel="0" collapsed="false">
      <c r="A64" s="11"/>
      <c r="B64" s="11"/>
      <c r="C64" s="11"/>
      <c r="D64" s="28" t="str">
        <f aca="false">IF($A64="","",IF(_xlfn.MINIFS(HISTORIAL!$A$5:$A$2004,HISTORIAL!$E$5:$E$2004,$A64,HISTORIAL!$F$5:$F$2004,"Bilbo",HISTORIAL!$G$5:$G$2004,$B64)=0,"",INDEX(HISTORIAL!$B$5:$B$2004,_xlfn.MINIFS(HISTORIAL!$A$5:$A$2004,HISTORIAL!$E$5:$E$2004,$A64,HISTORIAL!$F$5:$F$2004,"Bilbo",HISTORIAL!$G$5:$G$2004,$B64))))</f>
        <v/>
      </c>
      <c r="E64" s="27" t="str">
        <f aca="false">IF($A64="","",IF(_xlfn.MINIFS(HISTORIAL!$A$5:$A$2004,HISTORIAL!$E$5:$E$2004,$A64,HISTORIAL!$F$5:$F$2004,"Bilbo",HISTORIAL!$G$5:$G$2004,$B64)=0,"",INDEX(HISTORIAL!$J$5:$J$2004,_xlfn.MINIFS(HISTORIAL!$A$5:$A$2004,HISTORIAL!$E$5:$E$2004,$A64,HISTORIAL!$F$5:$F$2004,"Bilbo",HISTORIAL!$G$5:$G$2004,$B64))))</f>
        <v/>
      </c>
      <c r="F64" s="18" t="str">
        <f aca="false">IF($A64="","",IF(_xlfn.MINIFS(HISTORIAL!$A$5:$A$2004,HISTORIAL!$E$5:$E$2004,$A64,HISTORIAL!$F$5:$F$2004,"Bilbo",HISTORIAL!$G$5:$G$2004,$B64)=0,"",INDEX(HISTORIAL!$K$5:$K$2004,_xlfn.MINIFS(HISTORIAL!$A$5:$A$2004,HISTORIAL!$E$5:$E$2004,$A64,HISTORIAL!$F$5:$F$2004,"Bilbo",HISTORIAL!$G$5:$G$2004,$B64))))</f>
        <v/>
      </c>
      <c r="G64" s="28" t="str">
        <f aca="false">IF($A64="","",IF(_xlfn.MAXIFS(HISTORIAL!$A$5:$A$2004,HISTORIAL!$E$5:$E$2004,$A64,HISTORIAL!$F$5:$F$2004,"Bilbo",HISTORIAL!$G$5:$G$2004,$B64)=0,"",INDEX(HISTORIAL!$B$5:$B$2004,_xlfn.MAXIFS(HISTORIAL!$A$5:$A$2004,HISTORIAL!$E$5:$E$2004,$A64,HISTORIAL!$F$5:$F$2004,"Bilbo",HISTORIAL!$G$5:$G$2004,$B64))))</f>
        <v/>
      </c>
      <c r="H64" s="27" t="str">
        <f aca="false">IF($A64="","",IF(_xlfn.MAXIFS(HISTORIAL!$A$5:$A$2004,HISTORIAL!$E$5:$E$2004,$A64,HISTORIAL!$F$5:$F$2004,"Bilbo",HISTORIAL!$G$5:$G$2004,$B64)=0,"",INDEX(HISTORIAL!$J$5:$J$2004,_xlfn.MAXIFS(HISTORIAL!$A$5:$A$2004,HISTORIAL!$E$5:$E$2004,$A64,HISTORIAL!$F$5:$F$2004,"Bilbo",HISTORIAL!$G$5:$G$2004,$B64))))</f>
        <v/>
      </c>
      <c r="I64" s="18" t="str">
        <f aca="false">IF($A64="","",IF(_xlfn.MAXIFS(HISTORIAL!$A$5:$A$2004,HISTORIAL!$E$5:$E$2004,$A64,HISTORIAL!$F$5:$F$2004,"Bilbo",HISTORIAL!$G$5:$G$2004,$B64)=0,"",INDEX(HISTORIAL!$K$5:$K$2004,_xlfn.MAXIFS(HISTORIAL!$A$5:$A$2004,HISTORIAL!$E$5:$E$2004,$A64,HISTORIAL!$F$5:$F$2004,"Bilbo",HISTORIAL!$G$5:$G$2004,$B64))))</f>
        <v/>
      </c>
      <c r="J64" s="18" t="str">
        <f aca="false">IF($A64="","",COUNTIFS(HISTORIAL!$E$5:$E$2004,$A64,HISTORIAL!$F$5:$F$2004,"Bilbo",HISTORIAL!$G$5:$G$2004,$B64))</f>
        <v/>
      </c>
      <c r="K64" s="27" t="str">
        <f aca="false">IF($A64="","",IF(J64=0,"",_xlfn.MAXIFS(HISTORIAL!$J$5:$J$2004,HISTORIAL!$E$5:$E$2004,$A64,HISTORIAL!$F$5:$F$2004,"Bilbo",HISTORIAL!$G$5:$G$2004,$B64)))</f>
        <v/>
      </c>
      <c r="L64" s="18" t="str">
        <f aca="false">IF($A64="","",IF(J64=0,"",_xlfn.MAXIFS(HISTORIAL!$K$5:$K$2004,HISTORIAL!$E$5:$E$2004,$A64,HISTORIAL!$F$5:$F$2004,"Bilbo",HISTORIAL!$G$5:$G$2004,$B64,HISTORIAL!$J$5:$J$2004,K64)))</f>
        <v/>
      </c>
      <c r="M64" s="27" t="str">
        <f aca="false">IF($A64="","",IF(J64=0,"",_xlfn.MAXIFS(HISTORIAL!$T$5:$T$2004,HISTORIAL!$E$5:$E$2004,$A64,HISTORIAL!$F$5:$F$2004,"Bilbo",HISTORIAL!$G$5:$G$2004,$B64)))</f>
        <v/>
      </c>
      <c r="N64" s="27" t="str">
        <f aca="false">IF($A64="","",IF(J64=0,"",H64-E64))</f>
        <v/>
      </c>
      <c r="O64" s="27" t="str">
        <f aca="false">IF($A64="","",IF(COUNTIFS($A$6:$A$105,$A64,$B$6:$B$105,$B64-1)=0,"",SUMIFS($E$6:$E$105,$A$6:$A$105,$A64,$B$6:$B$105,$B64-1)))</f>
        <v/>
      </c>
      <c r="P64" s="18" t="str">
        <f aca="false">IF($A64="","",IF(OR(O64="",NOT(ISNUMBER(E64))),"—",IF(E64&gt;O64,"OK","ERROR: debe ser &gt; "&amp;O64)))</f>
        <v/>
      </c>
      <c r="Q64" s="18" t="str">
        <f aca="false">IF($A64="","",IF(OR(O64="",NOT(ISNUMBER(E64))),"",IF(_xlfn.MAXIFS(HISTORIAL!$K$5:$K$2004,HISTORIAL!$E$5:$E$2004,$A64,HISTORIAL!$F$5:$F$2004,"Bilbo",HISTORIAL!$G$5:$G$2004,$B64-1,HISTORIAL!$J$5:$J$2004,E64)=0,"sin dato comparable",_xlfn.MAXIFS(HISTORIAL!$K$5:$K$2004,HISTORIAL!$E$5:$E$2004,$A64,HISTORIAL!$F$5:$F$2004,"Bilbo",HISTORIAL!$G$5:$G$2004,$B64-1,HISTORIAL!$J$5:$J$2004,E64))))</f>
        <v/>
      </c>
      <c r="R64" s="18" t="str">
        <f aca="false">IF($A64="","",IF(AND(ISNUMBER(Q64),ISNUMBER(F64)),F64-Q64,""))</f>
        <v/>
      </c>
      <c r="S64" s="27" t="str">
        <f aca="false">IF($A64="","",SUMIFS(HISTORIAL!$R$5:$R$2004,HISTORIAL!$E$5:$E$2004,$A64,HISTORIAL!$F$5:$F$2004,"Bilbo",HISTORIAL!$G$5:$G$2004,$B64)+SUMIFS(HISTORIAL!$R$5:$R$2004,HISTORIAL!$E$5:$E$2004,$A64,HISTORIAL!$F$5:$F$2004,"Post-Bilbo",HISTORIAL!$G$5:$G$2004,$B64))</f>
        <v/>
      </c>
      <c r="T64" s="27" t="str">
        <f aca="false">IF($A64="","",IF(NOT(ISNUMBER(E64)),"",MAX(E64+INDEX(CONFIGURACIÓN!$H$42:$H$56,MATCH($A64,CONFIGURACIÓN!$B$42:$B$56,0)),-INT(-E64*(1+CONFIGURACIÓN!$C$17)/(INDEX(CONFIGURACIÓN!$H$42:$H$56,MATCH($A64,CONFIGURACIÓN!$B$42:$B$56,0))))*(INDEX(CONFIGURACIÓN!$H$42:$H$56,MATCH($A64,CONFIGURACIÓN!$B$42:$B$56,0))))))</f>
        <v/>
      </c>
      <c r="U64" s="13"/>
      <c r="V64" s="18" t="str">
        <f aca="false">IF($A64="","",IF(U64="","",IF(NOT(ISNUMBER(E64)),"sin carga inicial registrada",IF(U64&gt;E64,"OK","ERROR: debe ser &gt; "&amp;E64))))</f>
        <v/>
      </c>
      <c r="W64" s="11"/>
    </row>
    <row r="65" customFormat="false" ht="15" hidden="false" customHeight="true" outlineLevel="0" collapsed="false">
      <c r="A65" s="11"/>
      <c r="B65" s="11"/>
      <c r="C65" s="11"/>
      <c r="D65" s="28" t="str">
        <f aca="false">IF($A65="","",IF(_xlfn.MINIFS(HISTORIAL!$A$5:$A$2004,HISTORIAL!$E$5:$E$2004,$A65,HISTORIAL!$F$5:$F$2004,"Bilbo",HISTORIAL!$G$5:$G$2004,$B65)=0,"",INDEX(HISTORIAL!$B$5:$B$2004,_xlfn.MINIFS(HISTORIAL!$A$5:$A$2004,HISTORIAL!$E$5:$E$2004,$A65,HISTORIAL!$F$5:$F$2004,"Bilbo",HISTORIAL!$G$5:$G$2004,$B65))))</f>
        <v/>
      </c>
      <c r="E65" s="27" t="str">
        <f aca="false">IF($A65="","",IF(_xlfn.MINIFS(HISTORIAL!$A$5:$A$2004,HISTORIAL!$E$5:$E$2004,$A65,HISTORIAL!$F$5:$F$2004,"Bilbo",HISTORIAL!$G$5:$G$2004,$B65)=0,"",INDEX(HISTORIAL!$J$5:$J$2004,_xlfn.MINIFS(HISTORIAL!$A$5:$A$2004,HISTORIAL!$E$5:$E$2004,$A65,HISTORIAL!$F$5:$F$2004,"Bilbo",HISTORIAL!$G$5:$G$2004,$B65))))</f>
        <v/>
      </c>
      <c r="F65" s="18" t="str">
        <f aca="false">IF($A65="","",IF(_xlfn.MINIFS(HISTORIAL!$A$5:$A$2004,HISTORIAL!$E$5:$E$2004,$A65,HISTORIAL!$F$5:$F$2004,"Bilbo",HISTORIAL!$G$5:$G$2004,$B65)=0,"",INDEX(HISTORIAL!$K$5:$K$2004,_xlfn.MINIFS(HISTORIAL!$A$5:$A$2004,HISTORIAL!$E$5:$E$2004,$A65,HISTORIAL!$F$5:$F$2004,"Bilbo",HISTORIAL!$G$5:$G$2004,$B65))))</f>
        <v/>
      </c>
      <c r="G65" s="28" t="str">
        <f aca="false">IF($A65="","",IF(_xlfn.MAXIFS(HISTORIAL!$A$5:$A$2004,HISTORIAL!$E$5:$E$2004,$A65,HISTORIAL!$F$5:$F$2004,"Bilbo",HISTORIAL!$G$5:$G$2004,$B65)=0,"",INDEX(HISTORIAL!$B$5:$B$2004,_xlfn.MAXIFS(HISTORIAL!$A$5:$A$2004,HISTORIAL!$E$5:$E$2004,$A65,HISTORIAL!$F$5:$F$2004,"Bilbo",HISTORIAL!$G$5:$G$2004,$B65))))</f>
        <v/>
      </c>
      <c r="H65" s="27" t="str">
        <f aca="false">IF($A65="","",IF(_xlfn.MAXIFS(HISTORIAL!$A$5:$A$2004,HISTORIAL!$E$5:$E$2004,$A65,HISTORIAL!$F$5:$F$2004,"Bilbo",HISTORIAL!$G$5:$G$2004,$B65)=0,"",INDEX(HISTORIAL!$J$5:$J$2004,_xlfn.MAXIFS(HISTORIAL!$A$5:$A$2004,HISTORIAL!$E$5:$E$2004,$A65,HISTORIAL!$F$5:$F$2004,"Bilbo",HISTORIAL!$G$5:$G$2004,$B65))))</f>
        <v/>
      </c>
      <c r="I65" s="18" t="str">
        <f aca="false">IF($A65="","",IF(_xlfn.MAXIFS(HISTORIAL!$A$5:$A$2004,HISTORIAL!$E$5:$E$2004,$A65,HISTORIAL!$F$5:$F$2004,"Bilbo",HISTORIAL!$G$5:$G$2004,$B65)=0,"",INDEX(HISTORIAL!$K$5:$K$2004,_xlfn.MAXIFS(HISTORIAL!$A$5:$A$2004,HISTORIAL!$E$5:$E$2004,$A65,HISTORIAL!$F$5:$F$2004,"Bilbo",HISTORIAL!$G$5:$G$2004,$B65))))</f>
        <v/>
      </c>
      <c r="J65" s="18" t="str">
        <f aca="false">IF($A65="","",COUNTIFS(HISTORIAL!$E$5:$E$2004,$A65,HISTORIAL!$F$5:$F$2004,"Bilbo",HISTORIAL!$G$5:$G$2004,$B65))</f>
        <v/>
      </c>
      <c r="K65" s="27" t="str">
        <f aca="false">IF($A65="","",IF(J65=0,"",_xlfn.MAXIFS(HISTORIAL!$J$5:$J$2004,HISTORIAL!$E$5:$E$2004,$A65,HISTORIAL!$F$5:$F$2004,"Bilbo",HISTORIAL!$G$5:$G$2004,$B65)))</f>
        <v/>
      </c>
      <c r="L65" s="18" t="str">
        <f aca="false">IF($A65="","",IF(J65=0,"",_xlfn.MAXIFS(HISTORIAL!$K$5:$K$2004,HISTORIAL!$E$5:$E$2004,$A65,HISTORIAL!$F$5:$F$2004,"Bilbo",HISTORIAL!$G$5:$G$2004,$B65,HISTORIAL!$J$5:$J$2004,K65)))</f>
        <v/>
      </c>
      <c r="M65" s="27" t="str">
        <f aca="false">IF($A65="","",IF(J65=0,"",_xlfn.MAXIFS(HISTORIAL!$T$5:$T$2004,HISTORIAL!$E$5:$E$2004,$A65,HISTORIAL!$F$5:$F$2004,"Bilbo",HISTORIAL!$G$5:$G$2004,$B65)))</f>
        <v/>
      </c>
      <c r="N65" s="27" t="str">
        <f aca="false">IF($A65="","",IF(J65=0,"",H65-E65))</f>
        <v/>
      </c>
      <c r="O65" s="27" t="str">
        <f aca="false">IF($A65="","",IF(COUNTIFS($A$6:$A$105,$A65,$B$6:$B$105,$B65-1)=0,"",SUMIFS($E$6:$E$105,$A$6:$A$105,$A65,$B$6:$B$105,$B65-1)))</f>
        <v/>
      </c>
      <c r="P65" s="18" t="str">
        <f aca="false">IF($A65="","",IF(OR(O65="",NOT(ISNUMBER(E65))),"—",IF(E65&gt;O65,"OK","ERROR: debe ser &gt; "&amp;O65)))</f>
        <v/>
      </c>
      <c r="Q65" s="18" t="str">
        <f aca="false">IF($A65="","",IF(OR(O65="",NOT(ISNUMBER(E65))),"",IF(_xlfn.MAXIFS(HISTORIAL!$K$5:$K$2004,HISTORIAL!$E$5:$E$2004,$A65,HISTORIAL!$F$5:$F$2004,"Bilbo",HISTORIAL!$G$5:$G$2004,$B65-1,HISTORIAL!$J$5:$J$2004,E65)=0,"sin dato comparable",_xlfn.MAXIFS(HISTORIAL!$K$5:$K$2004,HISTORIAL!$E$5:$E$2004,$A65,HISTORIAL!$F$5:$F$2004,"Bilbo",HISTORIAL!$G$5:$G$2004,$B65-1,HISTORIAL!$J$5:$J$2004,E65))))</f>
        <v/>
      </c>
      <c r="R65" s="18" t="str">
        <f aca="false">IF($A65="","",IF(AND(ISNUMBER(Q65),ISNUMBER(F65)),F65-Q65,""))</f>
        <v/>
      </c>
      <c r="S65" s="27" t="str">
        <f aca="false">IF($A65="","",SUMIFS(HISTORIAL!$R$5:$R$2004,HISTORIAL!$E$5:$E$2004,$A65,HISTORIAL!$F$5:$F$2004,"Bilbo",HISTORIAL!$G$5:$G$2004,$B65)+SUMIFS(HISTORIAL!$R$5:$R$2004,HISTORIAL!$E$5:$E$2004,$A65,HISTORIAL!$F$5:$F$2004,"Post-Bilbo",HISTORIAL!$G$5:$G$2004,$B65))</f>
        <v/>
      </c>
      <c r="T65" s="27" t="str">
        <f aca="false">IF($A65="","",IF(NOT(ISNUMBER(E65)),"",MAX(E65+INDEX(CONFIGURACIÓN!$H$42:$H$56,MATCH($A65,CONFIGURACIÓN!$B$42:$B$56,0)),-INT(-E65*(1+CONFIGURACIÓN!$C$17)/(INDEX(CONFIGURACIÓN!$H$42:$H$56,MATCH($A65,CONFIGURACIÓN!$B$42:$B$56,0))))*(INDEX(CONFIGURACIÓN!$H$42:$H$56,MATCH($A65,CONFIGURACIÓN!$B$42:$B$56,0))))))</f>
        <v/>
      </c>
      <c r="U65" s="13"/>
      <c r="V65" s="18" t="str">
        <f aca="false">IF($A65="","",IF(U65="","",IF(NOT(ISNUMBER(E65)),"sin carga inicial registrada",IF(U65&gt;E65,"OK","ERROR: debe ser &gt; "&amp;E65))))</f>
        <v/>
      </c>
      <c r="W65" s="11"/>
    </row>
    <row r="66" customFormat="false" ht="15" hidden="false" customHeight="true" outlineLevel="0" collapsed="false">
      <c r="A66" s="11"/>
      <c r="B66" s="11"/>
      <c r="C66" s="11"/>
      <c r="D66" s="28" t="str">
        <f aca="false">IF($A66="","",IF(_xlfn.MINIFS(HISTORIAL!$A$5:$A$2004,HISTORIAL!$E$5:$E$2004,$A66,HISTORIAL!$F$5:$F$2004,"Bilbo",HISTORIAL!$G$5:$G$2004,$B66)=0,"",INDEX(HISTORIAL!$B$5:$B$2004,_xlfn.MINIFS(HISTORIAL!$A$5:$A$2004,HISTORIAL!$E$5:$E$2004,$A66,HISTORIAL!$F$5:$F$2004,"Bilbo",HISTORIAL!$G$5:$G$2004,$B66))))</f>
        <v/>
      </c>
      <c r="E66" s="27" t="str">
        <f aca="false">IF($A66="","",IF(_xlfn.MINIFS(HISTORIAL!$A$5:$A$2004,HISTORIAL!$E$5:$E$2004,$A66,HISTORIAL!$F$5:$F$2004,"Bilbo",HISTORIAL!$G$5:$G$2004,$B66)=0,"",INDEX(HISTORIAL!$J$5:$J$2004,_xlfn.MINIFS(HISTORIAL!$A$5:$A$2004,HISTORIAL!$E$5:$E$2004,$A66,HISTORIAL!$F$5:$F$2004,"Bilbo",HISTORIAL!$G$5:$G$2004,$B66))))</f>
        <v/>
      </c>
      <c r="F66" s="18" t="str">
        <f aca="false">IF($A66="","",IF(_xlfn.MINIFS(HISTORIAL!$A$5:$A$2004,HISTORIAL!$E$5:$E$2004,$A66,HISTORIAL!$F$5:$F$2004,"Bilbo",HISTORIAL!$G$5:$G$2004,$B66)=0,"",INDEX(HISTORIAL!$K$5:$K$2004,_xlfn.MINIFS(HISTORIAL!$A$5:$A$2004,HISTORIAL!$E$5:$E$2004,$A66,HISTORIAL!$F$5:$F$2004,"Bilbo",HISTORIAL!$G$5:$G$2004,$B66))))</f>
        <v/>
      </c>
      <c r="G66" s="28" t="str">
        <f aca="false">IF($A66="","",IF(_xlfn.MAXIFS(HISTORIAL!$A$5:$A$2004,HISTORIAL!$E$5:$E$2004,$A66,HISTORIAL!$F$5:$F$2004,"Bilbo",HISTORIAL!$G$5:$G$2004,$B66)=0,"",INDEX(HISTORIAL!$B$5:$B$2004,_xlfn.MAXIFS(HISTORIAL!$A$5:$A$2004,HISTORIAL!$E$5:$E$2004,$A66,HISTORIAL!$F$5:$F$2004,"Bilbo",HISTORIAL!$G$5:$G$2004,$B66))))</f>
        <v/>
      </c>
      <c r="H66" s="27" t="str">
        <f aca="false">IF($A66="","",IF(_xlfn.MAXIFS(HISTORIAL!$A$5:$A$2004,HISTORIAL!$E$5:$E$2004,$A66,HISTORIAL!$F$5:$F$2004,"Bilbo",HISTORIAL!$G$5:$G$2004,$B66)=0,"",INDEX(HISTORIAL!$J$5:$J$2004,_xlfn.MAXIFS(HISTORIAL!$A$5:$A$2004,HISTORIAL!$E$5:$E$2004,$A66,HISTORIAL!$F$5:$F$2004,"Bilbo",HISTORIAL!$G$5:$G$2004,$B66))))</f>
        <v/>
      </c>
      <c r="I66" s="18" t="str">
        <f aca="false">IF($A66="","",IF(_xlfn.MAXIFS(HISTORIAL!$A$5:$A$2004,HISTORIAL!$E$5:$E$2004,$A66,HISTORIAL!$F$5:$F$2004,"Bilbo",HISTORIAL!$G$5:$G$2004,$B66)=0,"",INDEX(HISTORIAL!$K$5:$K$2004,_xlfn.MAXIFS(HISTORIAL!$A$5:$A$2004,HISTORIAL!$E$5:$E$2004,$A66,HISTORIAL!$F$5:$F$2004,"Bilbo",HISTORIAL!$G$5:$G$2004,$B66))))</f>
        <v/>
      </c>
      <c r="J66" s="18" t="str">
        <f aca="false">IF($A66="","",COUNTIFS(HISTORIAL!$E$5:$E$2004,$A66,HISTORIAL!$F$5:$F$2004,"Bilbo",HISTORIAL!$G$5:$G$2004,$B66))</f>
        <v/>
      </c>
      <c r="K66" s="27" t="str">
        <f aca="false">IF($A66="","",IF(J66=0,"",_xlfn.MAXIFS(HISTORIAL!$J$5:$J$2004,HISTORIAL!$E$5:$E$2004,$A66,HISTORIAL!$F$5:$F$2004,"Bilbo",HISTORIAL!$G$5:$G$2004,$B66)))</f>
        <v/>
      </c>
      <c r="L66" s="18" t="str">
        <f aca="false">IF($A66="","",IF(J66=0,"",_xlfn.MAXIFS(HISTORIAL!$K$5:$K$2004,HISTORIAL!$E$5:$E$2004,$A66,HISTORIAL!$F$5:$F$2004,"Bilbo",HISTORIAL!$G$5:$G$2004,$B66,HISTORIAL!$J$5:$J$2004,K66)))</f>
        <v/>
      </c>
      <c r="M66" s="27" t="str">
        <f aca="false">IF($A66="","",IF(J66=0,"",_xlfn.MAXIFS(HISTORIAL!$T$5:$T$2004,HISTORIAL!$E$5:$E$2004,$A66,HISTORIAL!$F$5:$F$2004,"Bilbo",HISTORIAL!$G$5:$G$2004,$B66)))</f>
        <v/>
      </c>
      <c r="N66" s="27" t="str">
        <f aca="false">IF($A66="","",IF(J66=0,"",H66-E66))</f>
        <v/>
      </c>
      <c r="O66" s="27" t="str">
        <f aca="false">IF($A66="","",IF(COUNTIFS($A$6:$A$105,$A66,$B$6:$B$105,$B66-1)=0,"",SUMIFS($E$6:$E$105,$A$6:$A$105,$A66,$B$6:$B$105,$B66-1)))</f>
        <v/>
      </c>
      <c r="P66" s="18" t="str">
        <f aca="false">IF($A66="","",IF(OR(O66="",NOT(ISNUMBER(E66))),"—",IF(E66&gt;O66,"OK","ERROR: debe ser &gt; "&amp;O66)))</f>
        <v/>
      </c>
      <c r="Q66" s="18" t="str">
        <f aca="false">IF($A66="","",IF(OR(O66="",NOT(ISNUMBER(E66))),"",IF(_xlfn.MAXIFS(HISTORIAL!$K$5:$K$2004,HISTORIAL!$E$5:$E$2004,$A66,HISTORIAL!$F$5:$F$2004,"Bilbo",HISTORIAL!$G$5:$G$2004,$B66-1,HISTORIAL!$J$5:$J$2004,E66)=0,"sin dato comparable",_xlfn.MAXIFS(HISTORIAL!$K$5:$K$2004,HISTORIAL!$E$5:$E$2004,$A66,HISTORIAL!$F$5:$F$2004,"Bilbo",HISTORIAL!$G$5:$G$2004,$B66-1,HISTORIAL!$J$5:$J$2004,E66))))</f>
        <v/>
      </c>
      <c r="R66" s="18" t="str">
        <f aca="false">IF($A66="","",IF(AND(ISNUMBER(Q66),ISNUMBER(F66)),F66-Q66,""))</f>
        <v/>
      </c>
      <c r="S66" s="27" t="str">
        <f aca="false">IF($A66="","",SUMIFS(HISTORIAL!$R$5:$R$2004,HISTORIAL!$E$5:$E$2004,$A66,HISTORIAL!$F$5:$F$2004,"Bilbo",HISTORIAL!$G$5:$G$2004,$B66)+SUMIFS(HISTORIAL!$R$5:$R$2004,HISTORIAL!$E$5:$E$2004,$A66,HISTORIAL!$F$5:$F$2004,"Post-Bilbo",HISTORIAL!$G$5:$G$2004,$B66))</f>
        <v/>
      </c>
      <c r="T66" s="27" t="str">
        <f aca="false">IF($A66="","",IF(NOT(ISNUMBER(E66)),"",MAX(E66+INDEX(CONFIGURACIÓN!$H$42:$H$56,MATCH($A66,CONFIGURACIÓN!$B$42:$B$56,0)),-INT(-E66*(1+CONFIGURACIÓN!$C$17)/(INDEX(CONFIGURACIÓN!$H$42:$H$56,MATCH($A66,CONFIGURACIÓN!$B$42:$B$56,0))))*(INDEX(CONFIGURACIÓN!$H$42:$H$56,MATCH($A66,CONFIGURACIÓN!$B$42:$B$56,0))))))</f>
        <v/>
      </c>
      <c r="U66" s="13"/>
      <c r="V66" s="18" t="str">
        <f aca="false">IF($A66="","",IF(U66="","",IF(NOT(ISNUMBER(E66)),"sin carga inicial registrada",IF(U66&gt;E66,"OK","ERROR: debe ser &gt; "&amp;E66))))</f>
        <v/>
      </c>
      <c r="W66" s="11"/>
    </row>
    <row r="67" customFormat="false" ht="15" hidden="false" customHeight="true" outlineLevel="0" collapsed="false">
      <c r="A67" s="11"/>
      <c r="B67" s="11"/>
      <c r="C67" s="11"/>
      <c r="D67" s="28" t="str">
        <f aca="false">IF($A67="","",IF(_xlfn.MINIFS(HISTORIAL!$A$5:$A$2004,HISTORIAL!$E$5:$E$2004,$A67,HISTORIAL!$F$5:$F$2004,"Bilbo",HISTORIAL!$G$5:$G$2004,$B67)=0,"",INDEX(HISTORIAL!$B$5:$B$2004,_xlfn.MINIFS(HISTORIAL!$A$5:$A$2004,HISTORIAL!$E$5:$E$2004,$A67,HISTORIAL!$F$5:$F$2004,"Bilbo",HISTORIAL!$G$5:$G$2004,$B67))))</f>
        <v/>
      </c>
      <c r="E67" s="27" t="str">
        <f aca="false">IF($A67="","",IF(_xlfn.MINIFS(HISTORIAL!$A$5:$A$2004,HISTORIAL!$E$5:$E$2004,$A67,HISTORIAL!$F$5:$F$2004,"Bilbo",HISTORIAL!$G$5:$G$2004,$B67)=0,"",INDEX(HISTORIAL!$J$5:$J$2004,_xlfn.MINIFS(HISTORIAL!$A$5:$A$2004,HISTORIAL!$E$5:$E$2004,$A67,HISTORIAL!$F$5:$F$2004,"Bilbo",HISTORIAL!$G$5:$G$2004,$B67))))</f>
        <v/>
      </c>
      <c r="F67" s="18" t="str">
        <f aca="false">IF($A67="","",IF(_xlfn.MINIFS(HISTORIAL!$A$5:$A$2004,HISTORIAL!$E$5:$E$2004,$A67,HISTORIAL!$F$5:$F$2004,"Bilbo",HISTORIAL!$G$5:$G$2004,$B67)=0,"",INDEX(HISTORIAL!$K$5:$K$2004,_xlfn.MINIFS(HISTORIAL!$A$5:$A$2004,HISTORIAL!$E$5:$E$2004,$A67,HISTORIAL!$F$5:$F$2004,"Bilbo",HISTORIAL!$G$5:$G$2004,$B67))))</f>
        <v/>
      </c>
      <c r="G67" s="28" t="str">
        <f aca="false">IF($A67="","",IF(_xlfn.MAXIFS(HISTORIAL!$A$5:$A$2004,HISTORIAL!$E$5:$E$2004,$A67,HISTORIAL!$F$5:$F$2004,"Bilbo",HISTORIAL!$G$5:$G$2004,$B67)=0,"",INDEX(HISTORIAL!$B$5:$B$2004,_xlfn.MAXIFS(HISTORIAL!$A$5:$A$2004,HISTORIAL!$E$5:$E$2004,$A67,HISTORIAL!$F$5:$F$2004,"Bilbo",HISTORIAL!$G$5:$G$2004,$B67))))</f>
        <v/>
      </c>
      <c r="H67" s="27" t="str">
        <f aca="false">IF($A67="","",IF(_xlfn.MAXIFS(HISTORIAL!$A$5:$A$2004,HISTORIAL!$E$5:$E$2004,$A67,HISTORIAL!$F$5:$F$2004,"Bilbo",HISTORIAL!$G$5:$G$2004,$B67)=0,"",INDEX(HISTORIAL!$J$5:$J$2004,_xlfn.MAXIFS(HISTORIAL!$A$5:$A$2004,HISTORIAL!$E$5:$E$2004,$A67,HISTORIAL!$F$5:$F$2004,"Bilbo",HISTORIAL!$G$5:$G$2004,$B67))))</f>
        <v/>
      </c>
      <c r="I67" s="18" t="str">
        <f aca="false">IF($A67="","",IF(_xlfn.MAXIFS(HISTORIAL!$A$5:$A$2004,HISTORIAL!$E$5:$E$2004,$A67,HISTORIAL!$F$5:$F$2004,"Bilbo",HISTORIAL!$G$5:$G$2004,$B67)=0,"",INDEX(HISTORIAL!$K$5:$K$2004,_xlfn.MAXIFS(HISTORIAL!$A$5:$A$2004,HISTORIAL!$E$5:$E$2004,$A67,HISTORIAL!$F$5:$F$2004,"Bilbo",HISTORIAL!$G$5:$G$2004,$B67))))</f>
        <v/>
      </c>
      <c r="J67" s="18" t="str">
        <f aca="false">IF($A67="","",COUNTIFS(HISTORIAL!$E$5:$E$2004,$A67,HISTORIAL!$F$5:$F$2004,"Bilbo",HISTORIAL!$G$5:$G$2004,$B67))</f>
        <v/>
      </c>
      <c r="K67" s="27" t="str">
        <f aca="false">IF($A67="","",IF(J67=0,"",_xlfn.MAXIFS(HISTORIAL!$J$5:$J$2004,HISTORIAL!$E$5:$E$2004,$A67,HISTORIAL!$F$5:$F$2004,"Bilbo",HISTORIAL!$G$5:$G$2004,$B67)))</f>
        <v/>
      </c>
      <c r="L67" s="18" t="str">
        <f aca="false">IF($A67="","",IF(J67=0,"",_xlfn.MAXIFS(HISTORIAL!$K$5:$K$2004,HISTORIAL!$E$5:$E$2004,$A67,HISTORIAL!$F$5:$F$2004,"Bilbo",HISTORIAL!$G$5:$G$2004,$B67,HISTORIAL!$J$5:$J$2004,K67)))</f>
        <v/>
      </c>
      <c r="M67" s="27" t="str">
        <f aca="false">IF($A67="","",IF(J67=0,"",_xlfn.MAXIFS(HISTORIAL!$T$5:$T$2004,HISTORIAL!$E$5:$E$2004,$A67,HISTORIAL!$F$5:$F$2004,"Bilbo",HISTORIAL!$G$5:$G$2004,$B67)))</f>
        <v/>
      </c>
      <c r="N67" s="27" t="str">
        <f aca="false">IF($A67="","",IF(J67=0,"",H67-E67))</f>
        <v/>
      </c>
      <c r="O67" s="27" t="str">
        <f aca="false">IF($A67="","",IF(COUNTIFS($A$6:$A$105,$A67,$B$6:$B$105,$B67-1)=0,"",SUMIFS($E$6:$E$105,$A$6:$A$105,$A67,$B$6:$B$105,$B67-1)))</f>
        <v/>
      </c>
      <c r="P67" s="18" t="str">
        <f aca="false">IF($A67="","",IF(OR(O67="",NOT(ISNUMBER(E67))),"—",IF(E67&gt;O67,"OK","ERROR: debe ser &gt; "&amp;O67)))</f>
        <v/>
      </c>
      <c r="Q67" s="18" t="str">
        <f aca="false">IF($A67="","",IF(OR(O67="",NOT(ISNUMBER(E67))),"",IF(_xlfn.MAXIFS(HISTORIAL!$K$5:$K$2004,HISTORIAL!$E$5:$E$2004,$A67,HISTORIAL!$F$5:$F$2004,"Bilbo",HISTORIAL!$G$5:$G$2004,$B67-1,HISTORIAL!$J$5:$J$2004,E67)=0,"sin dato comparable",_xlfn.MAXIFS(HISTORIAL!$K$5:$K$2004,HISTORIAL!$E$5:$E$2004,$A67,HISTORIAL!$F$5:$F$2004,"Bilbo",HISTORIAL!$G$5:$G$2004,$B67-1,HISTORIAL!$J$5:$J$2004,E67))))</f>
        <v/>
      </c>
      <c r="R67" s="18" t="str">
        <f aca="false">IF($A67="","",IF(AND(ISNUMBER(Q67),ISNUMBER(F67)),F67-Q67,""))</f>
        <v/>
      </c>
      <c r="S67" s="27" t="str">
        <f aca="false">IF($A67="","",SUMIFS(HISTORIAL!$R$5:$R$2004,HISTORIAL!$E$5:$E$2004,$A67,HISTORIAL!$F$5:$F$2004,"Bilbo",HISTORIAL!$G$5:$G$2004,$B67)+SUMIFS(HISTORIAL!$R$5:$R$2004,HISTORIAL!$E$5:$E$2004,$A67,HISTORIAL!$F$5:$F$2004,"Post-Bilbo",HISTORIAL!$G$5:$G$2004,$B67))</f>
        <v/>
      </c>
      <c r="T67" s="27" t="str">
        <f aca="false">IF($A67="","",IF(NOT(ISNUMBER(E67)),"",MAX(E67+INDEX(CONFIGURACIÓN!$H$42:$H$56,MATCH($A67,CONFIGURACIÓN!$B$42:$B$56,0)),-INT(-E67*(1+CONFIGURACIÓN!$C$17)/(INDEX(CONFIGURACIÓN!$H$42:$H$56,MATCH($A67,CONFIGURACIÓN!$B$42:$B$56,0))))*(INDEX(CONFIGURACIÓN!$H$42:$H$56,MATCH($A67,CONFIGURACIÓN!$B$42:$B$56,0))))))</f>
        <v/>
      </c>
      <c r="U67" s="13"/>
      <c r="V67" s="18" t="str">
        <f aca="false">IF($A67="","",IF(U67="","",IF(NOT(ISNUMBER(E67)),"sin carga inicial registrada",IF(U67&gt;E67,"OK","ERROR: debe ser &gt; "&amp;E67))))</f>
        <v/>
      </c>
      <c r="W67" s="11"/>
    </row>
    <row r="68" customFormat="false" ht="15" hidden="false" customHeight="true" outlineLevel="0" collapsed="false">
      <c r="A68" s="11"/>
      <c r="B68" s="11"/>
      <c r="C68" s="11"/>
      <c r="D68" s="28" t="str">
        <f aca="false">IF($A68="","",IF(_xlfn.MINIFS(HISTORIAL!$A$5:$A$2004,HISTORIAL!$E$5:$E$2004,$A68,HISTORIAL!$F$5:$F$2004,"Bilbo",HISTORIAL!$G$5:$G$2004,$B68)=0,"",INDEX(HISTORIAL!$B$5:$B$2004,_xlfn.MINIFS(HISTORIAL!$A$5:$A$2004,HISTORIAL!$E$5:$E$2004,$A68,HISTORIAL!$F$5:$F$2004,"Bilbo",HISTORIAL!$G$5:$G$2004,$B68))))</f>
        <v/>
      </c>
      <c r="E68" s="27" t="str">
        <f aca="false">IF($A68="","",IF(_xlfn.MINIFS(HISTORIAL!$A$5:$A$2004,HISTORIAL!$E$5:$E$2004,$A68,HISTORIAL!$F$5:$F$2004,"Bilbo",HISTORIAL!$G$5:$G$2004,$B68)=0,"",INDEX(HISTORIAL!$J$5:$J$2004,_xlfn.MINIFS(HISTORIAL!$A$5:$A$2004,HISTORIAL!$E$5:$E$2004,$A68,HISTORIAL!$F$5:$F$2004,"Bilbo",HISTORIAL!$G$5:$G$2004,$B68))))</f>
        <v/>
      </c>
      <c r="F68" s="18" t="str">
        <f aca="false">IF($A68="","",IF(_xlfn.MINIFS(HISTORIAL!$A$5:$A$2004,HISTORIAL!$E$5:$E$2004,$A68,HISTORIAL!$F$5:$F$2004,"Bilbo",HISTORIAL!$G$5:$G$2004,$B68)=0,"",INDEX(HISTORIAL!$K$5:$K$2004,_xlfn.MINIFS(HISTORIAL!$A$5:$A$2004,HISTORIAL!$E$5:$E$2004,$A68,HISTORIAL!$F$5:$F$2004,"Bilbo",HISTORIAL!$G$5:$G$2004,$B68))))</f>
        <v/>
      </c>
      <c r="G68" s="28" t="str">
        <f aca="false">IF($A68="","",IF(_xlfn.MAXIFS(HISTORIAL!$A$5:$A$2004,HISTORIAL!$E$5:$E$2004,$A68,HISTORIAL!$F$5:$F$2004,"Bilbo",HISTORIAL!$G$5:$G$2004,$B68)=0,"",INDEX(HISTORIAL!$B$5:$B$2004,_xlfn.MAXIFS(HISTORIAL!$A$5:$A$2004,HISTORIAL!$E$5:$E$2004,$A68,HISTORIAL!$F$5:$F$2004,"Bilbo",HISTORIAL!$G$5:$G$2004,$B68))))</f>
        <v/>
      </c>
      <c r="H68" s="27" t="str">
        <f aca="false">IF($A68="","",IF(_xlfn.MAXIFS(HISTORIAL!$A$5:$A$2004,HISTORIAL!$E$5:$E$2004,$A68,HISTORIAL!$F$5:$F$2004,"Bilbo",HISTORIAL!$G$5:$G$2004,$B68)=0,"",INDEX(HISTORIAL!$J$5:$J$2004,_xlfn.MAXIFS(HISTORIAL!$A$5:$A$2004,HISTORIAL!$E$5:$E$2004,$A68,HISTORIAL!$F$5:$F$2004,"Bilbo",HISTORIAL!$G$5:$G$2004,$B68))))</f>
        <v/>
      </c>
      <c r="I68" s="18" t="str">
        <f aca="false">IF($A68="","",IF(_xlfn.MAXIFS(HISTORIAL!$A$5:$A$2004,HISTORIAL!$E$5:$E$2004,$A68,HISTORIAL!$F$5:$F$2004,"Bilbo",HISTORIAL!$G$5:$G$2004,$B68)=0,"",INDEX(HISTORIAL!$K$5:$K$2004,_xlfn.MAXIFS(HISTORIAL!$A$5:$A$2004,HISTORIAL!$E$5:$E$2004,$A68,HISTORIAL!$F$5:$F$2004,"Bilbo",HISTORIAL!$G$5:$G$2004,$B68))))</f>
        <v/>
      </c>
      <c r="J68" s="18" t="str">
        <f aca="false">IF($A68="","",COUNTIFS(HISTORIAL!$E$5:$E$2004,$A68,HISTORIAL!$F$5:$F$2004,"Bilbo",HISTORIAL!$G$5:$G$2004,$B68))</f>
        <v/>
      </c>
      <c r="K68" s="27" t="str">
        <f aca="false">IF($A68="","",IF(J68=0,"",_xlfn.MAXIFS(HISTORIAL!$J$5:$J$2004,HISTORIAL!$E$5:$E$2004,$A68,HISTORIAL!$F$5:$F$2004,"Bilbo",HISTORIAL!$G$5:$G$2004,$B68)))</f>
        <v/>
      </c>
      <c r="L68" s="18" t="str">
        <f aca="false">IF($A68="","",IF(J68=0,"",_xlfn.MAXIFS(HISTORIAL!$K$5:$K$2004,HISTORIAL!$E$5:$E$2004,$A68,HISTORIAL!$F$5:$F$2004,"Bilbo",HISTORIAL!$G$5:$G$2004,$B68,HISTORIAL!$J$5:$J$2004,K68)))</f>
        <v/>
      </c>
      <c r="M68" s="27" t="str">
        <f aca="false">IF($A68="","",IF(J68=0,"",_xlfn.MAXIFS(HISTORIAL!$T$5:$T$2004,HISTORIAL!$E$5:$E$2004,$A68,HISTORIAL!$F$5:$F$2004,"Bilbo",HISTORIAL!$G$5:$G$2004,$B68)))</f>
        <v/>
      </c>
      <c r="N68" s="27" t="str">
        <f aca="false">IF($A68="","",IF(J68=0,"",H68-E68))</f>
        <v/>
      </c>
      <c r="O68" s="27" t="str">
        <f aca="false">IF($A68="","",IF(COUNTIFS($A$6:$A$105,$A68,$B$6:$B$105,$B68-1)=0,"",SUMIFS($E$6:$E$105,$A$6:$A$105,$A68,$B$6:$B$105,$B68-1)))</f>
        <v/>
      </c>
      <c r="P68" s="18" t="str">
        <f aca="false">IF($A68="","",IF(OR(O68="",NOT(ISNUMBER(E68))),"—",IF(E68&gt;O68,"OK","ERROR: debe ser &gt; "&amp;O68)))</f>
        <v/>
      </c>
      <c r="Q68" s="18" t="str">
        <f aca="false">IF($A68="","",IF(OR(O68="",NOT(ISNUMBER(E68))),"",IF(_xlfn.MAXIFS(HISTORIAL!$K$5:$K$2004,HISTORIAL!$E$5:$E$2004,$A68,HISTORIAL!$F$5:$F$2004,"Bilbo",HISTORIAL!$G$5:$G$2004,$B68-1,HISTORIAL!$J$5:$J$2004,E68)=0,"sin dato comparable",_xlfn.MAXIFS(HISTORIAL!$K$5:$K$2004,HISTORIAL!$E$5:$E$2004,$A68,HISTORIAL!$F$5:$F$2004,"Bilbo",HISTORIAL!$G$5:$G$2004,$B68-1,HISTORIAL!$J$5:$J$2004,E68))))</f>
        <v/>
      </c>
      <c r="R68" s="18" t="str">
        <f aca="false">IF($A68="","",IF(AND(ISNUMBER(Q68),ISNUMBER(F68)),F68-Q68,""))</f>
        <v/>
      </c>
      <c r="S68" s="27" t="str">
        <f aca="false">IF($A68="","",SUMIFS(HISTORIAL!$R$5:$R$2004,HISTORIAL!$E$5:$E$2004,$A68,HISTORIAL!$F$5:$F$2004,"Bilbo",HISTORIAL!$G$5:$G$2004,$B68)+SUMIFS(HISTORIAL!$R$5:$R$2004,HISTORIAL!$E$5:$E$2004,$A68,HISTORIAL!$F$5:$F$2004,"Post-Bilbo",HISTORIAL!$G$5:$G$2004,$B68))</f>
        <v/>
      </c>
      <c r="T68" s="27" t="str">
        <f aca="false">IF($A68="","",IF(NOT(ISNUMBER(E68)),"",MAX(E68+INDEX(CONFIGURACIÓN!$H$42:$H$56,MATCH($A68,CONFIGURACIÓN!$B$42:$B$56,0)),-INT(-E68*(1+CONFIGURACIÓN!$C$17)/(INDEX(CONFIGURACIÓN!$H$42:$H$56,MATCH($A68,CONFIGURACIÓN!$B$42:$B$56,0))))*(INDEX(CONFIGURACIÓN!$H$42:$H$56,MATCH($A68,CONFIGURACIÓN!$B$42:$B$56,0))))))</f>
        <v/>
      </c>
      <c r="U68" s="13"/>
      <c r="V68" s="18" t="str">
        <f aca="false">IF($A68="","",IF(U68="","",IF(NOT(ISNUMBER(E68)),"sin carga inicial registrada",IF(U68&gt;E68,"OK","ERROR: debe ser &gt; "&amp;E68))))</f>
        <v/>
      </c>
      <c r="W68" s="11"/>
    </row>
    <row r="69" customFormat="false" ht="15" hidden="false" customHeight="true" outlineLevel="0" collapsed="false">
      <c r="A69" s="11"/>
      <c r="B69" s="11"/>
      <c r="C69" s="11"/>
      <c r="D69" s="28" t="str">
        <f aca="false">IF($A69="","",IF(_xlfn.MINIFS(HISTORIAL!$A$5:$A$2004,HISTORIAL!$E$5:$E$2004,$A69,HISTORIAL!$F$5:$F$2004,"Bilbo",HISTORIAL!$G$5:$G$2004,$B69)=0,"",INDEX(HISTORIAL!$B$5:$B$2004,_xlfn.MINIFS(HISTORIAL!$A$5:$A$2004,HISTORIAL!$E$5:$E$2004,$A69,HISTORIAL!$F$5:$F$2004,"Bilbo",HISTORIAL!$G$5:$G$2004,$B69))))</f>
        <v/>
      </c>
      <c r="E69" s="27" t="str">
        <f aca="false">IF($A69="","",IF(_xlfn.MINIFS(HISTORIAL!$A$5:$A$2004,HISTORIAL!$E$5:$E$2004,$A69,HISTORIAL!$F$5:$F$2004,"Bilbo",HISTORIAL!$G$5:$G$2004,$B69)=0,"",INDEX(HISTORIAL!$J$5:$J$2004,_xlfn.MINIFS(HISTORIAL!$A$5:$A$2004,HISTORIAL!$E$5:$E$2004,$A69,HISTORIAL!$F$5:$F$2004,"Bilbo",HISTORIAL!$G$5:$G$2004,$B69))))</f>
        <v/>
      </c>
      <c r="F69" s="18" t="str">
        <f aca="false">IF($A69="","",IF(_xlfn.MINIFS(HISTORIAL!$A$5:$A$2004,HISTORIAL!$E$5:$E$2004,$A69,HISTORIAL!$F$5:$F$2004,"Bilbo",HISTORIAL!$G$5:$G$2004,$B69)=0,"",INDEX(HISTORIAL!$K$5:$K$2004,_xlfn.MINIFS(HISTORIAL!$A$5:$A$2004,HISTORIAL!$E$5:$E$2004,$A69,HISTORIAL!$F$5:$F$2004,"Bilbo",HISTORIAL!$G$5:$G$2004,$B69))))</f>
        <v/>
      </c>
      <c r="G69" s="28" t="str">
        <f aca="false">IF($A69="","",IF(_xlfn.MAXIFS(HISTORIAL!$A$5:$A$2004,HISTORIAL!$E$5:$E$2004,$A69,HISTORIAL!$F$5:$F$2004,"Bilbo",HISTORIAL!$G$5:$G$2004,$B69)=0,"",INDEX(HISTORIAL!$B$5:$B$2004,_xlfn.MAXIFS(HISTORIAL!$A$5:$A$2004,HISTORIAL!$E$5:$E$2004,$A69,HISTORIAL!$F$5:$F$2004,"Bilbo",HISTORIAL!$G$5:$G$2004,$B69))))</f>
        <v/>
      </c>
      <c r="H69" s="27" t="str">
        <f aca="false">IF($A69="","",IF(_xlfn.MAXIFS(HISTORIAL!$A$5:$A$2004,HISTORIAL!$E$5:$E$2004,$A69,HISTORIAL!$F$5:$F$2004,"Bilbo",HISTORIAL!$G$5:$G$2004,$B69)=0,"",INDEX(HISTORIAL!$J$5:$J$2004,_xlfn.MAXIFS(HISTORIAL!$A$5:$A$2004,HISTORIAL!$E$5:$E$2004,$A69,HISTORIAL!$F$5:$F$2004,"Bilbo",HISTORIAL!$G$5:$G$2004,$B69))))</f>
        <v/>
      </c>
      <c r="I69" s="18" t="str">
        <f aca="false">IF($A69="","",IF(_xlfn.MAXIFS(HISTORIAL!$A$5:$A$2004,HISTORIAL!$E$5:$E$2004,$A69,HISTORIAL!$F$5:$F$2004,"Bilbo",HISTORIAL!$G$5:$G$2004,$B69)=0,"",INDEX(HISTORIAL!$K$5:$K$2004,_xlfn.MAXIFS(HISTORIAL!$A$5:$A$2004,HISTORIAL!$E$5:$E$2004,$A69,HISTORIAL!$F$5:$F$2004,"Bilbo",HISTORIAL!$G$5:$G$2004,$B69))))</f>
        <v/>
      </c>
      <c r="J69" s="18" t="str">
        <f aca="false">IF($A69="","",COUNTIFS(HISTORIAL!$E$5:$E$2004,$A69,HISTORIAL!$F$5:$F$2004,"Bilbo",HISTORIAL!$G$5:$G$2004,$B69))</f>
        <v/>
      </c>
      <c r="K69" s="27" t="str">
        <f aca="false">IF($A69="","",IF(J69=0,"",_xlfn.MAXIFS(HISTORIAL!$J$5:$J$2004,HISTORIAL!$E$5:$E$2004,$A69,HISTORIAL!$F$5:$F$2004,"Bilbo",HISTORIAL!$G$5:$G$2004,$B69)))</f>
        <v/>
      </c>
      <c r="L69" s="18" t="str">
        <f aca="false">IF($A69="","",IF(J69=0,"",_xlfn.MAXIFS(HISTORIAL!$K$5:$K$2004,HISTORIAL!$E$5:$E$2004,$A69,HISTORIAL!$F$5:$F$2004,"Bilbo",HISTORIAL!$G$5:$G$2004,$B69,HISTORIAL!$J$5:$J$2004,K69)))</f>
        <v/>
      </c>
      <c r="M69" s="27" t="str">
        <f aca="false">IF($A69="","",IF(J69=0,"",_xlfn.MAXIFS(HISTORIAL!$T$5:$T$2004,HISTORIAL!$E$5:$E$2004,$A69,HISTORIAL!$F$5:$F$2004,"Bilbo",HISTORIAL!$G$5:$G$2004,$B69)))</f>
        <v/>
      </c>
      <c r="N69" s="27" t="str">
        <f aca="false">IF($A69="","",IF(J69=0,"",H69-E69))</f>
        <v/>
      </c>
      <c r="O69" s="27" t="str">
        <f aca="false">IF($A69="","",IF(COUNTIFS($A$6:$A$105,$A69,$B$6:$B$105,$B69-1)=0,"",SUMIFS($E$6:$E$105,$A$6:$A$105,$A69,$B$6:$B$105,$B69-1)))</f>
        <v/>
      </c>
      <c r="P69" s="18" t="str">
        <f aca="false">IF($A69="","",IF(OR(O69="",NOT(ISNUMBER(E69))),"—",IF(E69&gt;O69,"OK","ERROR: debe ser &gt; "&amp;O69)))</f>
        <v/>
      </c>
      <c r="Q69" s="18" t="str">
        <f aca="false">IF($A69="","",IF(OR(O69="",NOT(ISNUMBER(E69))),"",IF(_xlfn.MAXIFS(HISTORIAL!$K$5:$K$2004,HISTORIAL!$E$5:$E$2004,$A69,HISTORIAL!$F$5:$F$2004,"Bilbo",HISTORIAL!$G$5:$G$2004,$B69-1,HISTORIAL!$J$5:$J$2004,E69)=0,"sin dato comparable",_xlfn.MAXIFS(HISTORIAL!$K$5:$K$2004,HISTORIAL!$E$5:$E$2004,$A69,HISTORIAL!$F$5:$F$2004,"Bilbo",HISTORIAL!$G$5:$G$2004,$B69-1,HISTORIAL!$J$5:$J$2004,E69))))</f>
        <v/>
      </c>
      <c r="R69" s="18" t="str">
        <f aca="false">IF($A69="","",IF(AND(ISNUMBER(Q69),ISNUMBER(F69)),F69-Q69,""))</f>
        <v/>
      </c>
      <c r="S69" s="27" t="str">
        <f aca="false">IF($A69="","",SUMIFS(HISTORIAL!$R$5:$R$2004,HISTORIAL!$E$5:$E$2004,$A69,HISTORIAL!$F$5:$F$2004,"Bilbo",HISTORIAL!$G$5:$G$2004,$B69)+SUMIFS(HISTORIAL!$R$5:$R$2004,HISTORIAL!$E$5:$E$2004,$A69,HISTORIAL!$F$5:$F$2004,"Post-Bilbo",HISTORIAL!$G$5:$G$2004,$B69))</f>
        <v/>
      </c>
      <c r="T69" s="27" t="str">
        <f aca="false">IF($A69="","",IF(NOT(ISNUMBER(E69)),"",MAX(E69+INDEX(CONFIGURACIÓN!$H$42:$H$56,MATCH($A69,CONFIGURACIÓN!$B$42:$B$56,0)),-INT(-E69*(1+CONFIGURACIÓN!$C$17)/(INDEX(CONFIGURACIÓN!$H$42:$H$56,MATCH($A69,CONFIGURACIÓN!$B$42:$B$56,0))))*(INDEX(CONFIGURACIÓN!$H$42:$H$56,MATCH($A69,CONFIGURACIÓN!$B$42:$B$56,0))))))</f>
        <v/>
      </c>
      <c r="U69" s="13"/>
      <c r="V69" s="18" t="str">
        <f aca="false">IF($A69="","",IF(U69="","",IF(NOT(ISNUMBER(E69)),"sin carga inicial registrada",IF(U69&gt;E69,"OK","ERROR: debe ser &gt; "&amp;E69))))</f>
        <v/>
      </c>
      <c r="W69" s="11"/>
    </row>
    <row r="70" customFormat="false" ht="15" hidden="false" customHeight="true" outlineLevel="0" collapsed="false">
      <c r="A70" s="11"/>
      <c r="B70" s="11"/>
      <c r="C70" s="11"/>
      <c r="D70" s="28" t="str">
        <f aca="false">IF($A70="","",IF(_xlfn.MINIFS(HISTORIAL!$A$5:$A$2004,HISTORIAL!$E$5:$E$2004,$A70,HISTORIAL!$F$5:$F$2004,"Bilbo",HISTORIAL!$G$5:$G$2004,$B70)=0,"",INDEX(HISTORIAL!$B$5:$B$2004,_xlfn.MINIFS(HISTORIAL!$A$5:$A$2004,HISTORIAL!$E$5:$E$2004,$A70,HISTORIAL!$F$5:$F$2004,"Bilbo",HISTORIAL!$G$5:$G$2004,$B70))))</f>
        <v/>
      </c>
      <c r="E70" s="27" t="str">
        <f aca="false">IF($A70="","",IF(_xlfn.MINIFS(HISTORIAL!$A$5:$A$2004,HISTORIAL!$E$5:$E$2004,$A70,HISTORIAL!$F$5:$F$2004,"Bilbo",HISTORIAL!$G$5:$G$2004,$B70)=0,"",INDEX(HISTORIAL!$J$5:$J$2004,_xlfn.MINIFS(HISTORIAL!$A$5:$A$2004,HISTORIAL!$E$5:$E$2004,$A70,HISTORIAL!$F$5:$F$2004,"Bilbo",HISTORIAL!$G$5:$G$2004,$B70))))</f>
        <v/>
      </c>
      <c r="F70" s="18" t="str">
        <f aca="false">IF($A70="","",IF(_xlfn.MINIFS(HISTORIAL!$A$5:$A$2004,HISTORIAL!$E$5:$E$2004,$A70,HISTORIAL!$F$5:$F$2004,"Bilbo",HISTORIAL!$G$5:$G$2004,$B70)=0,"",INDEX(HISTORIAL!$K$5:$K$2004,_xlfn.MINIFS(HISTORIAL!$A$5:$A$2004,HISTORIAL!$E$5:$E$2004,$A70,HISTORIAL!$F$5:$F$2004,"Bilbo",HISTORIAL!$G$5:$G$2004,$B70))))</f>
        <v/>
      </c>
      <c r="G70" s="28" t="str">
        <f aca="false">IF($A70="","",IF(_xlfn.MAXIFS(HISTORIAL!$A$5:$A$2004,HISTORIAL!$E$5:$E$2004,$A70,HISTORIAL!$F$5:$F$2004,"Bilbo",HISTORIAL!$G$5:$G$2004,$B70)=0,"",INDEX(HISTORIAL!$B$5:$B$2004,_xlfn.MAXIFS(HISTORIAL!$A$5:$A$2004,HISTORIAL!$E$5:$E$2004,$A70,HISTORIAL!$F$5:$F$2004,"Bilbo",HISTORIAL!$G$5:$G$2004,$B70))))</f>
        <v/>
      </c>
      <c r="H70" s="27" t="str">
        <f aca="false">IF($A70="","",IF(_xlfn.MAXIFS(HISTORIAL!$A$5:$A$2004,HISTORIAL!$E$5:$E$2004,$A70,HISTORIAL!$F$5:$F$2004,"Bilbo",HISTORIAL!$G$5:$G$2004,$B70)=0,"",INDEX(HISTORIAL!$J$5:$J$2004,_xlfn.MAXIFS(HISTORIAL!$A$5:$A$2004,HISTORIAL!$E$5:$E$2004,$A70,HISTORIAL!$F$5:$F$2004,"Bilbo",HISTORIAL!$G$5:$G$2004,$B70))))</f>
        <v/>
      </c>
      <c r="I70" s="18" t="str">
        <f aca="false">IF($A70="","",IF(_xlfn.MAXIFS(HISTORIAL!$A$5:$A$2004,HISTORIAL!$E$5:$E$2004,$A70,HISTORIAL!$F$5:$F$2004,"Bilbo",HISTORIAL!$G$5:$G$2004,$B70)=0,"",INDEX(HISTORIAL!$K$5:$K$2004,_xlfn.MAXIFS(HISTORIAL!$A$5:$A$2004,HISTORIAL!$E$5:$E$2004,$A70,HISTORIAL!$F$5:$F$2004,"Bilbo",HISTORIAL!$G$5:$G$2004,$B70))))</f>
        <v/>
      </c>
      <c r="J70" s="18" t="str">
        <f aca="false">IF($A70="","",COUNTIFS(HISTORIAL!$E$5:$E$2004,$A70,HISTORIAL!$F$5:$F$2004,"Bilbo",HISTORIAL!$G$5:$G$2004,$B70))</f>
        <v/>
      </c>
      <c r="K70" s="27" t="str">
        <f aca="false">IF($A70="","",IF(J70=0,"",_xlfn.MAXIFS(HISTORIAL!$J$5:$J$2004,HISTORIAL!$E$5:$E$2004,$A70,HISTORIAL!$F$5:$F$2004,"Bilbo",HISTORIAL!$G$5:$G$2004,$B70)))</f>
        <v/>
      </c>
      <c r="L70" s="18" t="str">
        <f aca="false">IF($A70="","",IF(J70=0,"",_xlfn.MAXIFS(HISTORIAL!$K$5:$K$2004,HISTORIAL!$E$5:$E$2004,$A70,HISTORIAL!$F$5:$F$2004,"Bilbo",HISTORIAL!$G$5:$G$2004,$B70,HISTORIAL!$J$5:$J$2004,K70)))</f>
        <v/>
      </c>
      <c r="M70" s="27" t="str">
        <f aca="false">IF($A70="","",IF(J70=0,"",_xlfn.MAXIFS(HISTORIAL!$T$5:$T$2004,HISTORIAL!$E$5:$E$2004,$A70,HISTORIAL!$F$5:$F$2004,"Bilbo",HISTORIAL!$G$5:$G$2004,$B70)))</f>
        <v/>
      </c>
      <c r="N70" s="27" t="str">
        <f aca="false">IF($A70="","",IF(J70=0,"",H70-E70))</f>
        <v/>
      </c>
      <c r="O70" s="27" t="str">
        <f aca="false">IF($A70="","",IF(COUNTIFS($A$6:$A$105,$A70,$B$6:$B$105,$B70-1)=0,"",SUMIFS($E$6:$E$105,$A$6:$A$105,$A70,$B$6:$B$105,$B70-1)))</f>
        <v/>
      </c>
      <c r="P70" s="18" t="str">
        <f aca="false">IF($A70="","",IF(OR(O70="",NOT(ISNUMBER(E70))),"—",IF(E70&gt;O70,"OK","ERROR: debe ser &gt; "&amp;O70)))</f>
        <v/>
      </c>
      <c r="Q70" s="18" t="str">
        <f aca="false">IF($A70="","",IF(OR(O70="",NOT(ISNUMBER(E70))),"",IF(_xlfn.MAXIFS(HISTORIAL!$K$5:$K$2004,HISTORIAL!$E$5:$E$2004,$A70,HISTORIAL!$F$5:$F$2004,"Bilbo",HISTORIAL!$G$5:$G$2004,$B70-1,HISTORIAL!$J$5:$J$2004,E70)=0,"sin dato comparable",_xlfn.MAXIFS(HISTORIAL!$K$5:$K$2004,HISTORIAL!$E$5:$E$2004,$A70,HISTORIAL!$F$5:$F$2004,"Bilbo",HISTORIAL!$G$5:$G$2004,$B70-1,HISTORIAL!$J$5:$J$2004,E70))))</f>
        <v/>
      </c>
      <c r="R70" s="18" t="str">
        <f aca="false">IF($A70="","",IF(AND(ISNUMBER(Q70),ISNUMBER(F70)),F70-Q70,""))</f>
        <v/>
      </c>
      <c r="S70" s="27" t="str">
        <f aca="false">IF($A70="","",SUMIFS(HISTORIAL!$R$5:$R$2004,HISTORIAL!$E$5:$E$2004,$A70,HISTORIAL!$F$5:$F$2004,"Bilbo",HISTORIAL!$G$5:$G$2004,$B70)+SUMIFS(HISTORIAL!$R$5:$R$2004,HISTORIAL!$E$5:$E$2004,$A70,HISTORIAL!$F$5:$F$2004,"Post-Bilbo",HISTORIAL!$G$5:$G$2004,$B70))</f>
        <v/>
      </c>
      <c r="T70" s="27" t="str">
        <f aca="false">IF($A70="","",IF(NOT(ISNUMBER(E70)),"",MAX(E70+INDEX(CONFIGURACIÓN!$H$42:$H$56,MATCH($A70,CONFIGURACIÓN!$B$42:$B$56,0)),-INT(-E70*(1+CONFIGURACIÓN!$C$17)/(INDEX(CONFIGURACIÓN!$H$42:$H$56,MATCH($A70,CONFIGURACIÓN!$B$42:$B$56,0))))*(INDEX(CONFIGURACIÓN!$H$42:$H$56,MATCH($A70,CONFIGURACIÓN!$B$42:$B$56,0))))))</f>
        <v/>
      </c>
      <c r="U70" s="13"/>
      <c r="V70" s="18" t="str">
        <f aca="false">IF($A70="","",IF(U70="","",IF(NOT(ISNUMBER(E70)),"sin carga inicial registrada",IF(U70&gt;E70,"OK","ERROR: debe ser &gt; "&amp;E70))))</f>
        <v/>
      </c>
      <c r="W70" s="11"/>
    </row>
    <row r="71" customFormat="false" ht="15" hidden="false" customHeight="true" outlineLevel="0" collapsed="false">
      <c r="A71" s="11"/>
      <c r="B71" s="11"/>
      <c r="C71" s="11"/>
      <c r="D71" s="28" t="str">
        <f aca="false">IF($A71="","",IF(_xlfn.MINIFS(HISTORIAL!$A$5:$A$2004,HISTORIAL!$E$5:$E$2004,$A71,HISTORIAL!$F$5:$F$2004,"Bilbo",HISTORIAL!$G$5:$G$2004,$B71)=0,"",INDEX(HISTORIAL!$B$5:$B$2004,_xlfn.MINIFS(HISTORIAL!$A$5:$A$2004,HISTORIAL!$E$5:$E$2004,$A71,HISTORIAL!$F$5:$F$2004,"Bilbo",HISTORIAL!$G$5:$G$2004,$B71))))</f>
        <v/>
      </c>
      <c r="E71" s="27" t="str">
        <f aca="false">IF($A71="","",IF(_xlfn.MINIFS(HISTORIAL!$A$5:$A$2004,HISTORIAL!$E$5:$E$2004,$A71,HISTORIAL!$F$5:$F$2004,"Bilbo",HISTORIAL!$G$5:$G$2004,$B71)=0,"",INDEX(HISTORIAL!$J$5:$J$2004,_xlfn.MINIFS(HISTORIAL!$A$5:$A$2004,HISTORIAL!$E$5:$E$2004,$A71,HISTORIAL!$F$5:$F$2004,"Bilbo",HISTORIAL!$G$5:$G$2004,$B71))))</f>
        <v/>
      </c>
      <c r="F71" s="18" t="str">
        <f aca="false">IF($A71="","",IF(_xlfn.MINIFS(HISTORIAL!$A$5:$A$2004,HISTORIAL!$E$5:$E$2004,$A71,HISTORIAL!$F$5:$F$2004,"Bilbo",HISTORIAL!$G$5:$G$2004,$B71)=0,"",INDEX(HISTORIAL!$K$5:$K$2004,_xlfn.MINIFS(HISTORIAL!$A$5:$A$2004,HISTORIAL!$E$5:$E$2004,$A71,HISTORIAL!$F$5:$F$2004,"Bilbo",HISTORIAL!$G$5:$G$2004,$B71))))</f>
        <v/>
      </c>
      <c r="G71" s="28" t="str">
        <f aca="false">IF($A71="","",IF(_xlfn.MAXIFS(HISTORIAL!$A$5:$A$2004,HISTORIAL!$E$5:$E$2004,$A71,HISTORIAL!$F$5:$F$2004,"Bilbo",HISTORIAL!$G$5:$G$2004,$B71)=0,"",INDEX(HISTORIAL!$B$5:$B$2004,_xlfn.MAXIFS(HISTORIAL!$A$5:$A$2004,HISTORIAL!$E$5:$E$2004,$A71,HISTORIAL!$F$5:$F$2004,"Bilbo",HISTORIAL!$G$5:$G$2004,$B71))))</f>
        <v/>
      </c>
      <c r="H71" s="27" t="str">
        <f aca="false">IF($A71="","",IF(_xlfn.MAXIFS(HISTORIAL!$A$5:$A$2004,HISTORIAL!$E$5:$E$2004,$A71,HISTORIAL!$F$5:$F$2004,"Bilbo",HISTORIAL!$G$5:$G$2004,$B71)=0,"",INDEX(HISTORIAL!$J$5:$J$2004,_xlfn.MAXIFS(HISTORIAL!$A$5:$A$2004,HISTORIAL!$E$5:$E$2004,$A71,HISTORIAL!$F$5:$F$2004,"Bilbo",HISTORIAL!$G$5:$G$2004,$B71))))</f>
        <v/>
      </c>
      <c r="I71" s="18" t="str">
        <f aca="false">IF($A71="","",IF(_xlfn.MAXIFS(HISTORIAL!$A$5:$A$2004,HISTORIAL!$E$5:$E$2004,$A71,HISTORIAL!$F$5:$F$2004,"Bilbo",HISTORIAL!$G$5:$G$2004,$B71)=0,"",INDEX(HISTORIAL!$K$5:$K$2004,_xlfn.MAXIFS(HISTORIAL!$A$5:$A$2004,HISTORIAL!$E$5:$E$2004,$A71,HISTORIAL!$F$5:$F$2004,"Bilbo",HISTORIAL!$G$5:$G$2004,$B71))))</f>
        <v/>
      </c>
      <c r="J71" s="18" t="str">
        <f aca="false">IF($A71="","",COUNTIFS(HISTORIAL!$E$5:$E$2004,$A71,HISTORIAL!$F$5:$F$2004,"Bilbo",HISTORIAL!$G$5:$G$2004,$B71))</f>
        <v/>
      </c>
      <c r="K71" s="27" t="str">
        <f aca="false">IF($A71="","",IF(J71=0,"",_xlfn.MAXIFS(HISTORIAL!$J$5:$J$2004,HISTORIAL!$E$5:$E$2004,$A71,HISTORIAL!$F$5:$F$2004,"Bilbo",HISTORIAL!$G$5:$G$2004,$B71)))</f>
        <v/>
      </c>
      <c r="L71" s="18" t="str">
        <f aca="false">IF($A71="","",IF(J71=0,"",_xlfn.MAXIFS(HISTORIAL!$K$5:$K$2004,HISTORIAL!$E$5:$E$2004,$A71,HISTORIAL!$F$5:$F$2004,"Bilbo",HISTORIAL!$G$5:$G$2004,$B71,HISTORIAL!$J$5:$J$2004,K71)))</f>
        <v/>
      </c>
      <c r="M71" s="27" t="str">
        <f aca="false">IF($A71="","",IF(J71=0,"",_xlfn.MAXIFS(HISTORIAL!$T$5:$T$2004,HISTORIAL!$E$5:$E$2004,$A71,HISTORIAL!$F$5:$F$2004,"Bilbo",HISTORIAL!$G$5:$G$2004,$B71)))</f>
        <v/>
      </c>
      <c r="N71" s="27" t="str">
        <f aca="false">IF($A71="","",IF(J71=0,"",H71-E71))</f>
        <v/>
      </c>
      <c r="O71" s="27" t="str">
        <f aca="false">IF($A71="","",IF(COUNTIFS($A$6:$A$105,$A71,$B$6:$B$105,$B71-1)=0,"",SUMIFS($E$6:$E$105,$A$6:$A$105,$A71,$B$6:$B$105,$B71-1)))</f>
        <v/>
      </c>
      <c r="P71" s="18" t="str">
        <f aca="false">IF($A71="","",IF(OR(O71="",NOT(ISNUMBER(E71))),"—",IF(E71&gt;O71,"OK","ERROR: debe ser &gt; "&amp;O71)))</f>
        <v/>
      </c>
      <c r="Q71" s="18" t="str">
        <f aca="false">IF($A71="","",IF(OR(O71="",NOT(ISNUMBER(E71))),"",IF(_xlfn.MAXIFS(HISTORIAL!$K$5:$K$2004,HISTORIAL!$E$5:$E$2004,$A71,HISTORIAL!$F$5:$F$2004,"Bilbo",HISTORIAL!$G$5:$G$2004,$B71-1,HISTORIAL!$J$5:$J$2004,E71)=0,"sin dato comparable",_xlfn.MAXIFS(HISTORIAL!$K$5:$K$2004,HISTORIAL!$E$5:$E$2004,$A71,HISTORIAL!$F$5:$F$2004,"Bilbo",HISTORIAL!$G$5:$G$2004,$B71-1,HISTORIAL!$J$5:$J$2004,E71))))</f>
        <v/>
      </c>
      <c r="R71" s="18" t="str">
        <f aca="false">IF($A71="","",IF(AND(ISNUMBER(Q71),ISNUMBER(F71)),F71-Q71,""))</f>
        <v/>
      </c>
      <c r="S71" s="27" t="str">
        <f aca="false">IF($A71="","",SUMIFS(HISTORIAL!$R$5:$R$2004,HISTORIAL!$E$5:$E$2004,$A71,HISTORIAL!$F$5:$F$2004,"Bilbo",HISTORIAL!$G$5:$G$2004,$B71)+SUMIFS(HISTORIAL!$R$5:$R$2004,HISTORIAL!$E$5:$E$2004,$A71,HISTORIAL!$F$5:$F$2004,"Post-Bilbo",HISTORIAL!$G$5:$G$2004,$B71))</f>
        <v/>
      </c>
      <c r="T71" s="27" t="str">
        <f aca="false">IF($A71="","",IF(NOT(ISNUMBER(E71)),"",MAX(E71+INDEX(CONFIGURACIÓN!$H$42:$H$56,MATCH($A71,CONFIGURACIÓN!$B$42:$B$56,0)),-INT(-E71*(1+CONFIGURACIÓN!$C$17)/(INDEX(CONFIGURACIÓN!$H$42:$H$56,MATCH($A71,CONFIGURACIÓN!$B$42:$B$56,0))))*(INDEX(CONFIGURACIÓN!$H$42:$H$56,MATCH($A71,CONFIGURACIÓN!$B$42:$B$56,0))))))</f>
        <v/>
      </c>
      <c r="U71" s="13"/>
      <c r="V71" s="18" t="str">
        <f aca="false">IF($A71="","",IF(U71="","",IF(NOT(ISNUMBER(E71)),"sin carga inicial registrada",IF(U71&gt;E71,"OK","ERROR: debe ser &gt; "&amp;E71))))</f>
        <v/>
      </c>
      <c r="W71" s="11"/>
    </row>
    <row r="72" customFormat="false" ht="15" hidden="false" customHeight="true" outlineLevel="0" collapsed="false">
      <c r="A72" s="11"/>
      <c r="B72" s="11"/>
      <c r="C72" s="11"/>
      <c r="D72" s="28" t="str">
        <f aca="false">IF($A72="","",IF(_xlfn.MINIFS(HISTORIAL!$A$5:$A$2004,HISTORIAL!$E$5:$E$2004,$A72,HISTORIAL!$F$5:$F$2004,"Bilbo",HISTORIAL!$G$5:$G$2004,$B72)=0,"",INDEX(HISTORIAL!$B$5:$B$2004,_xlfn.MINIFS(HISTORIAL!$A$5:$A$2004,HISTORIAL!$E$5:$E$2004,$A72,HISTORIAL!$F$5:$F$2004,"Bilbo",HISTORIAL!$G$5:$G$2004,$B72))))</f>
        <v/>
      </c>
      <c r="E72" s="27" t="str">
        <f aca="false">IF($A72="","",IF(_xlfn.MINIFS(HISTORIAL!$A$5:$A$2004,HISTORIAL!$E$5:$E$2004,$A72,HISTORIAL!$F$5:$F$2004,"Bilbo",HISTORIAL!$G$5:$G$2004,$B72)=0,"",INDEX(HISTORIAL!$J$5:$J$2004,_xlfn.MINIFS(HISTORIAL!$A$5:$A$2004,HISTORIAL!$E$5:$E$2004,$A72,HISTORIAL!$F$5:$F$2004,"Bilbo",HISTORIAL!$G$5:$G$2004,$B72))))</f>
        <v/>
      </c>
      <c r="F72" s="18" t="str">
        <f aca="false">IF($A72="","",IF(_xlfn.MINIFS(HISTORIAL!$A$5:$A$2004,HISTORIAL!$E$5:$E$2004,$A72,HISTORIAL!$F$5:$F$2004,"Bilbo",HISTORIAL!$G$5:$G$2004,$B72)=0,"",INDEX(HISTORIAL!$K$5:$K$2004,_xlfn.MINIFS(HISTORIAL!$A$5:$A$2004,HISTORIAL!$E$5:$E$2004,$A72,HISTORIAL!$F$5:$F$2004,"Bilbo",HISTORIAL!$G$5:$G$2004,$B72))))</f>
        <v/>
      </c>
      <c r="G72" s="28" t="str">
        <f aca="false">IF($A72="","",IF(_xlfn.MAXIFS(HISTORIAL!$A$5:$A$2004,HISTORIAL!$E$5:$E$2004,$A72,HISTORIAL!$F$5:$F$2004,"Bilbo",HISTORIAL!$G$5:$G$2004,$B72)=0,"",INDEX(HISTORIAL!$B$5:$B$2004,_xlfn.MAXIFS(HISTORIAL!$A$5:$A$2004,HISTORIAL!$E$5:$E$2004,$A72,HISTORIAL!$F$5:$F$2004,"Bilbo",HISTORIAL!$G$5:$G$2004,$B72))))</f>
        <v/>
      </c>
      <c r="H72" s="27" t="str">
        <f aca="false">IF($A72="","",IF(_xlfn.MAXIFS(HISTORIAL!$A$5:$A$2004,HISTORIAL!$E$5:$E$2004,$A72,HISTORIAL!$F$5:$F$2004,"Bilbo",HISTORIAL!$G$5:$G$2004,$B72)=0,"",INDEX(HISTORIAL!$J$5:$J$2004,_xlfn.MAXIFS(HISTORIAL!$A$5:$A$2004,HISTORIAL!$E$5:$E$2004,$A72,HISTORIAL!$F$5:$F$2004,"Bilbo",HISTORIAL!$G$5:$G$2004,$B72))))</f>
        <v/>
      </c>
      <c r="I72" s="18" t="str">
        <f aca="false">IF($A72="","",IF(_xlfn.MAXIFS(HISTORIAL!$A$5:$A$2004,HISTORIAL!$E$5:$E$2004,$A72,HISTORIAL!$F$5:$F$2004,"Bilbo",HISTORIAL!$G$5:$G$2004,$B72)=0,"",INDEX(HISTORIAL!$K$5:$K$2004,_xlfn.MAXIFS(HISTORIAL!$A$5:$A$2004,HISTORIAL!$E$5:$E$2004,$A72,HISTORIAL!$F$5:$F$2004,"Bilbo",HISTORIAL!$G$5:$G$2004,$B72))))</f>
        <v/>
      </c>
      <c r="J72" s="18" t="str">
        <f aca="false">IF($A72="","",COUNTIFS(HISTORIAL!$E$5:$E$2004,$A72,HISTORIAL!$F$5:$F$2004,"Bilbo",HISTORIAL!$G$5:$G$2004,$B72))</f>
        <v/>
      </c>
      <c r="K72" s="27" t="str">
        <f aca="false">IF($A72="","",IF(J72=0,"",_xlfn.MAXIFS(HISTORIAL!$J$5:$J$2004,HISTORIAL!$E$5:$E$2004,$A72,HISTORIAL!$F$5:$F$2004,"Bilbo",HISTORIAL!$G$5:$G$2004,$B72)))</f>
        <v/>
      </c>
      <c r="L72" s="18" t="str">
        <f aca="false">IF($A72="","",IF(J72=0,"",_xlfn.MAXIFS(HISTORIAL!$K$5:$K$2004,HISTORIAL!$E$5:$E$2004,$A72,HISTORIAL!$F$5:$F$2004,"Bilbo",HISTORIAL!$G$5:$G$2004,$B72,HISTORIAL!$J$5:$J$2004,K72)))</f>
        <v/>
      </c>
      <c r="M72" s="27" t="str">
        <f aca="false">IF($A72="","",IF(J72=0,"",_xlfn.MAXIFS(HISTORIAL!$T$5:$T$2004,HISTORIAL!$E$5:$E$2004,$A72,HISTORIAL!$F$5:$F$2004,"Bilbo",HISTORIAL!$G$5:$G$2004,$B72)))</f>
        <v/>
      </c>
      <c r="N72" s="27" t="str">
        <f aca="false">IF($A72="","",IF(J72=0,"",H72-E72))</f>
        <v/>
      </c>
      <c r="O72" s="27" t="str">
        <f aca="false">IF($A72="","",IF(COUNTIFS($A$6:$A$105,$A72,$B$6:$B$105,$B72-1)=0,"",SUMIFS($E$6:$E$105,$A$6:$A$105,$A72,$B$6:$B$105,$B72-1)))</f>
        <v/>
      </c>
      <c r="P72" s="18" t="str">
        <f aca="false">IF($A72="","",IF(OR(O72="",NOT(ISNUMBER(E72))),"—",IF(E72&gt;O72,"OK","ERROR: debe ser &gt; "&amp;O72)))</f>
        <v/>
      </c>
      <c r="Q72" s="18" t="str">
        <f aca="false">IF($A72="","",IF(OR(O72="",NOT(ISNUMBER(E72))),"",IF(_xlfn.MAXIFS(HISTORIAL!$K$5:$K$2004,HISTORIAL!$E$5:$E$2004,$A72,HISTORIAL!$F$5:$F$2004,"Bilbo",HISTORIAL!$G$5:$G$2004,$B72-1,HISTORIAL!$J$5:$J$2004,E72)=0,"sin dato comparable",_xlfn.MAXIFS(HISTORIAL!$K$5:$K$2004,HISTORIAL!$E$5:$E$2004,$A72,HISTORIAL!$F$5:$F$2004,"Bilbo",HISTORIAL!$G$5:$G$2004,$B72-1,HISTORIAL!$J$5:$J$2004,E72))))</f>
        <v/>
      </c>
      <c r="R72" s="18" t="str">
        <f aca="false">IF($A72="","",IF(AND(ISNUMBER(Q72),ISNUMBER(F72)),F72-Q72,""))</f>
        <v/>
      </c>
      <c r="S72" s="27" t="str">
        <f aca="false">IF($A72="","",SUMIFS(HISTORIAL!$R$5:$R$2004,HISTORIAL!$E$5:$E$2004,$A72,HISTORIAL!$F$5:$F$2004,"Bilbo",HISTORIAL!$G$5:$G$2004,$B72)+SUMIFS(HISTORIAL!$R$5:$R$2004,HISTORIAL!$E$5:$E$2004,$A72,HISTORIAL!$F$5:$F$2004,"Post-Bilbo",HISTORIAL!$G$5:$G$2004,$B72))</f>
        <v/>
      </c>
      <c r="T72" s="27" t="str">
        <f aca="false">IF($A72="","",IF(NOT(ISNUMBER(E72)),"",MAX(E72+INDEX(CONFIGURACIÓN!$H$42:$H$56,MATCH($A72,CONFIGURACIÓN!$B$42:$B$56,0)),-INT(-E72*(1+CONFIGURACIÓN!$C$17)/(INDEX(CONFIGURACIÓN!$H$42:$H$56,MATCH($A72,CONFIGURACIÓN!$B$42:$B$56,0))))*(INDEX(CONFIGURACIÓN!$H$42:$H$56,MATCH($A72,CONFIGURACIÓN!$B$42:$B$56,0))))))</f>
        <v/>
      </c>
      <c r="U72" s="13"/>
      <c r="V72" s="18" t="str">
        <f aca="false">IF($A72="","",IF(U72="","",IF(NOT(ISNUMBER(E72)),"sin carga inicial registrada",IF(U72&gt;E72,"OK","ERROR: debe ser &gt; "&amp;E72))))</f>
        <v/>
      </c>
      <c r="W72" s="11"/>
    </row>
    <row r="73" customFormat="false" ht="15" hidden="false" customHeight="true" outlineLevel="0" collapsed="false">
      <c r="A73" s="11"/>
      <c r="B73" s="11"/>
      <c r="C73" s="11"/>
      <c r="D73" s="28" t="str">
        <f aca="false">IF($A73="","",IF(_xlfn.MINIFS(HISTORIAL!$A$5:$A$2004,HISTORIAL!$E$5:$E$2004,$A73,HISTORIAL!$F$5:$F$2004,"Bilbo",HISTORIAL!$G$5:$G$2004,$B73)=0,"",INDEX(HISTORIAL!$B$5:$B$2004,_xlfn.MINIFS(HISTORIAL!$A$5:$A$2004,HISTORIAL!$E$5:$E$2004,$A73,HISTORIAL!$F$5:$F$2004,"Bilbo",HISTORIAL!$G$5:$G$2004,$B73))))</f>
        <v/>
      </c>
      <c r="E73" s="27" t="str">
        <f aca="false">IF($A73="","",IF(_xlfn.MINIFS(HISTORIAL!$A$5:$A$2004,HISTORIAL!$E$5:$E$2004,$A73,HISTORIAL!$F$5:$F$2004,"Bilbo",HISTORIAL!$G$5:$G$2004,$B73)=0,"",INDEX(HISTORIAL!$J$5:$J$2004,_xlfn.MINIFS(HISTORIAL!$A$5:$A$2004,HISTORIAL!$E$5:$E$2004,$A73,HISTORIAL!$F$5:$F$2004,"Bilbo",HISTORIAL!$G$5:$G$2004,$B73))))</f>
        <v/>
      </c>
      <c r="F73" s="18" t="str">
        <f aca="false">IF($A73="","",IF(_xlfn.MINIFS(HISTORIAL!$A$5:$A$2004,HISTORIAL!$E$5:$E$2004,$A73,HISTORIAL!$F$5:$F$2004,"Bilbo",HISTORIAL!$G$5:$G$2004,$B73)=0,"",INDEX(HISTORIAL!$K$5:$K$2004,_xlfn.MINIFS(HISTORIAL!$A$5:$A$2004,HISTORIAL!$E$5:$E$2004,$A73,HISTORIAL!$F$5:$F$2004,"Bilbo",HISTORIAL!$G$5:$G$2004,$B73))))</f>
        <v/>
      </c>
      <c r="G73" s="28" t="str">
        <f aca="false">IF($A73="","",IF(_xlfn.MAXIFS(HISTORIAL!$A$5:$A$2004,HISTORIAL!$E$5:$E$2004,$A73,HISTORIAL!$F$5:$F$2004,"Bilbo",HISTORIAL!$G$5:$G$2004,$B73)=0,"",INDEX(HISTORIAL!$B$5:$B$2004,_xlfn.MAXIFS(HISTORIAL!$A$5:$A$2004,HISTORIAL!$E$5:$E$2004,$A73,HISTORIAL!$F$5:$F$2004,"Bilbo",HISTORIAL!$G$5:$G$2004,$B73))))</f>
        <v/>
      </c>
      <c r="H73" s="27" t="str">
        <f aca="false">IF($A73="","",IF(_xlfn.MAXIFS(HISTORIAL!$A$5:$A$2004,HISTORIAL!$E$5:$E$2004,$A73,HISTORIAL!$F$5:$F$2004,"Bilbo",HISTORIAL!$G$5:$G$2004,$B73)=0,"",INDEX(HISTORIAL!$J$5:$J$2004,_xlfn.MAXIFS(HISTORIAL!$A$5:$A$2004,HISTORIAL!$E$5:$E$2004,$A73,HISTORIAL!$F$5:$F$2004,"Bilbo",HISTORIAL!$G$5:$G$2004,$B73))))</f>
        <v/>
      </c>
      <c r="I73" s="18" t="str">
        <f aca="false">IF($A73="","",IF(_xlfn.MAXIFS(HISTORIAL!$A$5:$A$2004,HISTORIAL!$E$5:$E$2004,$A73,HISTORIAL!$F$5:$F$2004,"Bilbo",HISTORIAL!$G$5:$G$2004,$B73)=0,"",INDEX(HISTORIAL!$K$5:$K$2004,_xlfn.MAXIFS(HISTORIAL!$A$5:$A$2004,HISTORIAL!$E$5:$E$2004,$A73,HISTORIAL!$F$5:$F$2004,"Bilbo",HISTORIAL!$G$5:$G$2004,$B73))))</f>
        <v/>
      </c>
      <c r="J73" s="18" t="str">
        <f aca="false">IF($A73="","",COUNTIFS(HISTORIAL!$E$5:$E$2004,$A73,HISTORIAL!$F$5:$F$2004,"Bilbo",HISTORIAL!$G$5:$G$2004,$B73))</f>
        <v/>
      </c>
      <c r="K73" s="27" t="str">
        <f aca="false">IF($A73="","",IF(J73=0,"",_xlfn.MAXIFS(HISTORIAL!$J$5:$J$2004,HISTORIAL!$E$5:$E$2004,$A73,HISTORIAL!$F$5:$F$2004,"Bilbo",HISTORIAL!$G$5:$G$2004,$B73)))</f>
        <v/>
      </c>
      <c r="L73" s="18" t="str">
        <f aca="false">IF($A73="","",IF(J73=0,"",_xlfn.MAXIFS(HISTORIAL!$K$5:$K$2004,HISTORIAL!$E$5:$E$2004,$A73,HISTORIAL!$F$5:$F$2004,"Bilbo",HISTORIAL!$G$5:$G$2004,$B73,HISTORIAL!$J$5:$J$2004,K73)))</f>
        <v/>
      </c>
      <c r="M73" s="27" t="str">
        <f aca="false">IF($A73="","",IF(J73=0,"",_xlfn.MAXIFS(HISTORIAL!$T$5:$T$2004,HISTORIAL!$E$5:$E$2004,$A73,HISTORIAL!$F$5:$F$2004,"Bilbo",HISTORIAL!$G$5:$G$2004,$B73)))</f>
        <v/>
      </c>
      <c r="N73" s="27" t="str">
        <f aca="false">IF($A73="","",IF(J73=0,"",H73-E73))</f>
        <v/>
      </c>
      <c r="O73" s="27" t="str">
        <f aca="false">IF($A73="","",IF(COUNTIFS($A$6:$A$105,$A73,$B$6:$B$105,$B73-1)=0,"",SUMIFS($E$6:$E$105,$A$6:$A$105,$A73,$B$6:$B$105,$B73-1)))</f>
        <v/>
      </c>
      <c r="P73" s="18" t="str">
        <f aca="false">IF($A73="","",IF(OR(O73="",NOT(ISNUMBER(E73))),"—",IF(E73&gt;O73,"OK","ERROR: debe ser &gt; "&amp;O73)))</f>
        <v/>
      </c>
      <c r="Q73" s="18" t="str">
        <f aca="false">IF($A73="","",IF(OR(O73="",NOT(ISNUMBER(E73))),"",IF(_xlfn.MAXIFS(HISTORIAL!$K$5:$K$2004,HISTORIAL!$E$5:$E$2004,$A73,HISTORIAL!$F$5:$F$2004,"Bilbo",HISTORIAL!$G$5:$G$2004,$B73-1,HISTORIAL!$J$5:$J$2004,E73)=0,"sin dato comparable",_xlfn.MAXIFS(HISTORIAL!$K$5:$K$2004,HISTORIAL!$E$5:$E$2004,$A73,HISTORIAL!$F$5:$F$2004,"Bilbo",HISTORIAL!$G$5:$G$2004,$B73-1,HISTORIAL!$J$5:$J$2004,E73))))</f>
        <v/>
      </c>
      <c r="R73" s="18" t="str">
        <f aca="false">IF($A73="","",IF(AND(ISNUMBER(Q73),ISNUMBER(F73)),F73-Q73,""))</f>
        <v/>
      </c>
      <c r="S73" s="27" t="str">
        <f aca="false">IF($A73="","",SUMIFS(HISTORIAL!$R$5:$R$2004,HISTORIAL!$E$5:$E$2004,$A73,HISTORIAL!$F$5:$F$2004,"Bilbo",HISTORIAL!$G$5:$G$2004,$B73)+SUMIFS(HISTORIAL!$R$5:$R$2004,HISTORIAL!$E$5:$E$2004,$A73,HISTORIAL!$F$5:$F$2004,"Post-Bilbo",HISTORIAL!$G$5:$G$2004,$B73))</f>
        <v/>
      </c>
      <c r="T73" s="27" t="str">
        <f aca="false">IF($A73="","",IF(NOT(ISNUMBER(E73)),"",MAX(E73+INDEX(CONFIGURACIÓN!$H$42:$H$56,MATCH($A73,CONFIGURACIÓN!$B$42:$B$56,0)),-INT(-E73*(1+CONFIGURACIÓN!$C$17)/(INDEX(CONFIGURACIÓN!$H$42:$H$56,MATCH($A73,CONFIGURACIÓN!$B$42:$B$56,0))))*(INDEX(CONFIGURACIÓN!$H$42:$H$56,MATCH($A73,CONFIGURACIÓN!$B$42:$B$56,0))))))</f>
        <v/>
      </c>
      <c r="U73" s="13"/>
      <c r="V73" s="18" t="str">
        <f aca="false">IF($A73="","",IF(U73="","",IF(NOT(ISNUMBER(E73)),"sin carga inicial registrada",IF(U73&gt;E73,"OK","ERROR: debe ser &gt; "&amp;E73))))</f>
        <v/>
      </c>
      <c r="W73" s="11"/>
    </row>
    <row r="74" customFormat="false" ht="15" hidden="false" customHeight="true" outlineLevel="0" collapsed="false">
      <c r="A74" s="11"/>
      <c r="B74" s="11"/>
      <c r="C74" s="11"/>
      <c r="D74" s="28" t="str">
        <f aca="false">IF($A74="","",IF(_xlfn.MINIFS(HISTORIAL!$A$5:$A$2004,HISTORIAL!$E$5:$E$2004,$A74,HISTORIAL!$F$5:$F$2004,"Bilbo",HISTORIAL!$G$5:$G$2004,$B74)=0,"",INDEX(HISTORIAL!$B$5:$B$2004,_xlfn.MINIFS(HISTORIAL!$A$5:$A$2004,HISTORIAL!$E$5:$E$2004,$A74,HISTORIAL!$F$5:$F$2004,"Bilbo",HISTORIAL!$G$5:$G$2004,$B74))))</f>
        <v/>
      </c>
      <c r="E74" s="27" t="str">
        <f aca="false">IF($A74="","",IF(_xlfn.MINIFS(HISTORIAL!$A$5:$A$2004,HISTORIAL!$E$5:$E$2004,$A74,HISTORIAL!$F$5:$F$2004,"Bilbo",HISTORIAL!$G$5:$G$2004,$B74)=0,"",INDEX(HISTORIAL!$J$5:$J$2004,_xlfn.MINIFS(HISTORIAL!$A$5:$A$2004,HISTORIAL!$E$5:$E$2004,$A74,HISTORIAL!$F$5:$F$2004,"Bilbo",HISTORIAL!$G$5:$G$2004,$B74))))</f>
        <v/>
      </c>
      <c r="F74" s="18" t="str">
        <f aca="false">IF($A74="","",IF(_xlfn.MINIFS(HISTORIAL!$A$5:$A$2004,HISTORIAL!$E$5:$E$2004,$A74,HISTORIAL!$F$5:$F$2004,"Bilbo",HISTORIAL!$G$5:$G$2004,$B74)=0,"",INDEX(HISTORIAL!$K$5:$K$2004,_xlfn.MINIFS(HISTORIAL!$A$5:$A$2004,HISTORIAL!$E$5:$E$2004,$A74,HISTORIAL!$F$5:$F$2004,"Bilbo",HISTORIAL!$G$5:$G$2004,$B74))))</f>
        <v/>
      </c>
      <c r="G74" s="28" t="str">
        <f aca="false">IF($A74="","",IF(_xlfn.MAXIFS(HISTORIAL!$A$5:$A$2004,HISTORIAL!$E$5:$E$2004,$A74,HISTORIAL!$F$5:$F$2004,"Bilbo",HISTORIAL!$G$5:$G$2004,$B74)=0,"",INDEX(HISTORIAL!$B$5:$B$2004,_xlfn.MAXIFS(HISTORIAL!$A$5:$A$2004,HISTORIAL!$E$5:$E$2004,$A74,HISTORIAL!$F$5:$F$2004,"Bilbo",HISTORIAL!$G$5:$G$2004,$B74))))</f>
        <v/>
      </c>
      <c r="H74" s="27" t="str">
        <f aca="false">IF($A74="","",IF(_xlfn.MAXIFS(HISTORIAL!$A$5:$A$2004,HISTORIAL!$E$5:$E$2004,$A74,HISTORIAL!$F$5:$F$2004,"Bilbo",HISTORIAL!$G$5:$G$2004,$B74)=0,"",INDEX(HISTORIAL!$J$5:$J$2004,_xlfn.MAXIFS(HISTORIAL!$A$5:$A$2004,HISTORIAL!$E$5:$E$2004,$A74,HISTORIAL!$F$5:$F$2004,"Bilbo",HISTORIAL!$G$5:$G$2004,$B74))))</f>
        <v/>
      </c>
      <c r="I74" s="18" t="str">
        <f aca="false">IF($A74="","",IF(_xlfn.MAXIFS(HISTORIAL!$A$5:$A$2004,HISTORIAL!$E$5:$E$2004,$A74,HISTORIAL!$F$5:$F$2004,"Bilbo",HISTORIAL!$G$5:$G$2004,$B74)=0,"",INDEX(HISTORIAL!$K$5:$K$2004,_xlfn.MAXIFS(HISTORIAL!$A$5:$A$2004,HISTORIAL!$E$5:$E$2004,$A74,HISTORIAL!$F$5:$F$2004,"Bilbo",HISTORIAL!$G$5:$G$2004,$B74))))</f>
        <v/>
      </c>
      <c r="J74" s="18" t="str">
        <f aca="false">IF($A74="","",COUNTIFS(HISTORIAL!$E$5:$E$2004,$A74,HISTORIAL!$F$5:$F$2004,"Bilbo",HISTORIAL!$G$5:$G$2004,$B74))</f>
        <v/>
      </c>
      <c r="K74" s="27" t="str">
        <f aca="false">IF($A74="","",IF(J74=0,"",_xlfn.MAXIFS(HISTORIAL!$J$5:$J$2004,HISTORIAL!$E$5:$E$2004,$A74,HISTORIAL!$F$5:$F$2004,"Bilbo",HISTORIAL!$G$5:$G$2004,$B74)))</f>
        <v/>
      </c>
      <c r="L74" s="18" t="str">
        <f aca="false">IF($A74="","",IF(J74=0,"",_xlfn.MAXIFS(HISTORIAL!$K$5:$K$2004,HISTORIAL!$E$5:$E$2004,$A74,HISTORIAL!$F$5:$F$2004,"Bilbo",HISTORIAL!$G$5:$G$2004,$B74,HISTORIAL!$J$5:$J$2004,K74)))</f>
        <v/>
      </c>
      <c r="M74" s="27" t="str">
        <f aca="false">IF($A74="","",IF(J74=0,"",_xlfn.MAXIFS(HISTORIAL!$T$5:$T$2004,HISTORIAL!$E$5:$E$2004,$A74,HISTORIAL!$F$5:$F$2004,"Bilbo",HISTORIAL!$G$5:$G$2004,$B74)))</f>
        <v/>
      </c>
      <c r="N74" s="27" t="str">
        <f aca="false">IF($A74="","",IF(J74=0,"",H74-E74))</f>
        <v/>
      </c>
      <c r="O74" s="27" t="str">
        <f aca="false">IF($A74="","",IF(COUNTIFS($A$6:$A$105,$A74,$B$6:$B$105,$B74-1)=0,"",SUMIFS($E$6:$E$105,$A$6:$A$105,$A74,$B$6:$B$105,$B74-1)))</f>
        <v/>
      </c>
      <c r="P74" s="18" t="str">
        <f aca="false">IF($A74="","",IF(OR(O74="",NOT(ISNUMBER(E74))),"—",IF(E74&gt;O74,"OK","ERROR: debe ser &gt; "&amp;O74)))</f>
        <v/>
      </c>
      <c r="Q74" s="18" t="str">
        <f aca="false">IF($A74="","",IF(OR(O74="",NOT(ISNUMBER(E74))),"",IF(_xlfn.MAXIFS(HISTORIAL!$K$5:$K$2004,HISTORIAL!$E$5:$E$2004,$A74,HISTORIAL!$F$5:$F$2004,"Bilbo",HISTORIAL!$G$5:$G$2004,$B74-1,HISTORIAL!$J$5:$J$2004,E74)=0,"sin dato comparable",_xlfn.MAXIFS(HISTORIAL!$K$5:$K$2004,HISTORIAL!$E$5:$E$2004,$A74,HISTORIAL!$F$5:$F$2004,"Bilbo",HISTORIAL!$G$5:$G$2004,$B74-1,HISTORIAL!$J$5:$J$2004,E74))))</f>
        <v/>
      </c>
      <c r="R74" s="18" t="str">
        <f aca="false">IF($A74="","",IF(AND(ISNUMBER(Q74),ISNUMBER(F74)),F74-Q74,""))</f>
        <v/>
      </c>
      <c r="S74" s="27" t="str">
        <f aca="false">IF($A74="","",SUMIFS(HISTORIAL!$R$5:$R$2004,HISTORIAL!$E$5:$E$2004,$A74,HISTORIAL!$F$5:$F$2004,"Bilbo",HISTORIAL!$G$5:$G$2004,$B74)+SUMIFS(HISTORIAL!$R$5:$R$2004,HISTORIAL!$E$5:$E$2004,$A74,HISTORIAL!$F$5:$F$2004,"Post-Bilbo",HISTORIAL!$G$5:$G$2004,$B74))</f>
        <v/>
      </c>
      <c r="T74" s="27" t="str">
        <f aca="false">IF($A74="","",IF(NOT(ISNUMBER(E74)),"",MAX(E74+INDEX(CONFIGURACIÓN!$H$42:$H$56,MATCH($A74,CONFIGURACIÓN!$B$42:$B$56,0)),-INT(-E74*(1+CONFIGURACIÓN!$C$17)/(INDEX(CONFIGURACIÓN!$H$42:$H$56,MATCH($A74,CONFIGURACIÓN!$B$42:$B$56,0))))*(INDEX(CONFIGURACIÓN!$H$42:$H$56,MATCH($A74,CONFIGURACIÓN!$B$42:$B$56,0))))))</f>
        <v/>
      </c>
      <c r="U74" s="13"/>
      <c r="V74" s="18" t="str">
        <f aca="false">IF($A74="","",IF(U74="","",IF(NOT(ISNUMBER(E74)),"sin carga inicial registrada",IF(U74&gt;E74,"OK","ERROR: debe ser &gt; "&amp;E74))))</f>
        <v/>
      </c>
      <c r="W74" s="11"/>
    </row>
    <row r="75" customFormat="false" ht="15" hidden="false" customHeight="true" outlineLevel="0" collapsed="false">
      <c r="A75" s="11"/>
      <c r="B75" s="11"/>
      <c r="C75" s="11"/>
      <c r="D75" s="28" t="str">
        <f aca="false">IF($A75="","",IF(_xlfn.MINIFS(HISTORIAL!$A$5:$A$2004,HISTORIAL!$E$5:$E$2004,$A75,HISTORIAL!$F$5:$F$2004,"Bilbo",HISTORIAL!$G$5:$G$2004,$B75)=0,"",INDEX(HISTORIAL!$B$5:$B$2004,_xlfn.MINIFS(HISTORIAL!$A$5:$A$2004,HISTORIAL!$E$5:$E$2004,$A75,HISTORIAL!$F$5:$F$2004,"Bilbo",HISTORIAL!$G$5:$G$2004,$B75))))</f>
        <v/>
      </c>
      <c r="E75" s="27" t="str">
        <f aca="false">IF($A75="","",IF(_xlfn.MINIFS(HISTORIAL!$A$5:$A$2004,HISTORIAL!$E$5:$E$2004,$A75,HISTORIAL!$F$5:$F$2004,"Bilbo",HISTORIAL!$G$5:$G$2004,$B75)=0,"",INDEX(HISTORIAL!$J$5:$J$2004,_xlfn.MINIFS(HISTORIAL!$A$5:$A$2004,HISTORIAL!$E$5:$E$2004,$A75,HISTORIAL!$F$5:$F$2004,"Bilbo",HISTORIAL!$G$5:$G$2004,$B75))))</f>
        <v/>
      </c>
      <c r="F75" s="18" t="str">
        <f aca="false">IF($A75="","",IF(_xlfn.MINIFS(HISTORIAL!$A$5:$A$2004,HISTORIAL!$E$5:$E$2004,$A75,HISTORIAL!$F$5:$F$2004,"Bilbo",HISTORIAL!$G$5:$G$2004,$B75)=0,"",INDEX(HISTORIAL!$K$5:$K$2004,_xlfn.MINIFS(HISTORIAL!$A$5:$A$2004,HISTORIAL!$E$5:$E$2004,$A75,HISTORIAL!$F$5:$F$2004,"Bilbo",HISTORIAL!$G$5:$G$2004,$B75))))</f>
        <v/>
      </c>
      <c r="G75" s="28" t="str">
        <f aca="false">IF($A75="","",IF(_xlfn.MAXIFS(HISTORIAL!$A$5:$A$2004,HISTORIAL!$E$5:$E$2004,$A75,HISTORIAL!$F$5:$F$2004,"Bilbo",HISTORIAL!$G$5:$G$2004,$B75)=0,"",INDEX(HISTORIAL!$B$5:$B$2004,_xlfn.MAXIFS(HISTORIAL!$A$5:$A$2004,HISTORIAL!$E$5:$E$2004,$A75,HISTORIAL!$F$5:$F$2004,"Bilbo",HISTORIAL!$G$5:$G$2004,$B75))))</f>
        <v/>
      </c>
      <c r="H75" s="27" t="str">
        <f aca="false">IF($A75="","",IF(_xlfn.MAXIFS(HISTORIAL!$A$5:$A$2004,HISTORIAL!$E$5:$E$2004,$A75,HISTORIAL!$F$5:$F$2004,"Bilbo",HISTORIAL!$G$5:$G$2004,$B75)=0,"",INDEX(HISTORIAL!$J$5:$J$2004,_xlfn.MAXIFS(HISTORIAL!$A$5:$A$2004,HISTORIAL!$E$5:$E$2004,$A75,HISTORIAL!$F$5:$F$2004,"Bilbo",HISTORIAL!$G$5:$G$2004,$B75))))</f>
        <v/>
      </c>
      <c r="I75" s="18" t="str">
        <f aca="false">IF($A75="","",IF(_xlfn.MAXIFS(HISTORIAL!$A$5:$A$2004,HISTORIAL!$E$5:$E$2004,$A75,HISTORIAL!$F$5:$F$2004,"Bilbo",HISTORIAL!$G$5:$G$2004,$B75)=0,"",INDEX(HISTORIAL!$K$5:$K$2004,_xlfn.MAXIFS(HISTORIAL!$A$5:$A$2004,HISTORIAL!$E$5:$E$2004,$A75,HISTORIAL!$F$5:$F$2004,"Bilbo",HISTORIAL!$G$5:$G$2004,$B75))))</f>
        <v/>
      </c>
      <c r="J75" s="18" t="str">
        <f aca="false">IF($A75="","",COUNTIFS(HISTORIAL!$E$5:$E$2004,$A75,HISTORIAL!$F$5:$F$2004,"Bilbo",HISTORIAL!$G$5:$G$2004,$B75))</f>
        <v/>
      </c>
      <c r="K75" s="27" t="str">
        <f aca="false">IF($A75="","",IF(J75=0,"",_xlfn.MAXIFS(HISTORIAL!$J$5:$J$2004,HISTORIAL!$E$5:$E$2004,$A75,HISTORIAL!$F$5:$F$2004,"Bilbo",HISTORIAL!$G$5:$G$2004,$B75)))</f>
        <v/>
      </c>
      <c r="L75" s="18" t="str">
        <f aca="false">IF($A75="","",IF(J75=0,"",_xlfn.MAXIFS(HISTORIAL!$K$5:$K$2004,HISTORIAL!$E$5:$E$2004,$A75,HISTORIAL!$F$5:$F$2004,"Bilbo",HISTORIAL!$G$5:$G$2004,$B75,HISTORIAL!$J$5:$J$2004,K75)))</f>
        <v/>
      </c>
      <c r="M75" s="27" t="str">
        <f aca="false">IF($A75="","",IF(J75=0,"",_xlfn.MAXIFS(HISTORIAL!$T$5:$T$2004,HISTORIAL!$E$5:$E$2004,$A75,HISTORIAL!$F$5:$F$2004,"Bilbo",HISTORIAL!$G$5:$G$2004,$B75)))</f>
        <v/>
      </c>
      <c r="N75" s="27" t="str">
        <f aca="false">IF($A75="","",IF(J75=0,"",H75-E75))</f>
        <v/>
      </c>
      <c r="O75" s="27" t="str">
        <f aca="false">IF($A75="","",IF(COUNTIFS($A$6:$A$105,$A75,$B$6:$B$105,$B75-1)=0,"",SUMIFS($E$6:$E$105,$A$6:$A$105,$A75,$B$6:$B$105,$B75-1)))</f>
        <v/>
      </c>
      <c r="P75" s="18" t="str">
        <f aca="false">IF($A75="","",IF(OR(O75="",NOT(ISNUMBER(E75))),"—",IF(E75&gt;O75,"OK","ERROR: debe ser &gt; "&amp;O75)))</f>
        <v/>
      </c>
      <c r="Q75" s="18" t="str">
        <f aca="false">IF($A75="","",IF(OR(O75="",NOT(ISNUMBER(E75))),"",IF(_xlfn.MAXIFS(HISTORIAL!$K$5:$K$2004,HISTORIAL!$E$5:$E$2004,$A75,HISTORIAL!$F$5:$F$2004,"Bilbo",HISTORIAL!$G$5:$G$2004,$B75-1,HISTORIAL!$J$5:$J$2004,E75)=0,"sin dato comparable",_xlfn.MAXIFS(HISTORIAL!$K$5:$K$2004,HISTORIAL!$E$5:$E$2004,$A75,HISTORIAL!$F$5:$F$2004,"Bilbo",HISTORIAL!$G$5:$G$2004,$B75-1,HISTORIAL!$J$5:$J$2004,E75))))</f>
        <v/>
      </c>
      <c r="R75" s="18" t="str">
        <f aca="false">IF($A75="","",IF(AND(ISNUMBER(Q75),ISNUMBER(F75)),F75-Q75,""))</f>
        <v/>
      </c>
      <c r="S75" s="27" t="str">
        <f aca="false">IF($A75="","",SUMIFS(HISTORIAL!$R$5:$R$2004,HISTORIAL!$E$5:$E$2004,$A75,HISTORIAL!$F$5:$F$2004,"Bilbo",HISTORIAL!$G$5:$G$2004,$B75)+SUMIFS(HISTORIAL!$R$5:$R$2004,HISTORIAL!$E$5:$E$2004,$A75,HISTORIAL!$F$5:$F$2004,"Post-Bilbo",HISTORIAL!$G$5:$G$2004,$B75))</f>
        <v/>
      </c>
      <c r="T75" s="27" t="str">
        <f aca="false">IF($A75="","",IF(NOT(ISNUMBER(E75)),"",MAX(E75+INDEX(CONFIGURACIÓN!$H$42:$H$56,MATCH($A75,CONFIGURACIÓN!$B$42:$B$56,0)),-INT(-E75*(1+CONFIGURACIÓN!$C$17)/(INDEX(CONFIGURACIÓN!$H$42:$H$56,MATCH($A75,CONFIGURACIÓN!$B$42:$B$56,0))))*(INDEX(CONFIGURACIÓN!$H$42:$H$56,MATCH($A75,CONFIGURACIÓN!$B$42:$B$56,0))))))</f>
        <v/>
      </c>
      <c r="U75" s="13"/>
      <c r="V75" s="18" t="str">
        <f aca="false">IF($A75="","",IF(U75="","",IF(NOT(ISNUMBER(E75)),"sin carga inicial registrada",IF(U75&gt;E75,"OK","ERROR: debe ser &gt; "&amp;E75))))</f>
        <v/>
      </c>
      <c r="W75" s="11"/>
    </row>
    <row r="76" customFormat="false" ht="15" hidden="false" customHeight="true" outlineLevel="0" collapsed="false">
      <c r="A76" s="11"/>
      <c r="B76" s="11"/>
      <c r="C76" s="11"/>
      <c r="D76" s="28" t="str">
        <f aca="false">IF($A76="","",IF(_xlfn.MINIFS(HISTORIAL!$A$5:$A$2004,HISTORIAL!$E$5:$E$2004,$A76,HISTORIAL!$F$5:$F$2004,"Bilbo",HISTORIAL!$G$5:$G$2004,$B76)=0,"",INDEX(HISTORIAL!$B$5:$B$2004,_xlfn.MINIFS(HISTORIAL!$A$5:$A$2004,HISTORIAL!$E$5:$E$2004,$A76,HISTORIAL!$F$5:$F$2004,"Bilbo",HISTORIAL!$G$5:$G$2004,$B76))))</f>
        <v/>
      </c>
      <c r="E76" s="27" t="str">
        <f aca="false">IF($A76="","",IF(_xlfn.MINIFS(HISTORIAL!$A$5:$A$2004,HISTORIAL!$E$5:$E$2004,$A76,HISTORIAL!$F$5:$F$2004,"Bilbo",HISTORIAL!$G$5:$G$2004,$B76)=0,"",INDEX(HISTORIAL!$J$5:$J$2004,_xlfn.MINIFS(HISTORIAL!$A$5:$A$2004,HISTORIAL!$E$5:$E$2004,$A76,HISTORIAL!$F$5:$F$2004,"Bilbo",HISTORIAL!$G$5:$G$2004,$B76))))</f>
        <v/>
      </c>
      <c r="F76" s="18" t="str">
        <f aca="false">IF($A76="","",IF(_xlfn.MINIFS(HISTORIAL!$A$5:$A$2004,HISTORIAL!$E$5:$E$2004,$A76,HISTORIAL!$F$5:$F$2004,"Bilbo",HISTORIAL!$G$5:$G$2004,$B76)=0,"",INDEX(HISTORIAL!$K$5:$K$2004,_xlfn.MINIFS(HISTORIAL!$A$5:$A$2004,HISTORIAL!$E$5:$E$2004,$A76,HISTORIAL!$F$5:$F$2004,"Bilbo",HISTORIAL!$G$5:$G$2004,$B76))))</f>
        <v/>
      </c>
      <c r="G76" s="28" t="str">
        <f aca="false">IF($A76="","",IF(_xlfn.MAXIFS(HISTORIAL!$A$5:$A$2004,HISTORIAL!$E$5:$E$2004,$A76,HISTORIAL!$F$5:$F$2004,"Bilbo",HISTORIAL!$G$5:$G$2004,$B76)=0,"",INDEX(HISTORIAL!$B$5:$B$2004,_xlfn.MAXIFS(HISTORIAL!$A$5:$A$2004,HISTORIAL!$E$5:$E$2004,$A76,HISTORIAL!$F$5:$F$2004,"Bilbo",HISTORIAL!$G$5:$G$2004,$B76))))</f>
        <v/>
      </c>
      <c r="H76" s="27" t="str">
        <f aca="false">IF($A76="","",IF(_xlfn.MAXIFS(HISTORIAL!$A$5:$A$2004,HISTORIAL!$E$5:$E$2004,$A76,HISTORIAL!$F$5:$F$2004,"Bilbo",HISTORIAL!$G$5:$G$2004,$B76)=0,"",INDEX(HISTORIAL!$J$5:$J$2004,_xlfn.MAXIFS(HISTORIAL!$A$5:$A$2004,HISTORIAL!$E$5:$E$2004,$A76,HISTORIAL!$F$5:$F$2004,"Bilbo",HISTORIAL!$G$5:$G$2004,$B76))))</f>
        <v/>
      </c>
      <c r="I76" s="18" t="str">
        <f aca="false">IF($A76="","",IF(_xlfn.MAXIFS(HISTORIAL!$A$5:$A$2004,HISTORIAL!$E$5:$E$2004,$A76,HISTORIAL!$F$5:$F$2004,"Bilbo",HISTORIAL!$G$5:$G$2004,$B76)=0,"",INDEX(HISTORIAL!$K$5:$K$2004,_xlfn.MAXIFS(HISTORIAL!$A$5:$A$2004,HISTORIAL!$E$5:$E$2004,$A76,HISTORIAL!$F$5:$F$2004,"Bilbo",HISTORIAL!$G$5:$G$2004,$B76))))</f>
        <v/>
      </c>
      <c r="J76" s="18" t="str">
        <f aca="false">IF($A76="","",COUNTIFS(HISTORIAL!$E$5:$E$2004,$A76,HISTORIAL!$F$5:$F$2004,"Bilbo",HISTORIAL!$G$5:$G$2004,$B76))</f>
        <v/>
      </c>
      <c r="K76" s="27" t="str">
        <f aca="false">IF($A76="","",IF(J76=0,"",_xlfn.MAXIFS(HISTORIAL!$J$5:$J$2004,HISTORIAL!$E$5:$E$2004,$A76,HISTORIAL!$F$5:$F$2004,"Bilbo",HISTORIAL!$G$5:$G$2004,$B76)))</f>
        <v/>
      </c>
      <c r="L76" s="18" t="str">
        <f aca="false">IF($A76="","",IF(J76=0,"",_xlfn.MAXIFS(HISTORIAL!$K$5:$K$2004,HISTORIAL!$E$5:$E$2004,$A76,HISTORIAL!$F$5:$F$2004,"Bilbo",HISTORIAL!$G$5:$G$2004,$B76,HISTORIAL!$J$5:$J$2004,K76)))</f>
        <v/>
      </c>
      <c r="M76" s="27" t="str">
        <f aca="false">IF($A76="","",IF(J76=0,"",_xlfn.MAXIFS(HISTORIAL!$T$5:$T$2004,HISTORIAL!$E$5:$E$2004,$A76,HISTORIAL!$F$5:$F$2004,"Bilbo",HISTORIAL!$G$5:$G$2004,$B76)))</f>
        <v/>
      </c>
      <c r="N76" s="27" t="str">
        <f aca="false">IF($A76="","",IF(J76=0,"",H76-E76))</f>
        <v/>
      </c>
      <c r="O76" s="27" t="str">
        <f aca="false">IF($A76="","",IF(COUNTIFS($A$6:$A$105,$A76,$B$6:$B$105,$B76-1)=0,"",SUMIFS($E$6:$E$105,$A$6:$A$105,$A76,$B$6:$B$105,$B76-1)))</f>
        <v/>
      </c>
      <c r="P76" s="18" t="str">
        <f aca="false">IF($A76="","",IF(OR(O76="",NOT(ISNUMBER(E76))),"—",IF(E76&gt;O76,"OK","ERROR: debe ser &gt; "&amp;O76)))</f>
        <v/>
      </c>
      <c r="Q76" s="18" t="str">
        <f aca="false">IF($A76="","",IF(OR(O76="",NOT(ISNUMBER(E76))),"",IF(_xlfn.MAXIFS(HISTORIAL!$K$5:$K$2004,HISTORIAL!$E$5:$E$2004,$A76,HISTORIAL!$F$5:$F$2004,"Bilbo",HISTORIAL!$G$5:$G$2004,$B76-1,HISTORIAL!$J$5:$J$2004,E76)=0,"sin dato comparable",_xlfn.MAXIFS(HISTORIAL!$K$5:$K$2004,HISTORIAL!$E$5:$E$2004,$A76,HISTORIAL!$F$5:$F$2004,"Bilbo",HISTORIAL!$G$5:$G$2004,$B76-1,HISTORIAL!$J$5:$J$2004,E76))))</f>
        <v/>
      </c>
      <c r="R76" s="18" t="str">
        <f aca="false">IF($A76="","",IF(AND(ISNUMBER(Q76),ISNUMBER(F76)),F76-Q76,""))</f>
        <v/>
      </c>
      <c r="S76" s="27" t="str">
        <f aca="false">IF($A76="","",SUMIFS(HISTORIAL!$R$5:$R$2004,HISTORIAL!$E$5:$E$2004,$A76,HISTORIAL!$F$5:$F$2004,"Bilbo",HISTORIAL!$G$5:$G$2004,$B76)+SUMIFS(HISTORIAL!$R$5:$R$2004,HISTORIAL!$E$5:$E$2004,$A76,HISTORIAL!$F$5:$F$2004,"Post-Bilbo",HISTORIAL!$G$5:$G$2004,$B76))</f>
        <v/>
      </c>
      <c r="T76" s="27" t="str">
        <f aca="false">IF($A76="","",IF(NOT(ISNUMBER(E76)),"",MAX(E76+INDEX(CONFIGURACIÓN!$H$42:$H$56,MATCH($A76,CONFIGURACIÓN!$B$42:$B$56,0)),-INT(-E76*(1+CONFIGURACIÓN!$C$17)/(INDEX(CONFIGURACIÓN!$H$42:$H$56,MATCH($A76,CONFIGURACIÓN!$B$42:$B$56,0))))*(INDEX(CONFIGURACIÓN!$H$42:$H$56,MATCH($A76,CONFIGURACIÓN!$B$42:$B$56,0))))))</f>
        <v/>
      </c>
      <c r="U76" s="13"/>
      <c r="V76" s="18" t="str">
        <f aca="false">IF($A76="","",IF(U76="","",IF(NOT(ISNUMBER(E76)),"sin carga inicial registrada",IF(U76&gt;E76,"OK","ERROR: debe ser &gt; "&amp;E76))))</f>
        <v/>
      </c>
      <c r="W76" s="11"/>
    </row>
    <row r="77" customFormat="false" ht="15" hidden="false" customHeight="true" outlineLevel="0" collapsed="false">
      <c r="A77" s="11"/>
      <c r="B77" s="11"/>
      <c r="C77" s="11"/>
      <c r="D77" s="28" t="str">
        <f aca="false">IF($A77="","",IF(_xlfn.MINIFS(HISTORIAL!$A$5:$A$2004,HISTORIAL!$E$5:$E$2004,$A77,HISTORIAL!$F$5:$F$2004,"Bilbo",HISTORIAL!$G$5:$G$2004,$B77)=0,"",INDEX(HISTORIAL!$B$5:$B$2004,_xlfn.MINIFS(HISTORIAL!$A$5:$A$2004,HISTORIAL!$E$5:$E$2004,$A77,HISTORIAL!$F$5:$F$2004,"Bilbo",HISTORIAL!$G$5:$G$2004,$B77))))</f>
        <v/>
      </c>
      <c r="E77" s="27" t="str">
        <f aca="false">IF($A77="","",IF(_xlfn.MINIFS(HISTORIAL!$A$5:$A$2004,HISTORIAL!$E$5:$E$2004,$A77,HISTORIAL!$F$5:$F$2004,"Bilbo",HISTORIAL!$G$5:$G$2004,$B77)=0,"",INDEX(HISTORIAL!$J$5:$J$2004,_xlfn.MINIFS(HISTORIAL!$A$5:$A$2004,HISTORIAL!$E$5:$E$2004,$A77,HISTORIAL!$F$5:$F$2004,"Bilbo",HISTORIAL!$G$5:$G$2004,$B77))))</f>
        <v/>
      </c>
      <c r="F77" s="18" t="str">
        <f aca="false">IF($A77="","",IF(_xlfn.MINIFS(HISTORIAL!$A$5:$A$2004,HISTORIAL!$E$5:$E$2004,$A77,HISTORIAL!$F$5:$F$2004,"Bilbo",HISTORIAL!$G$5:$G$2004,$B77)=0,"",INDEX(HISTORIAL!$K$5:$K$2004,_xlfn.MINIFS(HISTORIAL!$A$5:$A$2004,HISTORIAL!$E$5:$E$2004,$A77,HISTORIAL!$F$5:$F$2004,"Bilbo",HISTORIAL!$G$5:$G$2004,$B77))))</f>
        <v/>
      </c>
      <c r="G77" s="28" t="str">
        <f aca="false">IF($A77="","",IF(_xlfn.MAXIFS(HISTORIAL!$A$5:$A$2004,HISTORIAL!$E$5:$E$2004,$A77,HISTORIAL!$F$5:$F$2004,"Bilbo",HISTORIAL!$G$5:$G$2004,$B77)=0,"",INDEX(HISTORIAL!$B$5:$B$2004,_xlfn.MAXIFS(HISTORIAL!$A$5:$A$2004,HISTORIAL!$E$5:$E$2004,$A77,HISTORIAL!$F$5:$F$2004,"Bilbo",HISTORIAL!$G$5:$G$2004,$B77))))</f>
        <v/>
      </c>
      <c r="H77" s="27" t="str">
        <f aca="false">IF($A77="","",IF(_xlfn.MAXIFS(HISTORIAL!$A$5:$A$2004,HISTORIAL!$E$5:$E$2004,$A77,HISTORIAL!$F$5:$F$2004,"Bilbo",HISTORIAL!$G$5:$G$2004,$B77)=0,"",INDEX(HISTORIAL!$J$5:$J$2004,_xlfn.MAXIFS(HISTORIAL!$A$5:$A$2004,HISTORIAL!$E$5:$E$2004,$A77,HISTORIAL!$F$5:$F$2004,"Bilbo",HISTORIAL!$G$5:$G$2004,$B77))))</f>
        <v/>
      </c>
      <c r="I77" s="18" t="str">
        <f aca="false">IF($A77="","",IF(_xlfn.MAXIFS(HISTORIAL!$A$5:$A$2004,HISTORIAL!$E$5:$E$2004,$A77,HISTORIAL!$F$5:$F$2004,"Bilbo",HISTORIAL!$G$5:$G$2004,$B77)=0,"",INDEX(HISTORIAL!$K$5:$K$2004,_xlfn.MAXIFS(HISTORIAL!$A$5:$A$2004,HISTORIAL!$E$5:$E$2004,$A77,HISTORIAL!$F$5:$F$2004,"Bilbo",HISTORIAL!$G$5:$G$2004,$B77))))</f>
        <v/>
      </c>
      <c r="J77" s="18" t="str">
        <f aca="false">IF($A77="","",COUNTIFS(HISTORIAL!$E$5:$E$2004,$A77,HISTORIAL!$F$5:$F$2004,"Bilbo",HISTORIAL!$G$5:$G$2004,$B77))</f>
        <v/>
      </c>
      <c r="K77" s="27" t="str">
        <f aca="false">IF($A77="","",IF(J77=0,"",_xlfn.MAXIFS(HISTORIAL!$J$5:$J$2004,HISTORIAL!$E$5:$E$2004,$A77,HISTORIAL!$F$5:$F$2004,"Bilbo",HISTORIAL!$G$5:$G$2004,$B77)))</f>
        <v/>
      </c>
      <c r="L77" s="18" t="str">
        <f aca="false">IF($A77="","",IF(J77=0,"",_xlfn.MAXIFS(HISTORIAL!$K$5:$K$2004,HISTORIAL!$E$5:$E$2004,$A77,HISTORIAL!$F$5:$F$2004,"Bilbo",HISTORIAL!$G$5:$G$2004,$B77,HISTORIAL!$J$5:$J$2004,K77)))</f>
        <v/>
      </c>
      <c r="M77" s="27" t="str">
        <f aca="false">IF($A77="","",IF(J77=0,"",_xlfn.MAXIFS(HISTORIAL!$T$5:$T$2004,HISTORIAL!$E$5:$E$2004,$A77,HISTORIAL!$F$5:$F$2004,"Bilbo",HISTORIAL!$G$5:$G$2004,$B77)))</f>
        <v/>
      </c>
      <c r="N77" s="27" t="str">
        <f aca="false">IF($A77="","",IF(J77=0,"",H77-E77))</f>
        <v/>
      </c>
      <c r="O77" s="27" t="str">
        <f aca="false">IF($A77="","",IF(COUNTIFS($A$6:$A$105,$A77,$B$6:$B$105,$B77-1)=0,"",SUMIFS($E$6:$E$105,$A$6:$A$105,$A77,$B$6:$B$105,$B77-1)))</f>
        <v/>
      </c>
      <c r="P77" s="18" t="str">
        <f aca="false">IF($A77="","",IF(OR(O77="",NOT(ISNUMBER(E77))),"—",IF(E77&gt;O77,"OK","ERROR: debe ser &gt; "&amp;O77)))</f>
        <v/>
      </c>
      <c r="Q77" s="18" t="str">
        <f aca="false">IF($A77="","",IF(OR(O77="",NOT(ISNUMBER(E77))),"",IF(_xlfn.MAXIFS(HISTORIAL!$K$5:$K$2004,HISTORIAL!$E$5:$E$2004,$A77,HISTORIAL!$F$5:$F$2004,"Bilbo",HISTORIAL!$G$5:$G$2004,$B77-1,HISTORIAL!$J$5:$J$2004,E77)=0,"sin dato comparable",_xlfn.MAXIFS(HISTORIAL!$K$5:$K$2004,HISTORIAL!$E$5:$E$2004,$A77,HISTORIAL!$F$5:$F$2004,"Bilbo",HISTORIAL!$G$5:$G$2004,$B77-1,HISTORIAL!$J$5:$J$2004,E77))))</f>
        <v/>
      </c>
      <c r="R77" s="18" t="str">
        <f aca="false">IF($A77="","",IF(AND(ISNUMBER(Q77),ISNUMBER(F77)),F77-Q77,""))</f>
        <v/>
      </c>
      <c r="S77" s="27" t="str">
        <f aca="false">IF($A77="","",SUMIFS(HISTORIAL!$R$5:$R$2004,HISTORIAL!$E$5:$E$2004,$A77,HISTORIAL!$F$5:$F$2004,"Bilbo",HISTORIAL!$G$5:$G$2004,$B77)+SUMIFS(HISTORIAL!$R$5:$R$2004,HISTORIAL!$E$5:$E$2004,$A77,HISTORIAL!$F$5:$F$2004,"Post-Bilbo",HISTORIAL!$G$5:$G$2004,$B77))</f>
        <v/>
      </c>
      <c r="T77" s="27" t="str">
        <f aca="false">IF($A77="","",IF(NOT(ISNUMBER(E77)),"",MAX(E77+INDEX(CONFIGURACIÓN!$H$42:$H$56,MATCH($A77,CONFIGURACIÓN!$B$42:$B$56,0)),-INT(-E77*(1+CONFIGURACIÓN!$C$17)/(INDEX(CONFIGURACIÓN!$H$42:$H$56,MATCH($A77,CONFIGURACIÓN!$B$42:$B$56,0))))*(INDEX(CONFIGURACIÓN!$H$42:$H$56,MATCH($A77,CONFIGURACIÓN!$B$42:$B$56,0))))))</f>
        <v/>
      </c>
      <c r="U77" s="13"/>
      <c r="V77" s="18" t="str">
        <f aca="false">IF($A77="","",IF(U77="","",IF(NOT(ISNUMBER(E77)),"sin carga inicial registrada",IF(U77&gt;E77,"OK","ERROR: debe ser &gt; "&amp;E77))))</f>
        <v/>
      </c>
      <c r="W77" s="11"/>
    </row>
    <row r="78" customFormat="false" ht="15" hidden="false" customHeight="true" outlineLevel="0" collapsed="false">
      <c r="A78" s="11"/>
      <c r="B78" s="11"/>
      <c r="C78" s="11"/>
      <c r="D78" s="28" t="str">
        <f aca="false">IF($A78="","",IF(_xlfn.MINIFS(HISTORIAL!$A$5:$A$2004,HISTORIAL!$E$5:$E$2004,$A78,HISTORIAL!$F$5:$F$2004,"Bilbo",HISTORIAL!$G$5:$G$2004,$B78)=0,"",INDEX(HISTORIAL!$B$5:$B$2004,_xlfn.MINIFS(HISTORIAL!$A$5:$A$2004,HISTORIAL!$E$5:$E$2004,$A78,HISTORIAL!$F$5:$F$2004,"Bilbo",HISTORIAL!$G$5:$G$2004,$B78))))</f>
        <v/>
      </c>
      <c r="E78" s="27" t="str">
        <f aca="false">IF($A78="","",IF(_xlfn.MINIFS(HISTORIAL!$A$5:$A$2004,HISTORIAL!$E$5:$E$2004,$A78,HISTORIAL!$F$5:$F$2004,"Bilbo",HISTORIAL!$G$5:$G$2004,$B78)=0,"",INDEX(HISTORIAL!$J$5:$J$2004,_xlfn.MINIFS(HISTORIAL!$A$5:$A$2004,HISTORIAL!$E$5:$E$2004,$A78,HISTORIAL!$F$5:$F$2004,"Bilbo",HISTORIAL!$G$5:$G$2004,$B78))))</f>
        <v/>
      </c>
      <c r="F78" s="18" t="str">
        <f aca="false">IF($A78="","",IF(_xlfn.MINIFS(HISTORIAL!$A$5:$A$2004,HISTORIAL!$E$5:$E$2004,$A78,HISTORIAL!$F$5:$F$2004,"Bilbo",HISTORIAL!$G$5:$G$2004,$B78)=0,"",INDEX(HISTORIAL!$K$5:$K$2004,_xlfn.MINIFS(HISTORIAL!$A$5:$A$2004,HISTORIAL!$E$5:$E$2004,$A78,HISTORIAL!$F$5:$F$2004,"Bilbo",HISTORIAL!$G$5:$G$2004,$B78))))</f>
        <v/>
      </c>
      <c r="G78" s="28" t="str">
        <f aca="false">IF($A78="","",IF(_xlfn.MAXIFS(HISTORIAL!$A$5:$A$2004,HISTORIAL!$E$5:$E$2004,$A78,HISTORIAL!$F$5:$F$2004,"Bilbo",HISTORIAL!$G$5:$G$2004,$B78)=0,"",INDEX(HISTORIAL!$B$5:$B$2004,_xlfn.MAXIFS(HISTORIAL!$A$5:$A$2004,HISTORIAL!$E$5:$E$2004,$A78,HISTORIAL!$F$5:$F$2004,"Bilbo",HISTORIAL!$G$5:$G$2004,$B78))))</f>
        <v/>
      </c>
      <c r="H78" s="27" t="str">
        <f aca="false">IF($A78="","",IF(_xlfn.MAXIFS(HISTORIAL!$A$5:$A$2004,HISTORIAL!$E$5:$E$2004,$A78,HISTORIAL!$F$5:$F$2004,"Bilbo",HISTORIAL!$G$5:$G$2004,$B78)=0,"",INDEX(HISTORIAL!$J$5:$J$2004,_xlfn.MAXIFS(HISTORIAL!$A$5:$A$2004,HISTORIAL!$E$5:$E$2004,$A78,HISTORIAL!$F$5:$F$2004,"Bilbo",HISTORIAL!$G$5:$G$2004,$B78))))</f>
        <v/>
      </c>
      <c r="I78" s="18" t="str">
        <f aca="false">IF($A78="","",IF(_xlfn.MAXIFS(HISTORIAL!$A$5:$A$2004,HISTORIAL!$E$5:$E$2004,$A78,HISTORIAL!$F$5:$F$2004,"Bilbo",HISTORIAL!$G$5:$G$2004,$B78)=0,"",INDEX(HISTORIAL!$K$5:$K$2004,_xlfn.MAXIFS(HISTORIAL!$A$5:$A$2004,HISTORIAL!$E$5:$E$2004,$A78,HISTORIAL!$F$5:$F$2004,"Bilbo",HISTORIAL!$G$5:$G$2004,$B78))))</f>
        <v/>
      </c>
      <c r="J78" s="18" t="str">
        <f aca="false">IF($A78="","",COUNTIFS(HISTORIAL!$E$5:$E$2004,$A78,HISTORIAL!$F$5:$F$2004,"Bilbo",HISTORIAL!$G$5:$G$2004,$B78))</f>
        <v/>
      </c>
      <c r="K78" s="27" t="str">
        <f aca="false">IF($A78="","",IF(J78=0,"",_xlfn.MAXIFS(HISTORIAL!$J$5:$J$2004,HISTORIAL!$E$5:$E$2004,$A78,HISTORIAL!$F$5:$F$2004,"Bilbo",HISTORIAL!$G$5:$G$2004,$B78)))</f>
        <v/>
      </c>
      <c r="L78" s="18" t="str">
        <f aca="false">IF($A78="","",IF(J78=0,"",_xlfn.MAXIFS(HISTORIAL!$K$5:$K$2004,HISTORIAL!$E$5:$E$2004,$A78,HISTORIAL!$F$5:$F$2004,"Bilbo",HISTORIAL!$G$5:$G$2004,$B78,HISTORIAL!$J$5:$J$2004,K78)))</f>
        <v/>
      </c>
      <c r="M78" s="27" t="str">
        <f aca="false">IF($A78="","",IF(J78=0,"",_xlfn.MAXIFS(HISTORIAL!$T$5:$T$2004,HISTORIAL!$E$5:$E$2004,$A78,HISTORIAL!$F$5:$F$2004,"Bilbo",HISTORIAL!$G$5:$G$2004,$B78)))</f>
        <v/>
      </c>
      <c r="N78" s="27" t="str">
        <f aca="false">IF($A78="","",IF(J78=0,"",H78-E78))</f>
        <v/>
      </c>
      <c r="O78" s="27" t="str">
        <f aca="false">IF($A78="","",IF(COUNTIFS($A$6:$A$105,$A78,$B$6:$B$105,$B78-1)=0,"",SUMIFS($E$6:$E$105,$A$6:$A$105,$A78,$B$6:$B$105,$B78-1)))</f>
        <v/>
      </c>
      <c r="P78" s="18" t="str">
        <f aca="false">IF($A78="","",IF(OR(O78="",NOT(ISNUMBER(E78))),"—",IF(E78&gt;O78,"OK","ERROR: debe ser &gt; "&amp;O78)))</f>
        <v/>
      </c>
      <c r="Q78" s="18" t="str">
        <f aca="false">IF($A78="","",IF(OR(O78="",NOT(ISNUMBER(E78))),"",IF(_xlfn.MAXIFS(HISTORIAL!$K$5:$K$2004,HISTORIAL!$E$5:$E$2004,$A78,HISTORIAL!$F$5:$F$2004,"Bilbo",HISTORIAL!$G$5:$G$2004,$B78-1,HISTORIAL!$J$5:$J$2004,E78)=0,"sin dato comparable",_xlfn.MAXIFS(HISTORIAL!$K$5:$K$2004,HISTORIAL!$E$5:$E$2004,$A78,HISTORIAL!$F$5:$F$2004,"Bilbo",HISTORIAL!$G$5:$G$2004,$B78-1,HISTORIAL!$J$5:$J$2004,E78))))</f>
        <v/>
      </c>
      <c r="R78" s="18" t="str">
        <f aca="false">IF($A78="","",IF(AND(ISNUMBER(Q78),ISNUMBER(F78)),F78-Q78,""))</f>
        <v/>
      </c>
      <c r="S78" s="27" t="str">
        <f aca="false">IF($A78="","",SUMIFS(HISTORIAL!$R$5:$R$2004,HISTORIAL!$E$5:$E$2004,$A78,HISTORIAL!$F$5:$F$2004,"Bilbo",HISTORIAL!$G$5:$G$2004,$B78)+SUMIFS(HISTORIAL!$R$5:$R$2004,HISTORIAL!$E$5:$E$2004,$A78,HISTORIAL!$F$5:$F$2004,"Post-Bilbo",HISTORIAL!$G$5:$G$2004,$B78))</f>
        <v/>
      </c>
      <c r="T78" s="27" t="str">
        <f aca="false">IF($A78="","",IF(NOT(ISNUMBER(E78)),"",MAX(E78+INDEX(CONFIGURACIÓN!$H$42:$H$56,MATCH($A78,CONFIGURACIÓN!$B$42:$B$56,0)),-INT(-E78*(1+CONFIGURACIÓN!$C$17)/(INDEX(CONFIGURACIÓN!$H$42:$H$56,MATCH($A78,CONFIGURACIÓN!$B$42:$B$56,0))))*(INDEX(CONFIGURACIÓN!$H$42:$H$56,MATCH($A78,CONFIGURACIÓN!$B$42:$B$56,0))))))</f>
        <v/>
      </c>
      <c r="U78" s="13"/>
      <c r="V78" s="18" t="str">
        <f aca="false">IF($A78="","",IF(U78="","",IF(NOT(ISNUMBER(E78)),"sin carga inicial registrada",IF(U78&gt;E78,"OK","ERROR: debe ser &gt; "&amp;E78))))</f>
        <v/>
      </c>
      <c r="W78" s="11"/>
    </row>
    <row r="79" customFormat="false" ht="15" hidden="false" customHeight="true" outlineLevel="0" collapsed="false">
      <c r="A79" s="11"/>
      <c r="B79" s="11"/>
      <c r="C79" s="11"/>
      <c r="D79" s="28" t="str">
        <f aca="false">IF($A79="","",IF(_xlfn.MINIFS(HISTORIAL!$A$5:$A$2004,HISTORIAL!$E$5:$E$2004,$A79,HISTORIAL!$F$5:$F$2004,"Bilbo",HISTORIAL!$G$5:$G$2004,$B79)=0,"",INDEX(HISTORIAL!$B$5:$B$2004,_xlfn.MINIFS(HISTORIAL!$A$5:$A$2004,HISTORIAL!$E$5:$E$2004,$A79,HISTORIAL!$F$5:$F$2004,"Bilbo",HISTORIAL!$G$5:$G$2004,$B79))))</f>
        <v/>
      </c>
      <c r="E79" s="27" t="str">
        <f aca="false">IF($A79="","",IF(_xlfn.MINIFS(HISTORIAL!$A$5:$A$2004,HISTORIAL!$E$5:$E$2004,$A79,HISTORIAL!$F$5:$F$2004,"Bilbo",HISTORIAL!$G$5:$G$2004,$B79)=0,"",INDEX(HISTORIAL!$J$5:$J$2004,_xlfn.MINIFS(HISTORIAL!$A$5:$A$2004,HISTORIAL!$E$5:$E$2004,$A79,HISTORIAL!$F$5:$F$2004,"Bilbo",HISTORIAL!$G$5:$G$2004,$B79))))</f>
        <v/>
      </c>
      <c r="F79" s="18" t="str">
        <f aca="false">IF($A79="","",IF(_xlfn.MINIFS(HISTORIAL!$A$5:$A$2004,HISTORIAL!$E$5:$E$2004,$A79,HISTORIAL!$F$5:$F$2004,"Bilbo",HISTORIAL!$G$5:$G$2004,$B79)=0,"",INDEX(HISTORIAL!$K$5:$K$2004,_xlfn.MINIFS(HISTORIAL!$A$5:$A$2004,HISTORIAL!$E$5:$E$2004,$A79,HISTORIAL!$F$5:$F$2004,"Bilbo",HISTORIAL!$G$5:$G$2004,$B79))))</f>
        <v/>
      </c>
      <c r="G79" s="28" t="str">
        <f aca="false">IF($A79="","",IF(_xlfn.MAXIFS(HISTORIAL!$A$5:$A$2004,HISTORIAL!$E$5:$E$2004,$A79,HISTORIAL!$F$5:$F$2004,"Bilbo",HISTORIAL!$G$5:$G$2004,$B79)=0,"",INDEX(HISTORIAL!$B$5:$B$2004,_xlfn.MAXIFS(HISTORIAL!$A$5:$A$2004,HISTORIAL!$E$5:$E$2004,$A79,HISTORIAL!$F$5:$F$2004,"Bilbo",HISTORIAL!$G$5:$G$2004,$B79))))</f>
        <v/>
      </c>
      <c r="H79" s="27" t="str">
        <f aca="false">IF($A79="","",IF(_xlfn.MAXIFS(HISTORIAL!$A$5:$A$2004,HISTORIAL!$E$5:$E$2004,$A79,HISTORIAL!$F$5:$F$2004,"Bilbo",HISTORIAL!$G$5:$G$2004,$B79)=0,"",INDEX(HISTORIAL!$J$5:$J$2004,_xlfn.MAXIFS(HISTORIAL!$A$5:$A$2004,HISTORIAL!$E$5:$E$2004,$A79,HISTORIAL!$F$5:$F$2004,"Bilbo",HISTORIAL!$G$5:$G$2004,$B79))))</f>
        <v/>
      </c>
      <c r="I79" s="18" t="str">
        <f aca="false">IF($A79="","",IF(_xlfn.MAXIFS(HISTORIAL!$A$5:$A$2004,HISTORIAL!$E$5:$E$2004,$A79,HISTORIAL!$F$5:$F$2004,"Bilbo",HISTORIAL!$G$5:$G$2004,$B79)=0,"",INDEX(HISTORIAL!$K$5:$K$2004,_xlfn.MAXIFS(HISTORIAL!$A$5:$A$2004,HISTORIAL!$E$5:$E$2004,$A79,HISTORIAL!$F$5:$F$2004,"Bilbo",HISTORIAL!$G$5:$G$2004,$B79))))</f>
        <v/>
      </c>
      <c r="J79" s="18" t="str">
        <f aca="false">IF($A79="","",COUNTIFS(HISTORIAL!$E$5:$E$2004,$A79,HISTORIAL!$F$5:$F$2004,"Bilbo",HISTORIAL!$G$5:$G$2004,$B79))</f>
        <v/>
      </c>
      <c r="K79" s="27" t="str">
        <f aca="false">IF($A79="","",IF(J79=0,"",_xlfn.MAXIFS(HISTORIAL!$J$5:$J$2004,HISTORIAL!$E$5:$E$2004,$A79,HISTORIAL!$F$5:$F$2004,"Bilbo",HISTORIAL!$G$5:$G$2004,$B79)))</f>
        <v/>
      </c>
      <c r="L79" s="18" t="str">
        <f aca="false">IF($A79="","",IF(J79=0,"",_xlfn.MAXIFS(HISTORIAL!$K$5:$K$2004,HISTORIAL!$E$5:$E$2004,$A79,HISTORIAL!$F$5:$F$2004,"Bilbo",HISTORIAL!$G$5:$G$2004,$B79,HISTORIAL!$J$5:$J$2004,K79)))</f>
        <v/>
      </c>
      <c r="M79" s="27" t="str">
        <f aca="false">IF($A79="","",IF(J79=0,"",_xlfn.MAXIFS(HISTORIAL!$T$5:$T$2004,HISTORIAL!$E$5:$E$2004,$A79,HISTORIAL!$F$5:$F$2004,"Bilbo",HISTORIAL!$G$5:$G$2004,$B79)))</f>
        <v/>
      </c>
      <c r="N79" s="27" t="str">
        <f aca="false">IF($A79="","",IF(J79=0,"",H79-E79))</f>
        <v/>
      </c>
      <c r="O79" s="27" t="str">
        <f aca="false">IF($A79="","",IF(COUNTIFS($A$6:$A$105,$A79,$B$6:$B$105,$B79-1)=0,"",SUMIFS($E$6:$E$105,$A$6:$A$105,$A79,$B$6:$B$105,$B79-1)))</f>
        <v/>
      </c>
      <c r="P79" s="18" t="str">
        <f aca="false">IF($A79="","",IF(OR(O79="",NOT(ISNUMBER(E79))),"—",IF(E79&gt;O79,"OK","ERROR: debe ser &gt; "&amp;O79)))</f>
        <v/>
      </c>
      <c r="Q79" s="18" t="str">
        <f aca="false">IF($A79="","",IF(OR(O79="",NOT(ISNUMBER(E79))),"",IF(_xlfn.MAXIFS(HISTORIAL!$K$5:$K$2004,HISTORIAL!$E$5:$E$2004,$A79,HISTORIAL!$F$5:$F$2004,"Bilbo",HISTORIAL!$G$5:$G$2004,$B79-1,HISTORIAL!$J$5:$J$2004,E79)=0,"sin dato comparable",_xlfn.MAXIFS(HISTORIAL!$K$5:$K$2004,HISTORIAL!$E$5:$E$2004,$A79,HISTORIAL!$F$5:$F$2004,"Bilbo",HISTORIAL!$G$5:$G$2004,$B79-1,HISTORIAL!$J$5:$J$2004,E79))))</f>
        <v/>
      </c>
      <c r="R79" s="18" t="str">
        <f aca="false">IF($A79="","",IF(AND(ISNUMBER(Q79),ISNUMBER(F79)),F79-Q79,""))</f>
        <v/>
      </c>
      <c r="S79" s="27" t="str">
        <f aca="false">IF($A79="","",SUMIFS(HISTORIAL!$R$5:$R$2004,HISTORIAL!$E$5:$E$2004,$A79,HISTORIAL!$F$5:$F$2004,"Bilbo",HISTORIAL!$G$5:$G$2004,$B79)+SUMIFS(HISTORIAL!$R$5:$R$2004,HISTORIAL!$E$5:$E$2004,$A79,HISTORIAL!$F$5:$F$2004,"Post-Bilbo",HISTORIAL!$G$5:$G$2004,$B79))</f>
        <v/>
      </c>
      <c r="T79" s="27" t="str">
        <f aca="false">IF($A79="","",IF(NOT(ISNUMBER(E79)),"",MAX(E79+INDEX(CONFIGURACIÓN!$H$42:$H$56,MATCH($A79,CONFIGURACIÓN!$B$42:$B$56,0)),-INT(-E79*(1+CONFIGURACIÓN!$C$17)/(INDEX(CONFIGURACIÓN!$H$42:$H$56,MATCH($A79,CONFIGURACIÓN!$B$42:$B$56,0))))*(INDEX(CONFIGURACIÓN!$H$42:$H$56,MATCH($A79,CONFIGURACIÓN!$B$42:$B$56,0))))))</f>
        <v/>
      </c>
      <c r="U79" s="13"/>
      <c r="V79" s="18" t="str">
        <f aca="false">IF($A79="","",IF(U79="","",IF(NOT(ISNUMBER(E79)),"sin carga inicial registrada",IF(U79&gt;E79,"OK","ERROR: debe ser &gt; "&amp;E79))))</f>
        <v/>
      </c>
      <c r="W79" s="11"/>
    </row>
    <row r="80" customFormat="false" ht="15" hidden="false" customHeight="true" outlineLevel="0" collapsed="false">
      <c r="A80" s="11"/>
      <c r="B80" s="11"/>
      <c r="C80" s="11"/>
      <c r="D80" s="28" t="str">
        <f aca="false">IF($A80="","",IF(_xlfn.MINIFS(HISTORIAL!$A$5:$A$2004,HISTORIAL!$E$5:$E$2004,$A80,HISTORIAL!$F$5:$F$2004,"Bilbo",HISTORIAL!$G$5:$G$2004,$B80)=0,"",INDEX(HISTORIAL!$B$5:$B$2004,_xlfn.MINIFS(HISTORIAL!$A$5:$A$2004,HISTORIAL!$E$5:$E$2004,$A80,HISTORIAL!$F$5:$F$2004,"Bilbo",HISTORIAL!$G$5:$G$2004,$B80))))</f>
        <v/>
      </c>
      <c r="E80" s="27" t="str">
        <f aca="false">IF($A80="","",IF(_xlfn.MINIFS(HISTORIAL!$A$5:$A$2004,HISTORIAL!$E$5:$E$2004,$A80,HISTORIAL!$F$5:$F$2004,"Bilbo",HISTORIAL!$G$5:$G$2004,$B80)=0,"",INDEX(HISTORIAL!$J$5:$J$2004,_xlfn.MINIFS(HISTORIAL!$A$5:$A$2004,HISTORIAL!$E$5:$E$2004,$A80,HISTORIAL!$F$5:$F$2004,"Bilbo",HISTORIAL!$G$5:$G$2004,$B80))))</f>
        <v/>
      </c>
      <c r="F80" s="18" t="str">
        <f aca="false">IF($A80="","",IF(_xlfn.MINIFS(HISTORIAL!$A$5:$A$2004,HISTORIAL!$E$5:$E$2004,$A80,HISTORIAL!$F$5:$F$2004,"Bilbo",HISTORIAL!$G$5:$G$2004,$B80)=0,"",INDEX(HISTORIAL!$K$5:$K$2004,_xlfn.MINIFS(HISTORIAL!$A$5:$A$2004,HISTORIAL!$E$5:$E$2004,$A80,HISTORIAL!$F$5:$F$2004,"Bilbo",HISTORIAL!$G$5:$G$2004,$B80))))</f>
        <v/>
      </c>
      <c r="G80" s="28" t="str">
        <f aca="false">IF($A80="","",IF(_xlfn.MAXIFS(HISTORIAL!$A$5:$A$2004,HISTORIAL!$E$5:$E$2004,$A80,HISTORIAL!$F$5:$F$2004,"Bilbo",HISTORIAL!$G$5:$G$2004,$B80)=0,"",INDEX(HISTORIAL!$B$5:$B$2004,_xlfn.MAXIFS(HISTORIAL!$A$5:$A$2004,HISTORIAL!$E$5:$E$2004,$A80,HISTORIAL!$F$5:$F$2004,"Bilbo",HISTORIAL!$G$5:$G$2004,$B80))))</f>
        <v/>
      </c>
      <c r="H80" s="27" t="str">
        <f aca="false">IF($A80="","",IF(_xlfn.MAXIFS(HISTORIAL!$A$5:$A$2004,HISTORIAL!$E$5:$E$2004,$A80,HISTORIAL!$F$5:$F$2004,"Bilbo",HISTORIAL!$G$5:$G$2004,$B80)=0,"",INDEX(HISTORIAL!$J$5:$J$2004,_xlfn.MAXIFS(HISTORIAL!$A$5:$A$2004,HISTORIAL!$E$5:$E$2004,$A80,HISTORIAL!$F$5:$F$2004,"Bilbo",HISTORIAL!$G$5:$G$2004,$B80))))</f>
        <v/>
      </c>
      <c r="I80" s="18" t="str">
        <f aca="false">IF($A80="","",IF(_xlfn.MAXIFS(HISTORIAL!$A$5:$A$2004,HISTORIAL!$E$5:$E$2004,$A80,HISTORIAL!$F$5:$F$2004,"Bilbo",HISTORIAL!$G$5:$G$2004,$B80)=0,"",INDEX(HISTORIAL!$K$5:$K$2004,_xlfn.MAXIFS(HISTORIAL!$A$5:$A$2004,HISTORIAL!$E$5:$E$2004,$A80,HISTORIAL!$F$5:$F$2004,"Bilbo",HISTORIAL!$G$5:$G$2004,$B80))))</f>
        <v/>
      </c>
      <c r="J80" s="18" t="str">
        <f aca="false">IF($A80="","",COUNTIFS(HISTORIAL!$E$5:$E$2004,$A80,HISTORIAL!$F$5:$F$2004,"Bilbo",HISTORIAL!$G$5:$G$2004,$B80))</f>
        <v/>
      </c>
      <c r="K80" s="27" t="str">
        <f aca="false">IF($A80="","",IF(J80=0,"",_xlfn.MAXIFS(HISTORIAL!$J$5:$J$2004,HISTORIAL!$E$5:$E$2004,$A80,HISTORIAL!$F$5:$F$2004,"Bilbo",HISTORIAL!$G$5:$G$2004,$B80)))</f>
        <v/>
      </c>
      <c r="L80" s="18" t="str">
        <f aca="false">IF($A80="","",IF(J80=0,"",_xlfn.MAXIFS(HISTORIAL!$K$5:$K$2004,HISTORIAL!$E$5:$E$2004,$A80,HISTORIAL!$F$5:$F$2004,"Bilbo",HISTORIAL!$G$5:$G$2004,$B80,HISTORIAL!$J$5:$J$2004,K80)))</f>
        <v/>
      </c>
      <c r="M80" s="27" t="str">
        <f aca="false">IF($A80="","",IF(J80=0,"",_xlfn.MAXIFS(HISTORIAL!$T$5:$T$2004,HISTORIAL!$E$5:$E$2004,$A80,HISTORIAL!$F$5:$F$2004,"Bilbo",HISTORIAL!$G$5:$G$2004,$B80)))</f>
        <v/>
      </c>
      <c r="N80" s="27" t="str">
        <f aca="false">IF($A80="","",IF(J80=0,"",H80-E80))</f>
        <v/>
      </c>
      <c r="O80" s="27" t="str">
        <f aca="false">IF($A80="","",IF(COUNTIFS($A$6:$A$105,$A80,$B$6:$B$105,$B80-1)=0,"",SUMIFS($E$6:$E$105,$A$6:$A$105,$A80,$B$6:$B$105,$B80-1)))</f>
        <v/>
      </c>
      <c r="P80" s="18" t="str">
        <f aca="false">IF($A80="","",IF(OR(O80="",NOT(ISNUMBER(E80))),"—",IF(E80&gt;O80,"OK","ERROR: debe ser &gt; "&amp;O80)))</f>
        <v/>
      </c>
      <c r="Q80" s="18" t="str">
        <f aca="false">IF($A80="","",IF(OR(O80="",NOT(ISNUMBER(E80))),"",IF(_xlfn.MAXIFS(HISTORIAL!$K$5:$K$2004,HISTORIAL!$E$5:$E$2004,$A80,HISTORIAL!$F$5:$F$2004,"Bilbo",HISTORIAL!$G$5:$G$2004,$B80-1,HISTORIAL!$J$5:$J$2004,E80)=0,"sin dato comparable",_xlfn.MAXIFS(HISTORIAL!$K$5:$K$2004,HISTORIAL!$E$5:$E$2004,$A80,HISTORIAL!$F$5:$F$2004,"Bilbo",HISTORIAL!$G$5:$G$2004,$B80-1,HISTORIAL!$J$5:$J$2004,E80))))</f>
        <v/>
      </c>
      <c r="R80" s="18" t="str">
        <f aca="false">IF($A80="","",IF(AND(ISNUMBER(Q80),ISNUMBER(F80)),F80-Q80,""))</f>
        <v/>
      </c>
      <c r="S80" s="27" t="str">
        <f aca="false">IF($A80="","",SUMIFS(HISTORIAL!$R$5:$R$2004,HISTORIAL!$E$5:$E$2004,$A80,HISTORIAL!$F$5:$F$2004,"Bilbo",HISTORIAL!$G$5:$G$2004,$B80)+SUMIFS(HISTORIAL!$R$5:$R$2004,HISTORIAL!$E$5:$E$2004,$A80,HISTORIAL!$F$5:$F$2004,"Post-Bilbo",HISTORIAL!$G$5:$G$2004,$B80))</f>
        <v/>
      </c>
      <c r="T80" s="27" t="str">
        <f aca="false">IF($A80="","",IF(NOT(ISNUMBER(E80)),"",MAX(E80+INDEX(CONFIGURACIÓN!$H$42:$H$56,MATCH($A80,CONFIGURACIÓN!$B$42:$B$56,0)),-INT(-E80*(1+CONFIGURACIÓN!$C$17)/(INDEX(CONFIGURACIÓN!$H$42:$H$56,MATCH($A80,CONFIGURACIÓN!$B$42:$B$56,0))))*(INDEX(CONFIGURACIÓN!$H$42:$H$56,MATCH($A80,CONFIGURACIÓN!$B$42:$B$56,0))))))</f>
        <v/>
      </c>
      <c r="U80" s="13"/>
      <c r="V80" s="18" t="str">
        <f aca="false">IF($A80="","",IF(U80="","",IF(NOT(ISNUMBER(E80)),"sin carga inicial registrada",IF(U80&gt;E80,"OK","ERROR: debe ser &gt; "&amp;E80))))</f>
        <v/>
      </c>
      <c r="W80" s="11"/>
    </row>
    <row r="81" customFormat="false" ht="15" hidden="false" customHeight="true" outlineLevel="0" collapsed="false">
      <c r="A81" s="11"/>
      <c r="B81" s="11"/>
      <c r="C81" s="11"/>
      <c r="D81" s="28" t="str">
        <f aca="false">IF($A81="","",IF(_xlfn.MINIFS(HISTORIAL!$A$5:$A$2004,HISTORIAL!$E$5:$E$2004,$A81,HISTORIAL!$F$5:$F$2004,"Bilbo",HISTORIAL!$G$5:$G$2004,$B81)=0,"",INDEX(HISTORIAL!$B$5:$B$2004,_xlfn.MINIFS(HISTORIAL!$A$5:$A$2004,HISTORIAL!$E$5:$E$2004,$A81,HISTORIAL!$F$5:$F$2004,"Bilbo",HISTORIAL!$G$5:$G$2004,$B81))))</f>
        <v/>
      </c>
      <c r="E81" s="27" t="str">
        <f aca="false">IF($A81="","",IF(_xlfn.MINIFS(HISTORIAL!$A$5:$A$2004,HISTORIAL!$E$5:$E$2004,$A81,HISTORIAL!$F$5:$F$2004,"Bilbo",HISTORIAL!$G$5:$G$2004,$B81)=0,"",INDEX(HISTORIAL!$J$5:$J$2004,_xlfn.MINIFS(HISTORIAL!$A$5:$A$2004,HISTORIAL!$E$5:$E$2004,$A81,HISTORIAL!$F$5:$F$2004,"Bilbo",HISTORIAL!$G$5:$G$2004,$B81))))</f>
        <v/>
      </c>
      <c r="F81" s="18" t="str">
        <f aca="false">IF($A81="","",IF(_xlfn.MINIFS(HISTORIAL!$A$5:$A$2004,HISTORIAL!$E$5:$E$2004,$A81,HISTORIAL!$F$5:$F$2004,"Bilbo",HISTORIAL!$G$5:$G$2004,$B81)=0,"",INDEX(HISTORIAL!$K$5:$K$2004,_xlfn.MINIFS(HISTORIAL!$A$5:$A$2004,HISTORIAL!$E$5:$E$2004,$A81,HISTORIAL!$F$5:$F$2004,"Bilbo",HISTORIAL!$G$5:$G$2004,$B81))))</f>
        <v/>
      </c>
      <c r="G81" s="28" t="str">
        <f aca="false">IF($A81="","",IF(_xlfn.MAXIFS(HISTORIAL!$A$5:$A$2004,HISTORIAL!$E$5:$E$2004,$A81,HISTORIAL!$F$5:$F$2004,"Bilbo",HISTORIAL!$G$5:$G$2004,$B81)=0,"",INDEX(HISTORIAL!$B$5:$B$2004,_xlfn.MAXIFS(HISTORIAL!$A$5:$A$2004,HISTORIAL!$E$5:$E$2004,$A81,HISTORIAL!$F$5:$F$2004,"Bilbo",HISTORIAL!$G$5:$G$2004,$B81))))</f>
        <v/>
      </c>
      <c r="H81" s="27" t="str">
        <f aca="false">IF($A81="","",IF(_xlfn.MAXIFS(HISTORIAL!$A$5:$A$2004,HISTORIAL!$E$5:$E$2004,$A81,HISTORIAL!$F$5:$F$2004,"Bilbo",HISTORIAL!$G$5:$G$2004,$B81)=0,"",INDEX(HISTORIAL!$J$5:$J$2004,_xlfn.MAXIFS(HISTORIAL!$A$5:$A$2004,HISTORIAL!$E$5:$E$2004,$A81,HISTORIAL!$F$5:$F$2004,"Bilbo",HISTORIAL!$G$5:$G$2004,$B81))))</f>
        <v/>
      </c>
      <c r="I81" s="18" t="str">
        <f aca="false">IF($A81="","",IF(_xlfn.MAXIFS(HISTORIAL!$A$5:$A$2004,HISTORIAL!$E$5:$E$2004,$A81,HISTORIAL!$F$5:$F$2004,"Bilbo",HISTORIAL!$G$5:$G$2004,$B81)=0,"",INDEX(HISTORIAL!$K$5:$K$2004,_xlfn.MAXIFS(HISTORIAL!$A$5:$A$2004,HISTORIAL!$E$5:$E$2004,$A81,HISTORIAL!$F$5:$F$2004,"Bilbo",HISTORIAL!$G$5:$G$2004,$B81))))</f>
        <v/>
      </c>
      <c r="J81" s="18" t="str">
        <f aca="false">IF($A81="","",COUNTIFS(HISTORIAL!$E$5:$E$2004,$A81,HISTORIAL!$F$5:$F$2004,"Bilbo",HISTORIAL!$G$5:$G$2004,$B81))</f>
        <v/>
      </c>
      <c r="K81" s="27" t="str">
        <f aca="false">IF($A81="","",IF(J81=0,"",_xlfn.MAXIFS(HISTORIAL!$J$5:$J$2004,HISTORIAL!$E$5:$E$2004,$A81,HISTORIAL!$F$5:$F$2004,"Bilbo",HISTORIAL!$G$5:$G$2004,$B81)))</f>
        <v/>
      </c>
      <c r="L81" s="18" t="str">
        <f aca="false">IF($A81="","",IF(J81=0,"",_xlfn.MAXIFS(HISTORIAL!$K$5:$K$2004,HISTORIAL!$E$5:$E$2004,$A81,HISTORIAL!$F$5:$F$2004,"Bilbo",HISTORIAL!$G$5:$G$2004,$B81,HISTORIAL!$J$5:$J$2004,K81)))</f>
        <v/>
      </c>
      <c r="M81" s="27" t="str">
        <f aca="false">IF($A81="","",IF(J81=0,"",_xlfn.MAXIFS(HISTORIAL!$T$5:$T$2004,HISTORIAL!$E$5:$E$2004,$A81,HISTORIAL!$F$5:$F$2004,"Bilbo",HISTORIAL!$G$5:$G$2004,$B81)))</f>
        <v/>
      </c>
      <c r="N81" s="27" t="str">
        <f aca="false">IF($A81="","",IF(J81=0,"",H81-E81))</f>
        <v/>
      </c>
      <c r="O81" s="27" t="str">
        <f aca="false">IF($A81="","",IF(COUNTIFS($A$6:$A$105,$A81,$B$6:$B$105,$B81-1)=0,"",SUMIFS($E$6:$E$105,$A$6:$A$105,$A81,$B$6:$B$105,$B81-1)))</f>
        <v/>
      </c>
      <c r="P81" s="18" t="str">
        <f aca="false">IF($A81="","",IF(OR(O81="",NOT(ISNUMBER(E81))),"—",IF(E81&gt;O81,"OK","ERROR: debe ser &gt; "&amp;O81)))</f>
        <v/>
      </c>
      <c r="Q81" s="18" t="str">
        <f aca="false">IF($A81="","",IF(OR(O81="",NOT(ISNUMBER(E81))),"",IF(_xlfn.MAXIFS(HISTORIAL!$K$5:$K$2004,HISTORIAL!$E$5:$E$2004,$A81,HISTORIAL!$F$5:$F$2004,"Bilbo",HISTORIAL!$G$5:$G$2004,$B81-1,HISTORIAL!$J$5:$J$2004,E81)=0,"sin dato comparable",_xlfn.MAXIFS(HISTORIAL!$K$5:$K$2004,HISTORIAL!$E$5:$E$2004,$A81,HISTORIAL!$F$5:$F$2004,"Bilbo",HISTORIAL!$G$5:$G$2004,$B81-1,HISTORIAL!$J$5:$J$2004,E81))))</f>
        <v/>
      </c>
      <c r="R81" s="18" t="str">
        <f aca="false">IF($A81="","",IF(AND(ISNUMBER(Q81),ISNUMBER(F81)),F81-Q81,""))</f>
        <v/>
      </c>
      <c r="S81" s="27" t="str">
        <f aca="false">IF($A81="","",SUMIFS(HISTORIAL!$R$5:$R$2004,HISTORIAL!$E$5:$E$2004,$A81,HISTORIAL!$F$5:$F$2004,"Bilbo",HISTORIAL!$G$5:$G$2004,$B81)+SUMIFS(HISTORIAL!$R$5:$R$2004,HISTORIAL!$E$5:$E$2004,$A81,HISTORIAL!$F$5:$F$2004,"Post-Bilbo",HISTORIAL!$G$5:$G$2004,$B81))</f>
        <v/>
      </c>
      <c r="T81" s="27" t="str">
        <f aca="false">IF($A81="","",IF(NOT(ISNUMBER(E81)),"",MAX(E81+INDEX(CONFIGURACIÓN!$H$42:$H$56,MATCH($A81,CONFIGURACIÓN!$B$42:$B$56,0)),-INT(-E81*(1+CONFIGURACIÓN!$C$17)/(INDEX(CONFIGURACIÓN!$H$42:$H$56,MATCH($A81,CONFIGURACIÓN!$B$42:$B$56,0))))*(INDEX(CONFIGURACIÓN!$H$42:$H$56,MATCH($A81,CONFIGURACIÓN!$B$42:$B$56,0))))))</f>
        <v/>
      </c>
      <c r="U81" s="13"/>
      <c r="V81" s="18" t="str">
        <f aca="false">IF($A81="","",IF(U81="","",IF(NOT(ISNUMBER(E81)),"sin carga inicial registrada",IF(U81&gt;E81,"OK","ERROR: debe ser &gt; "&amp;E81))))</f>
        <v/>
      </c>
      <c r="W81" s="11"/>
    </row>
    <row r="82" customFormat="false" ht="15" hidden="false" customHeight="true" outlineLevel="0" collapsed="false">
      <c r="A82" s="11"/>
      <c r="B82" s="11"/>
      <c r="C82" s="11"/>
      <c r="D82" s="28" t="str">
        <f aca="false">IF($A82="","",IF(_xlfn.MINIFS(HISTORIAL!$A$5:$A$2004,HISTORIAL!$E$5:$E$2004,$A82,HISTORIAL!$F$5:$F$2004,"Bilbo",HISTORIAL!$G$5:$G$2004,$B82)=0,"",INDEX(HISTORIAL!$B$5:$B$2004,_xlfn.MINIFS(HISTORIAL!$A$5:$A$2004,HISTORIAL!$E$5:$E$2004,$A82,HISTORIAL!$F$5:$F$2004,"Bilbo",HISTORIAL!$G$5:$G$2004,$B82))))</f>
        <v/>
      </c>
      <c r="E82" s="27" t="str">
        <f aca="false">IF($A82="","",IF(_xlfn.MINIFS(HISTORIAL!$A$5:$A$2004,HISTORIAL!$E$5:$E$2004,$A82,HISTORIAL!$F$5:$F$2004,"Bilbo",HISTORIAL!$G$5:$G$2004,$B82)=0,"",INDEX(HISTORIAL!$J$5:$J$2004,_xlfn.MINIFS(HISTORIAL!$A$5:$A$2004,HISTORIAL!$E$5:$E$2004,$A82,HISTORIAL!$F$5:$F$2004,"Bilbo",HISTORIAL!$G$5:$G$2004,$B82))))</f>
        <v/>
      </c>
      <c r="F82" s="18" t="str">
        <f aca="false">IF($A82="","",IF(_xlfn.MINIFS(HISTORIAL!$A$5:$A$2004,HISTORIAL!$E$5:$E$2004,$A82,HISTORIAL!$F$5:$F$2004,"Bilbo",HISTORIAL!$G$5:$G$2004,$B82)=0,"",INDEX(HISTORIAL!$K$5:$K$2004,_xlfn.MINIFS(HISTORIAL!$A$5:$A$2004,HISTORIAL!$E$5:$E$2004,$A82,HISTORIAL!$F$5:$F$2004,"Bilbo",HISTORIAL!$G$5:$G$2004,$B82))))</f>
        <v/>
      </c>
      <c r="G82" s="28" t="str">
        <f aca="false">IF($A82="","",IF(_xlfn.MAXIFS(HISTORIAL!$A$5:$A$2004,HISTORIAL!$E$5:$E$2004,$A82,HISTORIAL!$F$5:$F$2004,"Bilbo",HISTORIAL!$G$5:$G$2004,$B82)=0,"",INDEX(HISTORIAL!$B$5:$B$2004,_xlfn.MAXIFS(HISTORIAL!$A$5:$A$2004,HISTORIAL!$E$5:$E$2004,$A82,HISTORIAL!$F$5:$F$2004,"Bilbo",HISTORIAL!$G$5:$G$2004,$B82))))</f>
        <v/>
      </c>
      <c r="H82" s="27" t="str">
        <f aca="false">IF($A82="","",IF(_xlfn.MAXIFS(HISTORIAL!$A$5:$A$2004,HISTORIAL!$E$5:$E$2004,$A82,HISTORIAL!$F$5:$F$2004,"Bilbo",HISTORIAL!$G$5:$G$2004,$B82)=0,"",INDEX(HISTORIAL!$J$5:$J$2004,_xlfn.MAXIFS(HISTORIAL!$A$5:$A$2004,HISTORIAL!$E$5:$E$2004,$A82,HISTORIAL!$F$5:$F$2004,"Bilbo",HISTORIAL!$G$5:$G$2004,$B82))))</f>
        <v/>
      </c>
      <c r="I82" s="18" t="str">
        <f aca="false">IF($A82="","",IF(_xlfn.MAXIFS(HISTORIAL!$A$5:$A$2004,HISTORIAL!$E$5:$E$2004,$A82,HISTORIAL!$F$5:$F$2004,"Bilbo",HISTORIAL!$G$5:$G$2004,$B82)=0,"",INDEX(HISTORIAL!$K$5:$K$2004,_xlfn.MAXIFS(HISTORIAL!$A$5:$A$2004,HISTORIAL!$E$5:$E$2004,$A82,HISTORIAL!$F$5:$F$2004,"Bilbo",HISTORIAL!$G$5:$G$2004,$B82))))</f>
        <v/>
      </c>
      <c r="J82" s="18" t="str">
        <f aca="false">IF($A82="","",COUNTIFS(HISTORIAL!$E$5:$E$2004,$A82,HISTORIAL!$F$5:$F$2004,"Bilbo",HISTORIAL!$G$5:$G$2004,$B82))</f>
        <v/>
      </c>
      <c r="K82" s="27" t="str">
        <f aca="false">IF($A82="","",IF(J82=0,"",_xlfn.MAXIFS(HISTORIAL!$J$5:$J$2004,HISTORIAL!$E$5:$E$2004,$A82,HISTORIAL!$F$5:$F$2004,"Bilbo",HISTORIAL!$G$5:$G$2004,$B82)))</f>
        <v/>
      </c>
      <c r="L82" s="18" t="str">
        <f aca="false">IF($A82="","",IF(J82=0,"",_xlfn.MAXIFS(HISTORIAL!$K$5:$K$2004,HISTORIAL!$E$5:$E$2004,$A82,HISTORIAL!$F$5:$F$2004,"Bilbo",HISTORIAL!$G$5:$G$2004,$B82,HISTORIAL!$J$5:$J$2004,K82)))</f>
        <v/>
      </c>
      <c r="M82" s="27" t="str">
        <f aca="false">IF($A82="","",IF(J82=0,"",_xlfn.MAXIFS(HISTORIAL!$T$5:$T$2004,HISTORIAL!$E$5:$E$2004,$A82,HISTORIAL!$F$5:$F$2004,"Bilbo",HISTORIAL!$G$5:$G$2004,$B82)))</f>
        <v/>
      </c>
      <c r="N82" s="27" t="str">
        <f aca="false">IF($A82="","",IF(J82=0,"",H82-E82))</f>
        <v/>
      </c>
      <c r="O82" s="27" t="str">
        <f aca="false">IF($A82="","",IF(COUNTIFS($A$6:$A$105,$A82,$B$6:$B$105,$B82-1)=0,"",SUMIFS($E$6:$E$105,$A$6:$A$105,$A82,$B$6:$B$105,$B82-1)))</f>
        <v/>
      </c>
      <c r="P82" s="18" t="str">
        <f aca="false">IF($A82="","",IF(OR(O82="",NOT(ISNUMBER(E82))),"—",IF(E82&gt;O82,"OK","ERROR: debe ser &gt; "&amp;O82)))</f>
        <v/>
      </c>
      <c r="Q82" s="18" t="str">
        <f aca="false">IF($A82="","",IF(OR(O82="",NOT(ISNUMBER(E82))),"",IF(_xlfn.MAXIFS(HISTORIAL!$K$5:$K$2004,HISTORIAL!$E$5:$E$2004,$A82,HISTORIAL!$F$5:$F$2004,"Bilbo",HISTORIAL!$G$5:$G$2004,$B82-1,HISTORIAL!$J$5:$J$2004,E82)=0,"sin dato comparable",_xlfn.MAXIFS(HISTORIAL!$K$5:$K$2004,HISTORIAL!$E$5:$E$2004,$A82,HISTORIAL!$F$5:$F$2004,"Bilbo",HISTORIAL!$G$5:$G$2004,$B82-1,HISTORIAL!$J$5:$J$2004,E82))))</f>
        <v/>
      </c>
      <c r="R82" s="18" t="str">
        <f aca="false">IF($A82="","",IF(AND(ISNUMBER(Q82),ISNUMBER(F82)),F82-Q82,""))</f>
        <v/>
      </c>
      <c r="S82" s="27" t="str">
        <f aca="false">IF($A82="","",SUMIFS(HISTORIAL!$R$5:$R$2004,HISTORIAL!$E$5:$E$2004,$A82,HISTORIAL!$F$5:$F$2004,"Bilbo",HISTORIAL!$G$5:$G$2004,$B82)+SUMIFS(HISTORIAL!$R$5:$R$2004,HISTORIAL!$E$5:$E$2004,$A82,HISTORIAL!$F$5:$F$2004,"Post-Bilbo",HISTORIAL!$G$5:$G$2004,$B82))</f>
        <v/>
      </c>
      <c r="T82" s="27" t="str">
        <f aca="false">IF($A82="","",IF(NOT(ISNUMBER(E82)),"",MAX(E82+INDEX(CONFIGURACIÓN!$H$42:$H$56,MATCH($A82,CONFIGURACIÓN!$B$42:$B$56,0)),-INT(-E82*(1+CONFIGURACIÓN!$C$17)/(INDEX(CONFIGURACIÓN!$H$42:$H$56,MATCH($A82,CONFIGURACIÓN!$B$42:$B$56,0))))*(INDEX(CONFIGURACIÓN!$H$42:$H$56,MATCH($A82,CONFIGURACIÓN!$B$42:$B$56,0))))))</f>
        <v/>
      </c>
      <c r="U82" s="13"/>
      <c r="V82" s="18" t="str">
        <f aca="false">IF($A82="","",IF(U82="","",IF(NOT(ISNUMBER(E82)),"sin carga inicial registrada",IF(U82&gt;E82,"OK","ERROR: debe ser &gt; "&amp;E82))))</f>
        <v/>
      </c>
      <c r="W82" s="11"/>
    </row>
    <row r="83" customFormat="false" ht="15" hidden="false" customHeight="true" outlineLevel="0" collapsed="false">
      <c r="A83" s="11"/>
      <c r="B83" s="11"/>
      <c r="C83" s="11"/>
      <c r="D83" s="28" t="str">
        <f aca="false">IF($A83="","",IF(_xlfn.MINIFS(HISTORIAL!$A$5:$A$2004,HISTORIAL!$E$5:$E$2004,$A83,HISTORIAL!$F$5:$F$2004,"Bilbo",HISTORIAL!$G$5:$G$2004,$B83)=0,"",INDEX(HISTORIAL!$B$5:$B$2004,_xlfn.MINIFS(HISTORIAL!$A$5:$A$2004,HISTORIAL!$E$5:$E$2004,$A83,HISTORIAL!$F$5:$F$2004,"Bilbo",HISTORIAL!$G$5:$G$2004,$B83))))</f>
        <v/>
      </c>
      <c r="E83" s="27" t="str">
        <f aca="false">IF($A83="","",IF(_xlfn.MINIFS(HISTORIAL!$A$5:$A$2004,HISTORIAL!$E$5:$E$2004,$A83,HISTORIAL!$F$5:$F$2004,"Bilbo",HISTORIAL!$G$5:$G$2004,$B83)=0,"",INDEX(HISTORIAL!$J$5:$J$2004,_xlfn.MINIFS(HISTORIAL!$A$5:$A$2004,HISTORIAL!$E$5:$E$2004,$A83,HISTORIAL!$F$5:$F$2004,"Bilbo",HISTORIAL!$G$5:$G$2004,$B83))))</f>
        <v/>
      </c>
      <c r="F83" s="18" t="str">
        <f aca="false">IF($A83="","",IF(_xlfn.MINIFS(HISTORIAL!$A$5:$A$2004,HISTORIAL!$E$5:$E$2004,$A83,HISTORIAL!$F$5:$F$2004,"Bilbo",HISTORIAL!$G$5:$G$2004,$B83)=0,"",INDEX(HISTORIAL!$K$5:$K$2004,_xlfn.MINIFS(HISTORIAL!$A$5:$A$2004,HISTORIAL!$E$5:$E$2004,$A83,HISTORIAL!$F$5:$F$2004,"Bilbo",HISTORIAL!$G$5:$G$2004,$B83))))</f>
        <v/>
      </c>
      <c r="G83" s="28" t="str">
        <f aca="false">IF($A83="","",IF(_xlfn.MAXIFS(HISTORIAL!$A$5:$A$2004,HISTORIAL!$E$5:$E$2004,$A83,HISTORIAL!$F$5:$F$2004,"Bilbo",HISTORIAL!$G$5:$G$2004,$B83)=0,"",INDEX(HISTORIAL!$B$5:$B$2004,_xlfn.MAXIFS(HISTORIAL!$A$5:$A$2004,HISTORIAL!$E$5:$E$2004,$A83,HISTORIAL!$F$5:$F$2004,"Bilbo",HISTORIAL!$G$5:$G$2004,$B83))))</f>
        <v/>
      </c>
      <c r="H83" s="27" t="str">
        <f aca="false">IF($A83="","",IF(_xlfn.MAXIFS(HISTORIAL!$A$5:$A$2004,HISTORIAL!$E$5:$E$2004,$A83,HISTORIAL!$F$5:$F$2004,"Bilbo",HISTORIAL!$G$5:$G$2004,$B83)=0,"",INDEX(HISTORIAL!$J$5:$J$2004,_xlfn.MAXIFS(HISTORIAL!$A$5:$A$2004,HISTORIAL!$E$5:$E$2004,$A83,HISTORIAL!$F$5:$F$2004,"Bilbo",HISTORIAL!$G$5:$G$2004,$B83))))</f>
        <v/>
      </c>
      <c r="I83" s="18" t="str">
        <f aca="false">IF($A83="","",IF(_xlfn.MAXIFS(HISTORIAL!$A$5:$A$2004,HISTORIAL!$E$5:$E$2004,$A83,HISTORIAL!$F$5:$F$2004,"Bilbo",HISTORIAL!$G$5:$G$2004,$B83)=0,"",INDEX(HISTORIAL!$K$5:$K$2004,_xlfn.MAXIFS(HISTORIAL!$A$5:$A$2004,HISTORIAL!$E$5:$E$2004,$A83,HISTORIAL!$F$5:$F$2004,"Bilbo",HISTORIAL!$G$5:$G$2004,$B83))))</f>
        <v/>
      </c>
      <c r="J83" s="18" t="str">
        <f aca="false">IF($A83="","",COUNTIFS(HISTORIAL!$E$5:$E$2004,$A83,HISTORIAL!$F$5:$F$2004,"Bilbo",HISTORIAL!$G$5:$G$2004,$B83))</f>
        <v/>
      </c>
      <c r="K83" s="27" t="str">
        <f aca="false">IF($A83="","",IF(J83=0,"",_xlfn.MAXIFS(HISTORIAL!$J$5:$J$2004,HISTORIAL!$E$5:$E$2004,$A83,HISTORIAL!$F$5:$F$2004,"Bilbo",HISTORIAL!$G$5:$G$2004,$B83)))</f>
        <v/>
      </c>
      <c r="L83" s="18" t="str">
        <f aca="false">IF($A83="","",IF(J83=0,"",_xlfn.MAXIFS(HISTORIAL!$K$5:$K$2004,HISTORIAL!$E$5:$E$2004,$A83,HISTORIAL!$F$5:$F$2004,"Bilbo",HISTORIAL!$G$5:$G$2004,$B83,HISTORIAL!$J$5:$J$2004,K83)))</f>
        <v/>
      </c>
      <c r="M83" s="27" t="str">
        <f aca="false">IF($A83="","",IF(J83=0,"",_xlfn.MAXIFS(HISTORIAL!$T$5:$T$2004,HISTORIAL!$E$5:$E$2004,$A83,HISTORIAL!$F$5:$F$2004,"Bilbo",HISTORIAL!$G$5:$G$2004,$B83)))</f>
        <v/>
      </c>
      <c r="N83" s="27" t="str">
        <f aca="false">IF($A83="","",IF(J83=0,"",H83-E83))</f>
        <v/>
      </c>
      <c r="O83" s="27" t="str">
        <f aca="false">IF($A83="","",IF(COUNTIFS($A$6:$A$105,$A83,$B$6:$B$105,$B83-1)=0,"",SUMIFS($E$6:$E$105,$A$6:$A$105,$A83,$B$6:$B$105,$B83-1)))</f>
        <v/>
      </c>
      <c r="P83" s="18" t="str">
        <f aca="false">IF($A83="","",IF(OR(O83="",NOT(ISNUMBER(E83))),"—",IF(E83&gt;O83,"OK","ERROR: debe ser &gt; "&amp;O83)))</f>
        <v/>
      </c>
      <c r="Q83" s="18" t="str">
        <f aca="false">IF($A83="","",IF(OR(O83="",NOT(ISNUMBER(E83))),"",IF(_xlfn.MAXIFS(HISTORIAL!$K$5:$K$2004,HISTORIAL!$E$5:$E$2004,$A83,HISTORIAL!$F$5:$F$2004,"Bilbo",HISTORIAL!$G$5:$G$2004,$B83-1,HISTORIAL!$J$5:$J$2004,E83)=0,"sin dato comparable",_xlfn.MAXIFS(HISTORIAL!$K$5:$K$2004,HISTORIAL!$E$5:$E$2004,$A83,HISTORIAL!$F$5:$F$2004,"Bilbo",HISTORIAL!$G$5:$G$2004,$B83-1,HISTORIAL!$J$5:$J$2004,E83))))</f>
        <v/>
      </c>
      <c r="R83" s="18" t="str">
        <f aca="false">IF($A83="","",IF(AND(ISNUMBER(Q83),ISNUMBER(F83)),F83-Q83,""))</f>
        <v/>
      </c>
      <c r="S83" s="27" t="str">
        <f aca="false">IF($A83="","",SUMIFS(HISTORIAL!$R$5:$R$2004,HISTORIAL!$E$5:$E$2004,$A83,HISTORIAL!$F$5:$F$2004,"Bilbo",HISTORIAL!$G$5:$G$2004,$B83)+SUMIFS(HISTORIAL!$R$5:$R$2004,HISTORIAL!$E$5:$E$2004,$A83,HISTORIAL!$F$5:$F$2004,"Post-Bilbo",HISTORIAL!$G$5:$G$2004,$B83))</f>
        <v/>
      </c>
      <c r="T83" s="27" t="str">
        <f aca="false">IF($A83="","",IF(NOT(ISNUMBER(E83)),"",MAX(E83+INDEX(CONFIGURACIÓN!$H$42:$H$56,MATCH($A83,CONFIGURACIÓN!$B$42:$B$56,0)),-INT(-E83*(1+CONFIGURACIÓN!$C$17)/(INDEX(CONFIGURACIÓN!$H$42:$H$56,MATCH($A83,CONFIGURACIÓN!$B$42:$B$56,0))))*(INDEX(CONFIGURACIÓN!$H$42:$H$56,MATCH($A83,CONFIGURACIÓN!$B$42:$B$56,0))))))</f>
        <v/>
      </c>
      <c r="U83" s="13"/>
      <c r="V83" s="18" t="str">
        <f aca="false">IF($A83="","",IF(U83="","",IF(NOT(ISNUMBER(E83)),"sin carga inicial registrada",IF(U83&gt;E83,"OK","ERROR: debe ser &gt; "&amp;E83))))</f>
        <v/>
      </c>
      <c r="W83" s="11"/>
    </row>
    <row r="84" customFormat="false" ht="15" hidden="false" customHeight="true" outlineLevel="0" collapsed="false">
      <c r="A84" s="11"/>
      <c r="B84" s="11"/>
      <c r="C84" s="11"/>
      <c r="D84" s="28" t="str">
        <f aca="false">IF($A84="","",IF(_xlfn.MINIFS(HISTORIAL!$A$5:$A$2004,HISTORIAL!$E$5:$E$2004,$A84,HISTORIAL!$F$5:$F$2004,"Bilbo",HISTORIAL!$G$5:$G$2004,$B84)=0,"",INDEX(HISTORIAL!$B$5:$B$2004,_xlfn.MINIFS(HISTORIAL!$A$5:$A$2004,HISTORIAL!$E$5:$E$2004,$A84,HISTORIAL!$F$5:$F$2004,"Bilbo",HISTORIAL!$G$5:$G$2004,$B84))))</f>
        <v/>
      </c>
      <c r="E84" s="27" t="str">
        <f aca="false">IF($A84="","",IF(_xlfn.MINIFS(HISTORIAL!$A$5:$A$2004,HISTORIAL!$E$5:$E$2004,$A84,HISTORIAL!$F$5:$F$2004,"Bilbo",HISTORIAL!$G$5:$G$2004,$B84)=0,"",INDEX(HISTORIAL!$J$5:$J$2004,_xlfn.MINIFS(HISTORIAL!$A$5:$A$2004,HISTORIAL!$E$5:$E$2004,$A84,HISTORIAL!$F$5:$F$2004,"Bilbo",HISTORIAL!$G$5:$G$2004,$B84))))</f>
        <v/>
      </c>
      <c r="F84" s="18" t="str">
        <f aca="false">IF($A84="","",IF(_xlfn.MINIFS(HISTORIAL!$A$5:$A$2004,HISTORIAL!$E$5:$E$2004,$A84,HISTORIAL!$F$5:$F$2004,"Bilbo",HISTORIAL!$G$5:$G$2004,$B84)=0,"",INDEX(HISTORIAL!$K$5:$K$2004,_xlfn.MINIFS(HISTORIAL!$A$5:$A$2004,HISTORIAL!$E$5:$E$2004,$A84,HISTORIAL!$F$5:$F$2004,"Bilbo",HISTORIAL!$G$5:$G$2004,$B84))))</f>
        <v/>
      </c>
      <c r="G84" s="28" t="str">
        <f aca="false">IF($A84="","",IF(_xlfn.MAXIFS(HISTORIAL!$A$5:$A$2004,HISTORIAL!$E$5:$E$2004,$A84,HISTORIAL!$F$5:$F$2004,"Bilbo",HISTORIAL!$G$5:$G$2004,$B84)=0,"",INDEX(HISTORIAL!$B$5:$B$2004,_xlfn.MAXIFS(HISTORIAL!$A$5:$A$2004,HISTORIAL!$E$5:$E$2004,$A84,HISTORIAL!$F$5:$F$2004,"Bilbo",HISTORIAL!$G$5:$G$2004,$B84))))</f>
        <v/>
      </c>
      <c r="H84" s="27" t="str">
        <f aca="false">IF($A84="","",IF(_xlfn.MAXIFS(HISTORIAL!$A$5:$A$2004,HISTORIAL!$E$5:$E$2004,$A84,HISTORIAL!$F$5:$F$2004,"Bilbo",HISTORIAL!$G$5:$G$2004,$B84)=0,"",INDEX(HISTORIAL!$J$5:$J$2004,_xlfn.MAXIFS(HISTORIAL!$A$5:$A$2004,HISTORIAL!$E$5:$E$2004,$A84,HISTORIAL!$F$5:$F$2004,"Bilbo",HISTORIAL!$G$5:$G$2004,$B84))))</f>
        <v/>
      </c>
      <c r="I84" s="18" t="str">
        <f aca="false">IF($A84="","",IF(_xlfn.MAXIFS(HISTORIAL!$A$5:$A$2004,HISTORIAL!$E$5:$E$2004,$A84,HISTORIAL!$F$5:$F$2004,"Bilbo",HISTORIAL!$G$5:$G$2004,$B84)=0,"",INDEX(HISTORIAL!$K$5:$K$2004,_xlfn.MAXIFS(HISTORIAL!$A$5:$A$2004,HISTORIAL!$E$5:$E$2004,$A84,HISTORIAL!$F$5:$F$2004,"Bilbo",HISTORIAL!$G$5:$G$2004,$B84))))</f>
        <v/>
      </c>
      <c r="J84" s="18" t="str">
        <f aca="false">IF($A84="","",COUNTIFS(HISTORIAL!$E$5:$E$2004,$A84,HISTORIAL!$F$5:$F$2004,"Bilbo",HISTORIAL!$G$5:$G$2004,$B84))</f>
        <v/>
      </c>
      <c r="K84" s="27" t="str">
        <f aca="false">IF($A84="","",IF(J84=0,"",_xlfn.MAXIFS(HISTORIAL!$J$5:$J$2004,HISTORIAL!$E$5:$E$2004,$A84,HISTORIAL!$F$5:$F$2004,"Bilbo",HISTORIAL!$G$5:$G$2004,$B84)))</f>
        <v/>
      </c>
      <c r="L84" s="18" t="str">
        <f aca="false">IF($A84="","",IF(J84=0,"",_xlfn.MAXIFS(HISTORIAL!$K$5:$K$2004,HISTORIAL!$E$5:$E$2004,$A84,HISTORIAL!$F$5:$F$2004,"Bilbo",HISTORIAL!$G$5:$G$2004,$B84,HISTORIAL!$J$5:$J$2004,K84)))</f>
        <v/>
      </c>
      <c r="M84" s="27" t="str">
        <f aca="false">IF($A84="","",IF(J84=0,"",_xlfn.MAXIFS(HISTORIAL!$T$5:$T$2004,HISTORIAL!$E$5:$E$2004,$A84,HISTORIAL!$F$5:$F$2004,"Bilbo",HISTORIAL!$G$5:$G$2004,$B84)))</f>
        <v/>
      </c>
      <c r="N84" s="27" t="str">
        <f aca="false">IF($A84="","",IF(J84=0,"",H84-E84))</f>
        <v/>
      </c>
      <c r="O84" s="27" t="str">
        <f aca="false">IF($A84="","",IF(COUNTIFS($A$6:$A$105,$A84,$B$6:$B$105,$B84-1)=0,"",SUMIFS($E$6:$E$105,$A$6:$A$105,$A84,$B$6:$B$105,$B84-1)))</f>
        <v/>
      </c>
      <c r="P84" s="18" t="str">
        <f aca="false">IF($A84="","",IF(OR(O84="",NOT(ISNUMBER(E84))),"—",IF(E84&gt;O84,"OK","ERROR: debe ser &gt; "&amp;O84)))</f>
        <v/>
      </c>
      <c r="Q84" s="18" t="str">
        <f aca="false">IF($A84="","",IF(OR(O84="",NOT(ISNUMBER(E84))),"",IF(_xlfn.MAXIFS(HISTORIAL!$K$5:$K$2004,HISTORIAL!$E$5:$E$2004,$A84,HISTORIAL!$F$5:$F$2004,"Bilbo",HISTORIAL!$G$5:$G$2004,$B84-1,HISTORIAL!$J$5:$J$2004,E84)=0,"sin dato comparable",_xlfn.MAXIFS(HISTORIAL!$K$5:$K$2004,HISTORIAL!$E$5:$E$2004,$A84,HISTORIAL!$F$5:$F$2004,"Bilbo",HISTORIAL!$G$5:$G$2004,$B84-1,HISTORIAL!$J$5:$J$2004,E84))))</f>
        <v/>
      </c>
      <c r="R84" s="18" t="str">
        <f aca="false">IF($A84="","",IF(AND(ISNUMBER(Q84),ISNUMBER(F84)),F84-Q84,""))</f>
        <v/>
      </c>
      <c r="S84" s="27" t="str">
        <f aca="false">IF($A84="","",SUMIFS(HISTORIAL!$R$5:$R$2004,HISTORIAL!$E$5:$E$2004,$A84,HISTORIAL!$F$5:$F$2004,"Bilbo",HISTORIAL!$G$5:$G$2004,$B84)+SUMIFS(HISTORIAL!$R$5:$R$2004,HISTORIAL!$E$5:$E$2004,$A84,HISTORIAL!$F$5:$F$2004,"Post-Bilbo",HISTORIAL!$G$5:$G$2004,$B84))</f>
        <v/>
      </c>
      <c r="T84" s="27" t="str">
        <f aca="false">IF($A84="","",IF(NOT(ISNUMBER(E84)),"",MAX(E84+INDEX(CONFIGURACIÓN!$H$42:$H$56,MATCH($A84,CONFIGURACIÓN!$B$42:$B$56,0)),-INT(-E84*(1+CONFIGURACIÓN!$C$17)/(INDEX(CONFIGURACIÓN!$H$42:$H$56,MATCH($A84,CONFIGURACIÓN!$B$42:$B$56,0))))*(INDEX(CONFIGURACIÓN!$H$42:$H$56,MATCH($A84,CONFIGURACIÓN!$B$42:$B$56,0))))))</f>
        <v/>
      </c>
      <c r="U84" s="13"/>
      <c r="V84" s="18" t="str">
        <f aca="false">IF($A84="","",IF(U84="","",IF(NOT(ISNUMBER(E84)),"sin carga inicial registrada",IF(U84&gt;E84,"OK","ERROR: debe ser &gt; "&amp;E84))))</f>
        <v/>
      </c>
      <c r="W84" s="11"/>
    </row>
    <row r="85" customFormat="false" ht="15" hidden="false" customHeight="true" outlineLevel="0" collapsed="false">
      <c r="A85" s="11"/>
      <c r="B85" s="11"/>
      <c r="C85" s="11"/>
      <c r="D85" s="28" t="str">
        <f aca="false">IF($A85="","",IF(_xlfn.MINIFS(HISTORIAL!$A$5:$A$2004,HISTORIAL!$E$5:$E$2004,$A85,HISTORIAL!$F$5:$F$2004,"Bilbo",HISTORIAL!$G$5:$G$2004,$B85)=0,"",INDEX(HISTORIAL!$B$5:$B$2004,_xlfn.MINIFS(HISTORIAL!$A$5:$A$2004,HISTORIAL!$E$5:$E$2004,$A85,HISTORIAL!$F$5:$F$2004,"Bilbo",HISTORIAL!$G$5:$G$2004,$B85))))</f>
        <v/>
      </c>
      <c r="E85" s="27" t="str">
        <f aca="false">IF($A85="","",IF(_xlfn.MINIFS(HISTORIAL!$A$5:$A$2004,HISTORIAL!$E$5:$E$2004,$A85,HISTORIAL!$F$5:$F$2004,"Bilbo",HISTORIAL!$G$5:$G$2004,$B85)=0,"",INDEX(HISTORIAL!$J$5:$J$2004,_xlfn.MINIFS(HISTORIAL!$A$5:$A$2004,HISTORIAL!$E$5:$E$2004,$A85,HISTORIAL!$F$5:$F$2004,"Bilbo",HISTORIAL!$G$5:$G$2004,$B85))))</f>
        <v/>
      </c>
      <c r="F85" s="18" t="str">
        <f aca="false">IF($A85="","",IF(_xlfn.MINIFS(HISTORIAL!$A$5:$A$2004,HISTORIAL!$E$5:$E$2004,$A85,HISTORIAL!$F$5:$F$2004,"Bilbo",HISTORIAL!$G$5:$G$2004,$B85)=0,"",INDEX(HISTORIAL!$K$5:$K$2004,_xlfn.MINIFS(HISTORIAL!$A$5:$A$2004,HISTORIAL!$E$5:$E$2004,$A85,HISTORIAL!$F$5:$F$2004,"Bilbo",HISTORIAL!$G$5:$G$2004,$B85))))</f>
        <v/>
      </c>
      <c r="G85" s="28" t="str">
        <f aca="false">IF($A85="","",IF(_xlfn.MAXIFS(HISTORIAL!$A$5:$A$2004,HISTORIAL!$E$5:$E$2004,$A85,HISTORIAL!$F$5:$F$2004,"Bilbo",HISTORIAL!$G$5:$G$2004,$B85)=0,"",INDEX(HISTORIAL!$B$5:$B$2004,_xlfn.MAXIFS(HISTORIAL!$A$5:$A$2004,HISTORIAL!$E$5:$E$2004,$A85,HISTORIAL!$F$5:$F$2004,"Bilbo",HISTORIAL!$G$5:$G$2004,$B85))))</f>
        <v/>
      </c>
      <c r="H85" s="27" t="str">
        <f aca="false">IF($A85="","",IF(_xlfn.MAXIFS(HISTORIAL!$A$5:$A$2004,HISTORIAL!$E$5:$E$2004,$A85,HISTORIAL!$F$5:$F$2004,"Bilbo",HISTORIAL!$G$5:$G$2004,$B85)=0,"",INDEX(HISTORIAL!$J$5:$J$2004,_xlfn.MAXIFS(HISTORIAL!$A$5:$A$2004,HISTORIAL!$E$5:$E$2004,$A85,HISTORIAL!$F$5:$F$2004,"Bilbo",HISTORIAL!$G$5:$G$2004,$B85))))</f>
        <v/>
      </c>
      <c r="I85" s="18" t="str">
        <f aca="false">IF($A85="","",IF(_xlfn.MAXIFS(HISTORIAL!$A$5:$A$2004,HISTORIAL!$E$5:$E$2004,$A85,HISTORIAL!$F$5:$F$2004,"Bilbo",HISTORIAL!$G$5:$G$2004,$B85)=0,"",INDEX(HISTORIAL!$K$5:$K$2004,_xlfn.MAXIFS(HISTORIAL!$A$5:$A$2004,HISTORIAL!$E$5:$E$2004,$A85,HISTORIAL!$F$5:$F$2004,"Bilbo",HISTORIAL!$G$5:$G$2004,$B85))))</f>
        <v/>
      </c>
      <c r="J85" s="18" t="str">
        <f aca="false">IF($A85="","",COUNTIFS(HISTORIAL!$E$5:$E$2004,$A85,HISTORIAL!$F$5:$F$2004,"Bilbo",HISTORIAL!$G$5:$G$2004,$B85))</f>
        <v/>
      </c>
      <c r="K85" s="27" t="str">
        <f aca="false">IF($A85="","",IF(J85=0,"",_xlfn.MAXIFS(HISTORIAL!$J$5:$J$2004,HISTORIAL!$E$5:$E$2004,$A85,HISTORIAL!$F$5:$F$2004,"Bilbo",HISTORIAL!$G$5:$G$2004,$B85)))</f>
        <v/>
      </c>
      <c r="L85" s="18" t="str">
        <f aca="false">IF($A85="","",IF(J85=0,"",_xlfn.MAXIFS(HISTORIAL!$K$5:$K$2004,HISTORIAL!$E$5:$E$2004,$A85,HISTORIAL!$F$5:$F$2004,"Bilbo",HISTORIAL!$G$5:$G$2004,$B85,HISTORIAL!$J$5:$J$2004,K85)))</f>
        <v/>
      </c>
      <c r="M85" s="27" t="str">
        <f aca="false">IF($A85="","",IF(J85=0,"",_xlfn.MAXIFS(HISTORIAL!$T$5:$T$2004,HISTORIAL!$E$5:$E$2004,$A85,HISTORIAL!$F$5:$F$2004,"Bilbo",HISTORIAL!$G$5:$G$2004,$B85)))</f>
        <v/>
      </c>
      <c r="N85" s="27" t="str">
        <f aca="false">IF($A85="","",IF(J85=0,"",H85-E85))</f>
        <v/>
      </c>
      <c r="O85" s="27" t="str">
        <f aca="false">IF($A85="","",IF(COUNTIFS($A$6:$A$105,$A85,$B$6:$B$105,$B85-1)=0,"",SUMIFS($E$6:$E$105,$A$6:$A$105,$A85,$B$6:$B$105,$B85-1)))</f>
        <v/>
      </c>
      <c r="P85" s="18" t="str">
        <f aca="false">IF($A85="","",IF(OR(O85="",NOT(ISNUMBER(E85))),"—",IF(E85&gt;O85,"OK","ERROR: debe ser &gt; "&amp;O85)))</f>
        <v/>
      </c>
      <c r="Q85" s="18" t="str">
        <f aca="false">IF($A85="","",IF(OR(O85="",NOT(ISNUMBER(E85))),"",IF(_xlfn.MAXIFS(HISTORIAL!$K$5:$K$2004,HISTORIAL!$E$5:$E$2004,$A85,HISTORIAL!$F$5:$F$2004,"Bilbo",HISTORIAL!$G$5:$G$2004,$B85-1,HISTORIAL!$J$5:$J$2004,E85)=0,"sin dato comparable",_xlfn.MAXIFS(HISTORIAL!$K$5:$K$2004,HISTORIAL!$E$5:$E$2004,$A85,HISTORIAL!$F$5:$F$2004,"Bilbo",HISTORIAL!$G$5:$G$2004,$B85-1,HISTORIAL!$J$5:$J$2004,E85))))</f>
        <v/>
      </c>
      <c r="R85" s="18" t="str">
        <f aca="false">IF($A85="","",IF(AND(ISNUMBER(Q85),ISNUMBER(F85)),F85-Q85,""))</f>
        <v/>
      </c>
      <c r="S85" s="27" t="str">
        <f aca="false">IF($A85="","",SUMIFS(HISTORIAL!$R$5:$R$2004,HISTORIAL!$E$5:$E$2004,$A85,HISTORIAL!$F$5:$F$2004,"Bilbo",HISTORIAL!$G$5:$G$2004,$B85)+SUMIFS(HISTORIAL!$R$5:$R$2004,HISTORIAL!$E$5:$E$2004,$A85,HISTORIAL!$F$5:$F$2004,"Post-Bilbo",HISTORIAL!$G$5:$G$2004,$B85))</f>
        <v/>
      </c>
      <c r="T85" s="27" t="str">
        <f aca="false">IF($A85="","",IF(NOT(ISNUMBER(E85)),"",MAX(E85+INDEX(CONFIGURACIÓN!$H$42:$H$56,MATCH($A85,CONFIGURACIÓN!$B$42:$B$56,0)),-INT(-E85*(1+CONFIGURACIÓN!$C$17)/(INDEX(CONFIGURACIÓN!$H$42:$H$56,MATCH($A85,CONFIGURACIÓN!$B$42:$B$56,0))))*(INDEX(CONFIGURACIÓN!$H$42:$H$56,MATCH($A85,CONFIGURACIÓN!$B$42:$B$56,0))))))</f>
        <v/>
      </c>
      <c r="U85" s="13"/>
      <c r="V85" s="18" t="str">
        <f aca="false">IF($A85="","",IF(U85="","",IF(NOT(ISNUMBER(E85)),"sin carga inicial registrada",IF(U85&gt;E85,"OK","ERROR: debe ser &gt; "&amp;E85))))</f>
        <v/>
      </c>
      <c r="W85" s="11"/>
    </row>
    <row r="86" customFormat="false" ht="15" hidden="false" customHeight="true" outlineLevel="0" collapsed="false">
      <c r="A86" s="11"/>
      <c r="B86" s="11"/>
      <c r="C86" s="11"/>
      <c r="D86" s="28" t="str">
        <f aca="false">IF($A86="","",IF(_xlfn.MINIFS(HISTORIAL!$A$5:$A$2004,HISTORIAL!$E$5:$E$2004,$A86,HISTORIAL!$F$5:$F$2004,"Bilbo",HISTORIAL!$G$5:$G$2004,$B86)=0,"",INDEX(HISTORIAL!$B$5:$B$2004,_xlfn.MINIFS(HISTORIAL!$A$5:$A$2004,HISTORIAL!$E$5:$E$2004,$A86,HISTORIAL!$F$5:$F$2004,"Bilbo",HISTORIAL!$G$5:$G$2004,$B86))))</f>
        <v/>
      </c>
      <c r="E86" s="27" t="str">
        <f aca="false">IF($A86="","",IF(_xlfn.MINIFS(HISTORIAL!$A$5:$A$2004,HISTORIAL!$E$5:$E$2004,$A86,HISTORIAL!$F$5:$F$2004,"Bilbo",HISTORIAL!$G$5:$G$2004,$B86)=0,"",INDEX(HISTORIAL!$J$5:$J$2004,_xlfn.MINIFS(HISTORIAL!$A$5:$A$2004,HISTORIAL!$E$5:$E$2004,$A86,HISTORIAL!$F$5:$F$2004,"Bilbo",HISTORIAL!$G$5:$G$2004,$B86))))</f>
        <v/>
      </c>
      <c r="F86" s="18" t="str">
        <f aca="false">IF($A86="","",IF(_xlfn.MINIFS(HISTORIAL!$A$5:$A$2004,HISTORIAL!$E$5:$E$2004,$A86,HISTORIAL!$F$5:$F$2004,"Bilbo",HISTORIAL!$G$5:$G$2004,$B86)=0,"",INDEX(HISTORIAL!$K$5:$K$2004,_xlfn.MINIFS(HISTORIAL!$A$5:$A$2004,HISTORIAL!$E$5:$E$2004,$A86,HISTORIAL!$F$5:$F$2004,"Bilbo",HISTORIAL!$G$5:$G$2004,$B86))))</f>
        <v/>
      </c>
      <c r="G86" s="28" t="str">
        <f aca="false">IF($A86="","",IF(_xlfn.MAXIFS(HISTORIAL!$A$5:$A$2004,HISTORIAL!$E$5:$E$2004,$A86,HISTORIAL!$F$5:$F$2004,"Bilbo",HISTORIAL!$G$5:$G$2004,$B86)=0,"",INDEX(HISTORIAL!$B$5:$B$2004,_xlfn.MAXIFS(HISTORIAL!$A$5:$A$2004,HISTORIAL!$E$5:$E$2004,$A86,HISTORIAL!$F$5:$F$2004,"Bilbo",HISTORIAL!$G$5:$G$2004,$B86))))</f>
        <v/>
      </c>
      <c r="H86" s="27" t="str">
        <f aca="false">IF($A86="","",IF(_xlfn.MAXIFS(HISTORIAL!$A$5:$A$2004,HISTORIAL!$E$5:$E$2004,$A86,HISTORIAL!$F$5:$F$2004,"Bilbo",HISTORIAL!$G$5:$G$2004,$B86)=0,"",INDEX(HISTORIAL!$J$5:$J$2004,_xlfn.MAXIFS(HISTORIAL!$A$5:$A$2004,HISTORIAL!$E$5:$E$2004,$A86,HISTORIAL!$F$5:$F$2004,"Bilbo",HISTORIAL!$G$5:$G$2004,$B86))))</f>
        <v/>
      </c>
      <c r="I86" s="18" t="str">
        <f aca="false">IF($A86="","",IF(_xlfn.MAXIFS(HISTORIAL!$A$5:$A$2004,HISTORIAL!$E$5:$E$2004,$A86,HISTORIAL!$F$5:$F$2004,"Bilbo",HISTORIAL!$G$5:$G$2004,$B86)=0,"",INDEX(HISTORIAL!$K$5:$K$2004,_xlfn.MAXIFS(HISTORIAL!$A$5:$A$2004,HISTORIAL!$E$5:$E$2004,$A86,HISTORIAL!$F$5:$F$2004,"Bilbo",HISTORIAL!$G$5:$G$2004,$B86))))</f>
        <v/>
      </c>
      <c r="J86" s="18" t="str">
        <f aca="false">IF($A86="","",COUNTIFS(HISTORIAL!$E$5:$E$2004,$A86,HISTORIAL!$F$5:$F$2004,"Bilbo",HISTORIAL!$G$5:$G$2004,$B86))</f>
        <v/>
      </c>
      <c r="K86" s="27" t="str">
        <f aca="false">IF($A86="","",IF(J86=0,"",_xlfn.MAXIFS(HISTORIAL!$J$5:$J$2004,HISTORIAL!$E$5:$E$2004,$A86,HISTORIAL!$F$5:$F$2004,"Bilbo",HISTORIAL!$G$5:$G$2004,$B86)))</f>
        <v/>
      </c>
      <c r="L86" s="18" t="str">
        <f aca="false">IF($A86="","",IF(J86=0,"",_xlfn.MAXIFS(HISTORIAL!$K$5:$K$2004,HISTORIAL!$E$5:$E$2004,$A86,HISTORIAL!$F$5:$F$2004,"Bilbo",HISTORIAL!$G$5:$G$2004,$B86,HISTORIAL!$J$5:$J$2004,K86)))</f>
        <v/>
      </c>
      <c r="M86" s="27" t="str">
        <f aca="false">IF($A86="","",IF(J86=0,"",_xlfn.MAXIFS(HISTORIAL!$T$5:$T$2004,HISTORIAL!$E$5:$E$2004,$A86,HISTORIAL!$F$5:$F$2004,"Bilbo",HISTORIAL!$G$5:$G$2004,$B86)))</f>
        <v/>
      </c>
      <c r="N86" s="27" t="str">
        <f aca="false">IF($A86="","",IF(J86=0,"",H86-E86))</f>
        <v/>
      </c>
      <c r="O86" s="27" t="str">
        <f aca="false">IF($A86="","",IF(COUNTIFS($A$6:$A$105,$A86,$B$6:$B$105,$B86-1)=0,"",SUMIFS($E$6:$E$105,$A$6:$A$105,$A86,$B$6:$B$105,$B86-1)))</f>
        <v/>
      </c>
      <c r="P86" s="18" t="str">
        <f aca="false">IF($A86="","",IF(OR(O86="",NOT(ISNUMBER(E86))),"—",IF(E86&gt;O86,"OK","ERROR: debe ser &gt; "&amp;O86)))</f>
        <v/>
      </c>
      <c r="Q86" s="18" t="str">
        <f aca="false">IF($A86="","",IF(OR(O86="",NOT(ISNUMBER(E86))),"",IF(_xlfn.MAXIFS(HISTORIAL!$K$5:$K$2004,HISTORIAL!$E$5:$E$2004,$A86,HISTORIAL!$F$5:$F$2004,"Bilbo",HISTORIAL!$G$5:$G$2004,$B86-1,HISTORIAL!$J$5:$J$2004,E86)=0,"sin dato comparable",_xlfn.MAXIFS(HISTORIAL!$K$5:$K$2004,HISTORIAL!$E$5:$E$2004,$A86,HISTORIAL!$F$5:$F$2004,"Bilbo",HISTORIAL!$G$5:$G$2004,$B86-1,HISTORIAL!$J$5:$J$2004,E86))))</f>
        <v/>
      </c>
      <c r="R86" s="18" t="str">
        <f aca="false">IF($A86="","",IF(AND(ISNUMBER(Q86),ISNUMBER(F86)),F86-Q86,""))</f>
        <v/>
      </c>
      <c r="S86" s="27" t="str">
        <f aca="false">IF($A86="","",SUMIFS(HISTORIAL!$R$5:$R$2004,HISTORIAL!$E$5:$E$2004,$A86,HISTORIAL!$F$5:$F$2004,"Bilbo",HISTORIAL!$G$5:$G$2004,$B86)+SUMIFS(HISTORIAL!$R$5:$R$2004,HISTORIAL!$E$5:$E$2004,$A86,HISTORIAL!$F$5:$F$2004,"Post-Bilbo",HISTORIAL!$G$5:$G$2004,$B86))</f>
        <v/>
      </c>
      <c r="T86" s="27" t="str">
        <f aca="false">IF($A86="","",IF(NOT(ISNUMBER(E86)),"",MAX(E86+INDEX(CONFIGURACIÓN!$H$42:$H$56,MATCH($A86,CONFIGURACIÓN!$B$42:$B$56,0)),-INT(-E86*(1+CONFIGURACIÓN!$C$17)/(INDEX(CONFIGURACIÓN!$H$42:$H$56,MATCH($A86,CONFIGURACIÓN!$B$42:$B$56,0))))*(INDEX(CONFIGURACIÓN!$H$42:$H$56,MATCH($A86,CONFIGURACIÓN!$B$42:$B$56,0))))))</f>
        <v/>
      </c>
      <c r="U86" s="13"/>
      <c r="V86" s="18" t="str">
        <f aca="false">IF($A86="","",IF(U86="","",IF(NOT(ISNUMBER(E86)),"sin carga inicial registrada",IF(U86&gt;E86,"OK","ERROR: debe ser &gt; "&amp;E86))))</f>
        <v/>
      </c>
      <c r="W86" s="11"/>
    </row>
    <row r="87" customFormat="false" ht="15" hidden="false" customHeight="true" outlineLevel="0" collapsed="false">
      <c r="A87" s="11"/>
      <c r="B87" s="11"/>
      <c r="C87" s="11"/>
      <c r="D87" s="28" t="str">
        <f aca="false">IF($A87="","",IF(_xlfn.MINIFS(HISTORIAL!$A$5:$A$2004,HISTORIAL!$E$5:$E$2004,$A87,HISTORIAL!$F$5:$F$2004,"Bilbo",HISTORIAL!$G$5:$G$2004,$B87)=0,"",INDEX(HISTORIAL!$B$5:$B$2004,_xlfn.MINIFS(HISTORIAL!$A$5:$A$2004,HISTORIAL!$E$5:$E$2004,$A87,HISTORIAL!$F$5:$F$2004,"Bilbo",HISTORIAL!$G$5:$G$2004,$B87))))</f>
        <v/>
      </c>
      <c r="E87" s="27" t="str">
        <f aca="false">IF($A87="","",IF(_xlfn.MINIFS(HISTORIAL!$A$5:$A$2004,HISTORIAL!$E$5:$E$2004,$A87,HISTORIAL!$F$5:$F$2004,"Bilbo",HISTORIAL!$G$5:$G$2004,$B87)=0,"",INDEX(HISTORIAL!$J$5:$J$2004,_xlfn.MINIFS(HISTORIAL!$A$5:$A$2004,HISTORIAL!$E$5:$E$2004,$A87,HISTORIAL!$F$5:$F$2004,"Bilbo",HISTORIAL!$G$5:$G$2004,$B87))))</f>
        <v/>
      </c>
      <c r="F87" s="18" t="str">
        <f aca="false">IF($A87="","",IF(_xlfn.MINIFS(HISTORIAL!$A$5:$A$2004,HISTORIAL!$E$5:$E$2004,$A87,HISTORIAL!$F$5:$F$2004,"Bilbo",HISTORIAL!$G$5:$G$2004,$B87)=0,"",INDEX(HISTORIAL!$K$5:$K$2004,_xlfn.MINIFS(HISTORIAL!$A$5:$A$2004,HISTORIAL!$E$5:$E$2004,$A87,HISTORIAL!$F$5:$F$2004,"Bilbo",HISTORIAL!$G$5:$G$2004,$B87))))</f>
        <v/>
      </c>
      <c r="G87" s="28" t="str">
        <f aca="false">IF($A87="","",IF(_xlfn.MAXIFS(HISTORIAL!$A$5:$A$2004,HISTORIAL!$E$5:$E$2004,$A87,HISTORIAL!$F$5:$F$2004,"Bilbo",HISTORIAL!$G$5:$G$2004,$B87)=0,"",INDEX(HISTORIAL!$B$5:$B$2004,_xlfn.MAXIFS(HISTORIAL!$A$5:$A$2004,HISTORIAL!$E$5:$E$2004,$A87,HISTORIAL!$F$5:$F$2004,"Bilbo",HISTORIAL!$G$5:$G$2004,$B87))))</f>
        <v/>
      </c>
      <c r="H87" s="27" t="str">
        <f aca="false">IF($A87="","",IF(_xlfn.MAXIFS(HISTORIAL!$A$5:$A$2004,HISTORIAL!$E$5:$E$2004,$A87,HISTORIAL!$F$5:$F$2004,"Bilbo",HISTORIAL!$G$5:$G$2004,$B87)=0,"",INDEX(HISTORIAL!$J$5:$J$2004,_xlfn.MAXIFS(HISTORIAL!$A$5:$A$2004,HISTORIAL!$E$5:$E$2004,$A87,HISTORIAL!$F$5:$F$2004,"Bilbo",HISTORIAL!$G$5:$G$2004,$B87))))</f>
        <v/>
      </c>
      <c r="I87" s="18" t="str">
        <f aca="false">IF($A87="","",IF(_xlfn.MAXIFS(HISTORIAL!$A$5:$A$2004,HISTORIAL!$E$5:$E$2004,$A87,HISTORIAL!$F$5:$F$2004,"Bilbo",HISTORIAL!$G$5:$G$2004,$B87)=0,"",INDEX(HISTORIAL!$K$5:$K$2004,_xlfn.MAXIFS(HISTORIAL!$A$5:$A$2004,HISTORIAL!$E$5:$E$2004,$A87,HISTORIAL!$F$5:$F$2004,"Bilbo",HISTORIAL!$G$5:$G$2004,$B87))))</f>
        <v/>
      </c>
      <c r="J87" s="18" t="str">
        <f aca="false">IF($A87="","",COUNTIFS(HISTORIAL!$E$5:$E$2004,$A87,HISTORIAL!$F$5:$F$2004,"Bilbo",HISTORIAL!$G$5:$G$2004,$B87))</f>
        <v/>
      </c>
      <c r="K87" s="27" t="str">
        <f aca="false">IF($A87="","",IF(J87=0,"",_xlfn.MAXIFS(HISTORIAL!$J$5:$J$2004,HISTORIAL!$E$5:$E$2004,$A87,HISTORIAL!$F$5:$F$2004,"Bilbo",HISTORIAL!$G$5:$G$2004,$B87)))</f>
        <v/>
      </c>
      <c r="L87" s="18" t="str">
        <f aca="false">IF($A87="","",IF(J87=0,"",_xlfn.MAXIFS(HISTORIAL!$K$5:$K$2004,HISTORIAL!$E$5:$E$2004,$A87,HISTORIAL!$F$5:$F$2004,"Bilbo",HISTORIAL!$G$5:$G$2004,$B87,HISTORIAL!$J$5:$J$2004,K87)))</f>
        <v/>
      </c>
      <c r="M87" s="27" t="str">
        <f aca="false">IF($A87="","",IF(J87=0,"",_xlfn.MAXIFS(HISTORIAL!$T$5:$T$2004,HISTORIAL!$E$5:$E$2004,$A87,HISTORIAL!$F$5:$F$2004,"Bilbo",HISTORIAL!$G$5:$G$2004,$B87)))</f>
        <v/>
      </c>
      <c r="N87" s="27" t="str">
        <f aca="false">IF($A87="","",IF(J87=0,"",H87-E87))</f>
        <v/>
      </c>
      <c r="O87" s="27" t="str">
        <f aca="false">IF($A87="","",IF(COUNTIFS($A$6:$A$105,$A87,$B$6:$B$105,$B87-1)=0,"",SUMIFS($E$6:$E$105,$A$6:$A$105,$A87,$B$6:$B$105,$B87-1)))</f>
        <v/>
      </c>
      <c r="P87" s="18" t="str">
        <f aca="false">IF($A87="","",IF(OR(O87="",NOT(ISNUMBER(E87))),"—",IF(E87&gt;O87,"OK","ERROR: debe ser &gt; "&amp;O87)))</f>
        <v/>
      </c>
      <c r="Q87" s="18" t="str">
        <f aca="false">IF($A87="","",IF(OR(O87="",NOT(ISNUMBER(E87))),"",IF(_xlfn.MAXIFS(HISTORIAL!$K$5:$K$2004,HISTORIAL!$E$5:$E$2004,$A87,HISTORIAL!$F$5:$F$2004,"Bilbo",HISTORIAL!$G$5:$G$2004,$B87-1,HISTORIAL!$J$5:$J$2004,E87)=0,"sin dato comparable",_xlfn.MAXIFS(HISTORIAL!$K$5:$K$2004,HISTORIAL!$E$5:$E$2004,$A87,HISTORIAL!$F$5:$F$2004,"Bilbo",HISTORIAL!$G$5:$G$2004,$B87-1,HISTORIAL!$J$5:$J$2004,E87))))</f>
        <v/>
      </c>
      <c r="R87" s="18" t="str">
        <f aca="false">IF($A87="","",IF(AND(ISNUMBER(Q87),ISNUMBER(F87)),F87-Q87,""))</f>
        <v/>
      </c>
      <c r="S87" s="27" t="str">
        <f aca="false">IF($A87="","",SUMIFS(HISTORIAL!$R$5:$R$2004,HISTORIAL!$E$5:$E$2004,$A87,HISTORIAL!$F$5:$F$2004,"Bilbo",HISTORIAL!$G$5:$G$2004,$B87)+SUMIFS(HISTORIAL!$R$5:$R$2004,HISTORIAL!$E$5:$E$2004,$A87,HISTORIAL!$F$5:$F$2004,"Post-Bilbo",HISTORIAL!$G$5:$G$2004,$B87))</f>
        <v/>
      </c>
      <c r="T87" s="27" t="str">
        <f aca="false">IF($A87="","",IF(NOT(ISNUMBER(E87)),"",MAX(E87+INDEX(CONFIGURACIÓN!$H$42:$H$56,MATCH($A87,CONFIGURACIÓN!$B$42:$B$56,0)),-INT(-E87*(1+CONFIGURACIÓN!$C$17)/(INDEX(CONFIGURACIÓN!$H$42:$H$56,MATCH($A87,CONFIGURACIÓN!$B$42:$B$56,0))))*(INDEX(CONFIGURACIÓN!$H$42:$H$56,MATCH($A87,CONFIGURACIÓN!$B$42:$B$56,0))))))</f>
        <v/>
      </c>
      <c r="U87" s="13"/>
      <c r="V87" s="18" t="str">
        <f aca="false">IF($A87="","",IF(U87="","",IF(NOT(ISNUMBER(E87)),"sin carga inicial registrada",IF(U87&gt;E87,"OK","ERROR: debe ser &gt; "&amp;E87))))</f>
        <v/>
      </c>
      <c r="W87" s="11"/>
    </row>
    <row r="88" customFormat="false" ht="15" hidden="false" customHeight="true" outlineLevel="0" collapsed="false">
      <c r="A88" s="11"/>
      <c r="B88" s="11"/>
      <c r="C88" s="11"/>
      <c r="D88" s="28" t="str">
        <f aca="false">IF($A88="","",IF(_xlfn.MINIFS(HISTORIAL!$A$5:$A$2004,HISTORIAL!$E$5:$E$2004,$A88,HISTORIAL!$F$5:$F$2004,"Bilbo",HISTORIAL!$G$5:$G$2004,$B88)=0,"",INDEX(HISTORIAL!$B$5:$B$2004,_xlfn.MINIFS(HISTORIAL!$A$5:$A$2004,HISTORIAL!$E$5:$E$2004,$A88,HISTORIAL!$F$5:$F$2004,"Bilbo",HISTORIAL!$G$5:$G$2004,$B88))))</f>
        <v/>
      </c>
      <c r="E88" s="27" t="str">
        <f aca="false">IF($A88="","",IF(_xlfn.MINIFS(HISTORIAL!$A$5:$A$2004,HISTORIAL!$E$5:$E$2004,$A88,HISTORIAL!$F$5:$F$2004,"Bilbo",HISTORIAL!$G$5:$G$2004,$B88)=0,"",INDEX(HISTORIAL!$J$5:$J$2004,_xlfn.MINIFS(HISTORIAL!$A$5:$A$2004,HISTORIAL!$E$5:$E$2004,$A88,HISTORIAL!$F$5:$F$2004,"Bilbo",HISTORIAL!$G$5:$G$2004,$B88))))</f>
        <v/>
      </c>
      <c r="F88" s="18" t="str">
        <f aca="false">IF($A88="","",IF(_xlfn.MINIFS(HISTORIAL!$A$5:$A$2004,HISTORIAL!$E$5:$E$2004,$A88,HISTORIAL!$F$5:$F$2004,"Bilbo",HISTORIAL!$G$5:$G$2004,$B88)=0,"",INDEX(HISTORIAL!$K$5:$K$2004,_xlfn.MINIFS(HISTORIAL!$A$5:$A$2004,HISTORIAL!$E$5:$E$2004,$A88,HISTORIAL!$F$5:$F$2004,"Bilbo",HISTORIAL!$G$5:$G$2004,$B88))))</f>
        <v/>
      </c>
      <c r="G88" s="28" t="str">
        <f aca="false">IF($A88="","",IF(_xlfn.MAXIFS(HISTORIAL!$A$5:$A$2004,HISTORIAL!$E$5:$E$2004,$A88,HISTORIAL!$F$5:$F$2004,"Bilbo",HISTORIAL!$G$5:$G$2004,$B88)=0,"",INDEX(HISTORIAL!$B$5:$B$2004,_xlfn.MAXIFS(HISTORIAL!$A$5:$A$2004,HISTORIAL!$E$5:$E$2004,$A88,HISTORIAL!$F$5:$F$2004,"Bilbo",HISTORIAL!$G$5:$G$2004,$B88))))</f>
        <v/>
      </c>
      <c r="H88" s="27" t="str">
        <f aca="false">IF($A88="","",IF(_xlfn.MAXIFS(HISTORIAL!$A$5:$A$2004,HISTORIAL!$E$5:$E$2004,$A88,HISTORIAL!$F$5:$F$2004,"Bilbo",HISTORIAL!$G$5:$G$2004,$B88)=0,"",INDEX(HISTORIAL!$J$5:$J$2004,_xlfn.MAXIFS(HISTORIAL!$A$5:$A$2004,HISTORIAL!$E$5:$E$2004,$A88,HISTORIAL!$F$5:$F$2004,"Bilbo",HISTORIAL!$G$5:$G$2004,$B88))))</f>
        <v/>
      </c>
      <c r="I88" s="18" t="str">
        <f aca="false">IF($A88="","",IF(_xlfn.MAXIFS(HISTORIAL!$A$5:$A$2004,HISTORIAL!$E$5:$E$2004,$A88,HISTORIAL!$F$5:$F$2004,"Bilbo",HISTORIAL!$G$5:$G$2004,$B88)=0,"",INDEX(HISTORIAL!$K$5:$K$2004,_xlfn.MAXIFS(HISTORIAL!$A$5:$A$2004,HISTORIAL!$E$5:$E$2004,$A88,HISTORIAL!$F$5:$F$2004,"Bilbo",HISTORIAL!$G$5:$G$2004,$B88))))</f>
        <v/>
      </c>
      <c r="J88" s="18" t="str">
        <f aca="false">IF($A88="","",COUNTIFS(HISTORIAL!$E$5:$E$2004,$A88,HISTORIAL!$F$5:$F$2004,"Bilbo",HISTORIAL!$G$5:$G$2004,$B88))</f>
        <v/>
      </c>
      <c r="K88" s="27" t="str">
        <f aca="false">IF($A88="","",IF(J88=0,"",_xlfn.MAXIFS(HISTORIAL!$J$5:$J$2004,HISTORIAL!$E$5:$E$2004,$A88,HISTORIAL!$F$5:$F$2004,"Bilbo",HISTORIAL!$G$5:$G$2004,$B88)))</f>
        <v/>
      </c>
      <c r="L88" s="18" t="str">
        <f aca="false">IF($A88="","",IF(J88=0,"",_xlfn.MAXIFS(HISTORIAL!$K$5:$K$2004,HISTORIAL!$E$5:$E$2004,$A88,HISTORIAL!$F$5:$F$2004,"Bilbo",HISTORIAL!$G$5:$G$2004,$B88,HISTORIAL!$J$5:$J$2004,K88)))</f>
        <v/>
      </c>
      <c r="M88" s="27" t="str">
        <f aca="false">IF($A88="","",IF(J88=0,"",_xlfn.MAXIFS(HISTORIAL!$T$5:$T$2004,HISTORIAL!$E$5:$E$2004,$A88,HISTORIAL!$F$5:$F$2004,"Bilbo",HISTORIAL!$G$5:$G$2004,$B88)))</f>
        <v/>
      </c>
      <c r="N88" s="27" t="str">
        <f aca="false">IF($A88="","",IF(J88=0,"",H88-E88))</f>
        <v/>
      </c>
      <c r="O88" s="27" t="str">
        <f aca="false">IF($A88="","",IF(COUNTIFS($A$6:$A$105,$A88,$B$6:$B$105,$B88-1)=0,"",SUMIFS($E$6:$E$105,$A$6:$A$105,$A88,$B$6:$B$105,$B88-1)))</f>
        <v/>
      </c>
      <c r="P88" s="18" t="str">
        <f aca="false">IF($A88="","",IF(OR(O88="",NOT(ISNUMBER(E88))),"—",IF(E88&gt;O88,"OK","ERROR: debe ser &gt; "&amp;O88)))</f>
        <v/>
      </c>
      <c r="Q88" s="18" t="str">
        <f aca="false">IF($A88="","",IF(OR(O88="",NOT(ISNUMBER(E88))),"",IF(_xlfn.MAXIFS(HISTORIAL!$K$5:$K$2004,HISTORIAL!$E$5:$E$2004,$A88,HISTORIAL!$F$5:$F$2004,"Bilbo",HISTORIAL!$G$5:$G$2004,$B88-1,HISTORIAL!$J$5:$J$2004,E88)=0,"sin dato comparable",_xlfn.MAXIFS(HISTORIAL!$K$5:$K$2004,HISTORIAL!$E$5:$E$2004,$A88,HISTORIAL!$F$5:$F$2004,"Bilbo",HISTORIAL!$G$5:$G$2004,$B88-1,HISTORIAL!$J$5:$J$2004,E88))))</f>
        <v/>
      </c>
      <c r="R88" s="18" t="str">
        <f aca="false">IF($A88="","",IF(AND(ISNUMBER(Q88),ISNUMBER(F88)),F88-Q88,""))</f>
        <v/>
      </c>
      <c r="S88" s="27" t="str">
        <f aca="false">IF($A88="","",SUMIFS(HISTORIAL!$R$5:$R$2004,HISTORIAL!$E$5:$E$2004,$A88,HISTORIAL!$F$5:$F$2004,"Bilbo",HISTORIAL!$G$5:$G$2004,$B88)+SUMIFS(HISTORIAL!$R$5:$R$2004,HISTORIAL!$E$5:$E$2004,$A88,HISTORIAL!$F$5:$F$2004,"Post-Bilbo",HISTORIAL!$G$5:$G$2004,$B88))</f>
        <v/>
      </c>
      <c r="T88" s="27" t="str">
        <f aca="false">IF($A88="","",IF(NOT(ISNUMBER(E88)),"",MAX(E88+INDEX(CONFIGURACIÓN!$H$42:$H$56,MATCH($A88,CONFIGURACIÓN!$B$42:$B$56,0)),-INT(-E88*(1+CONFIGURACIÓN!$C$17)/(INDEX(CONFIGURACIÓN!$H$42:$H$56,MATCH($A88,CONFIGURACIÓN!$B$42:$B$56,0))))*(INDEX(CONFIGURACIÓN!$H$42:$H$56,MATCH($A88,CONFIGURACIÓN!$B$42:$B$56,0))))))</f>
        <v/>
      </c>
      <c r="U88" s="13"/>
      <c r="V88" s="18" t="str">
        <f aca="false">IF($A88="","",IF(U88="","",IF(NOT(ISNUMBER(E88)),"sin carga inicial registrada",IF(U88&gt;E88,"OK","ERROR: debe ser &gt; "&amp;E88))))</f>
        <v/>
      </c>
      <c r="W88" s="11"/>
    </row>
    <row r="89" customFormat="false" ht="15" hidden="false" customHeight="true" outlineLevel="0" collapsed="false">
      <c r="A89" s="11"/>
      <c r="B89" s="11"/>
      <c r="C89" s="11"/>
      <c r="D89" s="28" t="str">
        <f aca="false">IF($A89="","",IF(_xlfn.MINIFS(HISTORIAL!$A$5:$A$2004,HISTORIAL!$E$5:$E$2004,$A89,HISTORIAL!$F$5:$F$2004,"Bilbo",HISTORIAL!$G$5:$G$2004,$B89)=0,"",INDEX(HISTORIAL!$B$5:$B$2004,_xlfn.MINIFS(HISTORIAL!$A$5:$A$2004,HISTORIAL!$E$5:$E$2004,$A89,HISTORIAL!$F$5:$F$2004,"Bilbo",HISTORIAL!$G$5:$G$2004,$B89))))</f>
        <v/>
      </c>
      <c r="E89" s="27" t="str">
        <f aca="false">IF($A89="","",IF(_xlfn.MINIFS(HISTORIAL!$A$5:$A$2004,HISTORIAL!$E$5:$E$2004,$A89,HISTORIAL!$F$5:$F$2004,"Bilbo",HISTORIAL!$G$5:$G$2004,$B89)=0,"",INDEX(HISTORIAL!$J$5:$J$2004,_xlfn.MINIFS(HISTORIAL!$A$5:$A$2004,HISTORIAL!$E$5:$E$2004,$A89,HISTORIAL!$F$5:$F$2004,"Bilbo",HISTORIAL!$G$5:$G$2004,$B89))))</f>
        <v/>
      </c>
      <c r="F89" s="18" t="str">
        <f aca="false">IF($A89="","",IF(_xlfn.MINIFS(HISTORIAL!$A$5:$A$2004,HISTORIAL!$E$5:$E$2004,$A89,HISTORIAL!$F$5:$F$2004,"Bilbo",HISTORIAL!$G$5:$G$2004,$B89)=0,"",INDEX(HISTORIAL!$K$5:$K$2004,_xlfn.MINIFS(HISTORIAL!$A$5:$A$2004,HISTORIAL!$E$5:$E$2004,$A89,HISTORIAL!$F$5:$F$2004,"Bilbo",HISTORIAL!$G$5:$G$2004,$B89))))</f>
        <v/>
      </c>
      <c r="G89" s="28" t="str">
        <f aca="false">IF($A89="","",IF(_xlfn.MAXIFS(HISTORIAL!$A$5:$A$2004,HISTORIAL!$E$5:$E$2004,$A89,HISTORIAL!$F$5:$F$2004,"Bilbo",HISTORIAL!$G$5:$G$2004,$B89)=0,"",INDEX(HISTORIAL!$B$5:$B$2004,_xlfn.MAXIFS(HISTORIAL!$A$5:$A$2004,HISTORIAL!$E$5:$E$2004,$A89,HISTORIAL!$F$5:$F$2004,"Bilbo",HISTORIAL!$G$5:$G$2004,$B89))))</f>
        <v/>
      </c>
      <c r="H89" s="27" t="str">
        <f aca="false">IF($A89="","",IF(_xlfn.MAXIFS(HISTORIAL!$A$5:$A$2004,HISTORIAL!$E$5:$E$2004,$A89,HISTORIAL!$F$5:$F$2004,"Bilbo",HISTORIAL!$G$5:$G$2004,$B89)=0,"",INDEX(HISTORIAL!$J$5:$J$2004,_xlfn.MAXIFS(HISTORIAL!$A$5:$A$2004,HISTORIAL!$E$5:$E$2004,$A89,HISTORIAL!$F$5:$F$2004,"Bilbo",HISTORIAL!$G$5:$G$2004,$B89))))</f>
        <v/>
      </c>
      <c r="I89" s="18" t="str">
        <f aca="false">IF($A89="","",IF(_xlfn.MAXIFS(HISTORIAL!$A$5:$A$2004,HISTORIAL!$E$5:$E$2004,$A89,HISTORIAL!$F$5:$F$2004,"Bilbo",HISTORIAL!$G$5:$G$2004,$B89)=0,"",INDEX(HISTORIAL!$K$5:$K$2004,_xlfn.MAXIFS(HISTORIAL!$A$5:$A$2004,HISTORIAL!$E$5:$E$2004,$A89,HISTORIAL!$F$5:$F$2004,"Bilbo",HISTORIAL!$G$5:$G$2004,$B89))))</f>
        <v/>
      </c>
      <c r="J89" s="18" t="str">
        <f aca="false">IF($A89="","",COUNTIFS(HISTORIAL!$E$5:$E$2004,$A89,HISTORIAL!$F$5:$F$2004,"Bilbo",HISTORIAL!$G$5:$G$2004,$B89))</f>
        <v/>
      </c>
      <c r="K89" s="27" t="str">
        <f aca="false">IF($A89="","",IF(J89=0,"",_xlfn.MAXIFS(HISTORIAL!$J$5:$J$2004,HISTORIAL!$E$5:$E$2004,$A89,HISTORIAL!$F$5:$F$2004,"Bilbo",HISTORIAL!$G$5:$G$2004,$B89)))</f>
        <v/>
      </c>
      <c r="L89" s="18" t="str">
        <f aca="false">IF($A89="","",IF(J89=0,"",_xlfn.MAXIFS(HISTORIAL!$K$5:$K$2004,HISTORIAL!$E$5:$E$2004,$A89,HISTORIAL!$F$5:$F$2004,"Bilbo",HISTORIAL!$G$5:$G$2004,$B89,HISTORIAL!$J$5:$J$2004,K89)))</f>
        <v/>
      </c>
      <c r="M89" s="27" t="str">
        <f aca="false">IF($A89="","",IF(J89=0,"",_xlfn.MAXIFS(HISTORIAL!$T$5:$T$2004,HISTORIAL!$E$5:$E$2004,$A89,HISTORIAL!$F$5:$F$2004,"Bilbo",HISTORIAL!$G$5:$G$2004,$B89)))</f>
        <v/>
      </c>
      <c r="N89" s="27" t="str">
        <f aca="false">IF($A89="","",IF(J89=0,"",H89-E89))</f>
        <v/>
      </c>
      <c r="O89" s="27" t="str">
        <f aca="false">IF($A89="","",IF(COUNTIFS($A$6:$A$105,$A89,$B$6:$B$105,$B89-1)=0,"",SUMIFS($E$6:$E$105,$A$6:$A$105,$A89,$B$6:$B$105,$B89-1)))</f>
        <v/>
      </c>
      <c r="P89" s="18" t="str">
        <f aca="false">IF($A89="","",IF(OR(O89="",NOT(ISNUMBER(E89))),"—",IF(E89&gt;O89,"OK","ERROR: debe ser &gt; "&amp;O89)))</f>
        <v/>
      </c>
      <c r="Q89" s="18" t="str">
        <f aca="false">IF($A89="","",IF(OR(O89="",NOT(ISNUMBER(E89))),"",IF(_xlfn.MAXIFS(HISTORIAL!$K$5:$K$2004,HISTORIAL!$E$5:$E$2004,$A89,HISTORIAL!$F$5:$F$2004,"Bilbo",HISTORIAL!$G$5:$G$2004,$B89-1,HISTORIAL!$J$5:$J$2004,E89)=0,"sin dato comparable",_xlfn.MAXIFS(HISTORIAL!$K$5:$K$2004,HISTORIAL!$E$5:$E$2004,$A89,HISTORIAL!$F$5:$F$2004,"Bilbo",HISTORIAL!$G$5:$G$2004,$B89-1,HISTORIAL!$J$5:$J$2004,E89))))</f>
        <v/>
      </c>
      <c r="R89" s="18" t="str">
        <f aca="false">IF($A89="","",IF(AND(ISNUMBER(Q89),ISNUMBER(F89)),F89-Q89,""))</f>
        <v/>
      </c>
      <c r="S89" s="27" t="str">
        <f aca="false">IF($A89="","",SUMIFS(HISTORIAL!$R$5:$R$2004,HISTORIAL!$E$5:$E$2004,$A89,HISTORIAL!$F$5:$F$2004,"Bilbo",HISTORIAL!$G$5:$G$2004,$B89)+SUMIFS(HISTORIAL!$R$5:$R$2004,HISTORIAL!$E$5:$E$2004,$A89,HISTORIAL!$F$5:$F$2004,"Post-Bilbo",HISTORIAL!$G$5:$G$2004,$B89))</f>
        <v/>
      </c>
      <c r="T89" s="27" t="str">
        <f aca="false">IF($A89="","",IF(NOT(ISNUMBER(E89)),"",MAX(E89+INDEX(CONFIGURACIÓN!$H$42:$H$56,MATCH($A89,CONFIGURACIÓN!$B$42:$B$56,0)),-INT(-E89*(1+CONFIGURACIÓN!$C$17)/(INDEX(CONFIGURACIÓN!$H$42:$H$56,MATCH($A89,CONFIGURACIÓN!$B$42:$B$56,0))))*(INDEX(CONFIGURACIÓN!$H$42:$H$56,MATCH($A89,CONFIGURACIÓN!$B$42:$B$56,0))))))</f>
        <v/>
      </c>
      <c r="U89" s="13"/>
      <c r="V89" s="18" t="str">
        <f aca="false">IF($A89="","",IF(U89="","",IF(NOT(ISNUMBER(E89)),"sin carga inicial registrada",IF(U89&gt;E89,"OK","ERROR: debe ser &gt; "&amp;E89))))</f>
        <v/>
      </c>
      <c r="W89" s="11"/>
    </row>
    <row r="90" customFormat="false" ht="15" hidden="false" customHeight="true" outlineLevel="0" collapsed="false">
      <c r="A90" s="11"/>
      <c r="B90" s="11"/>
      <c r="C90" s="11"/>
      <c r="D90" s="28" t="str">
        <f aca="false">IF($A90="","",IF(_xlfn.MINIFS(HISTORIAL!$A$5:$A$2004,HISTORIAL!$E$5:$E$2004,$A90,HISTORIAL!$F$5:$F$2004,"Bilbo",HISTORIAL!$G$5:$G$2004,$B90)=0,"",INDEX(HISTORIAL!$B$5:$B$2004,_xlfn.MINIFS(HISTORIAL!$A$5:$A$2004,HISTORIAL!$E$5:$E$2004,$A90,HISTORIAL!$F$5:$F$2004,"Bilbo",HISTORIAL!$G$5:$G$2004,$B90))))</f>
        <v/>
      </c>
      <c r="E90" s="27" t="str">
        <f aca="false">IF($A90="","",IF(_xlfn.MINIFS(HISTORIAL!$A$5:$A$2004,HISTORIAL!$E$5:$E$2004,$A90,HISTORIAL!$F$5:$F$2004,"Bilbo",HISTORIAL!$G$5:$G$2004,$B90)=0,"",INDEX(HISTORIAL!$J$5:$J$2004,_xlfn.MINIFS(HISTORIAL!$A$5:$A$2004,HISTORIAL!$E$5:$E$2004,$A90,HISTORIAL!$F$5:$F$2004,"Bilbo",HISTORIAL!$G$5:$G$2004,$B90))))</f>
        <v/>
      </c>
      <c r="F90" s="18" t="str">
        <f aca="false">IF($A90="","",IF(_xlfn.MINIFS(HISTORIAL!$A$5:$A$2004,HISTORIAL!$E$5:$E$2004,$A90,HISTORIAL!$F$5:$F$2004,"Bilbo",HISTORIAL!$G$5:$G$2004,$B90)=0,"",INDEX(HISTORIAL!$K$5:$K$2004,_xlfn.MINIFS(HISTORIAL!$A$5:$A$2004,HISTORIAL!$E$5:$E$2004,$A90,HISTORIAL!$F$5:$F$2004,"Bilbo",HISTORIAL!$G$5:$G$2004,$B90))))</f>
        <v/>
      </c>
      <c r="G90" s="28" t="str">
        <f aca="false">IF($A90="","",IF(_xlfn.MAXIFS(HISTORIAL!$A$5:$A$2004,HISTORIAL!$E$5:$E$2004,$A90,HISTORIAL!$F$5:$F$2004,"Bilbo",HISTORIAL!$G$5:$G$2004,$B90)=0,"",INDEX(HISTORIAL!$B$5:$B$2004,_xlfn.MAXIFS(HISTORIAL!$A$5:$A$2004,HISTORIAL!$E$5:$E$2004,$A90,HISTORIAL!$F$5:$F$2004,"Bilbo",HISTORIAL!$G$5:$G$2004,$B90))))</f>
        <v/>
      </c>
      <c r="H90" s="27" t="str">
        <f aca="false">IF($A90="","",IF(_xlfn.MAXIFS(HISTORIAL!$A$5:$A$2004,HISTORIAL!$E$5:$E$2004,$A90,HISTORIAL!$F$5:$F$2004,"Bilbo",HISTORIAL!$G$5:$G$2004,$B90)=0,"",INDEX(HISTORIAL!$J$5:$J$2004,_xlfn.MAXIFS(HISTORIAL!$A$5:$A$2004,HISTORIAL!$E$5:$E$2004,$A90,HISTORIAL!$F$5:$F$2004,"Bilbo",HISTORIAL!$G$5:$G$2004,$B90))))</f>
        <v/>
      </c>
      <c r="I90" s="18" t="str">
        <f aca="false">IF($A90="","",IF(_xlfn.MAXIFS(HISTORIAL!$A$5:$A$2004,HISTORIAL!$E$5:$E$2004,$A90,HISTORIAL!$F$5:$F$2004,"Bilbo",HISTORIAL!$G$5:$G$2004,$B90)=0,"",INDEX(HISTORIAL!$K$5:$K$2004,_xlfn.MAXIFS(HISTORIAL!$A$5:$A$2004,HISTORIAL!$E$5:$E$2004,$A90,HISTORIAL!$F$5:$F$2004,"Bilbo",HISTORIAL!$G$5:$G$2004,$B90))))</f>
        <v/>
      </c>
      <c r="J90" s="18" t="str">
        <f aca="false">IF($A90="","",COUNTIFS(HISTORIAL!$E$5:$E$2004,$A90,HISTORIAL!$F$5:$F$2004,"Bilbo",HISTORIAL!$G$5:$G$2004,$B90))</f>
        <v/>
      </c>
      <c r="K90" s="27" t="str">
        <f aca="false">IF($A90="","",IF(J90=0,"",_xlfn.MAXIFS(HISTORIAL!$J$5:$J$2004,HISTORIAL!$E$5:$E$2004,$A90,HISTORIAL!$F$5:$F$2004,"Bilbo",HISTORIAL!$G$5:$G$2004,$B90)))</f>
        <v/>
      </c>
      <c r="L90" s="18" t="str">
        <f aca="false">IF($A90="","",IF(J90=0,"",_xlfn.MAXIFS(HISTORIAL!$K$5:$K$2004,HISTORIAL!$E$5:$E$2004,$A90,HISTORIAL!$F$5:$F$2004,"Bilbo",HISTORIAL!$G$5:$G$2004,$B90,HISTORIAL!$J$5:$J$2004,K90)))</f>
        <v/>
      </c>
      <c r="M90" s="27" t="str">
        <f aca="false">IF($A90="","",IF(J90=0,"",_xlfn.MAXIFS(HISTORIAL!$T$5:$T$2004,HISTORIAL!$E$5:$E$2004,$A90,HISTORIAL!$F$5:$F$2004,"Bilbo",HISTORIAL!$G$5:$G$2004,$B90)))</f>
        <v/>
      </c>
      <c r="N90" s="27" t="str">
        <f aca="false">IF($A90="","",IF(J90=0,"",H90-E90))</f>
        <v/>
      </c>
      <c r="O90" s="27" t="str">
        <f aca="false">IF($A90="","",IF(COUNTIFS($A$6:$A$105,$A90,$B$6:$B$105,$B90-1)=0,"",SUMIFS($E$6:$E$105,$A$6:$A$105,$A90,$B$6:$B$105,$B90-1)))</f>
        <v/>
      </c>
      <c r="P90" s="18" t="str">
        <f aca="false">IF($A90="","",IF(OR(O90="",NOT(ISNUMBER(E90))),"—",IF(E90&gt;O90,"OK","ERROR: debe ser &gt; "&amp;O90)))</f>
        <v/>
      </c>
      <c r="Q90" s="18" t="str">
        <f aca="false">IF($A90="","",IF(OR(O90="",NOT(ISNUMBER(E90))),"",IF(_xlfn.MAXIFS(HISTORIAL!$K$5:$K$2004,HISTORIAL!$E$5:$E$2004,$A90,HISTORIAL!$F$5:$F$2004,"Bilbo",HISTORIAL!$G$5:$G$2004,$B90-1,HISTORIAL!$J$5:$J$2004,E90)=0,"sin dato comparable",_xlfn.MAXIFS(HISTORIAL!$K$5:$K$2004,HISTORIAL!$E$5:$E$2004,$A90,HISTORIAL!$F$5:$F$2004,"Bilbo",HISTORIAL!$G$5:$G$2004,$B90-1,HISTORIAL!$J$5:$J$2004,E90))))</f>
        <v/>
      </c>
      <c r="R90" s="18" t="str">
        <f aca="false">IF($A90="","",IF(AND(ISNUMBER(Q90),ISNUMBER(F90)),F90-Q90,""))</f>
        <v/>
      </c>
      <c r="S90" s="27" t="str">
        <f aca="false">IF($A90="","",SUMIFS(HISTORIAL!$R$5:$R$2004,HISTORIAL!$E$5:$E$2004,$A90,HISTORIAL!$F$5:$F$2004,"Bilbo",HISTORIAL!$G$5:$G$2004,$B90)+SUMIFS(HISTORIAL!$R$5:$R$2004,HISTORIAL!$E$5:$E$2004,$A90,HISTORIAL!$F$5:$F$2004,"Post-Bilbo",HISTORIAL!$G$5:$G$2004,$B90))</f>
        <v/>
      </c>
      <c r="T90" s="27" t="str">
        <f aca="false">IF($A90="","",IF(NOT(ISNUMBER(E90)),"",MAX(E90+INDEX(CONFIGURACIÓN!$H$42:$H$56,MATCH($A90,CONFIGURACIÓN!$B$42:$B$56,0)),-INT(-E90*(1+CONFIGURACIÓN!$C$17)/(INDEX(CONFIGURACIÓN!$H$42:$H$56,MATCH($A90,CONFIGURACIÓN!$B$42:$B$56,0))))*(INDEX(CONFIGURACIÓN!$H$42:$H$56,MATCH($A90,CONFIGURACIÓN!$B$42:$B$56,0))))))</f>
        <v/>
      </c>
      <c r="U90" s="13"/>
      <c r="V90" s="18" t="str">
        <f aca="false">IF($A90="","",IF(U90="","",IF(NOT(ISNUMBER(E90)),"sin carga inicial registrada",IF(U90&gt;E90,"OK","ERROR: debe ser &gt; "&amp;E90))))</f>
        <v/>
      </c>
      <c r="W90" s="11"/>
    </row>
    <row r="91" customFormat="false" ht="15" hidden="false" customHeight="true" outlineLevel="0" collapsed="false">
      <c r="A91" s="11"/>
      <c r="B91" s="11"/>
      <c r="C91" s="11"/>
      <c r="D91" s="28" t="str">
        <f aca="false">IF($A91="","",IF(_xlfn.MINIFS(HISTORIAL!$A$5:$A$2004,HISTORIAL!$E$5:$E$2004,$A91,HISTORIAL!$F$5:$F$2004,"Bilbo",HISTORIAL!$G$5:$G$2004,$B91)=0,"",INDEX(HISTORIAL!$B$5:$B$2004,_xlfn.MINIFS(HISTORIAL!$A$5:$A$2004,HISTORIAL!$E$5:$E$2004,$A91,HISTORIAL!$F$5:$F$2004,"Bilbo",HISTORIAL!$G$5:$G$2004,$B91))))</f>
        <v/>
      </c>
      <c r="E91" s="27" t="str">
        <f aca="false">IF($A91="","",IF(_xlfn.MINIFS(HISTORIAL!$A$5:$A$2004,HISTORIAL!$E$5:$E$2004,$A91,HISTORIAL!$F$5:$F$2004,"Bilbo",HISTORIAL!$G$5:$G$2004,$B91)=0,"",INDEX(HISTORIAL!$J$5:$J$2004,_xlfn.MINIFS(HISTORIAL!$A$5:$A$2004,HISTORIAL!$E$5:$E$2004,$A91,HISTORIAL!$F$5:$F$2004,"Bilbo",HISTORIAL!$G$5:$G$2004,$B91))))</f>
        <v/>
      </c>
      <c r="F91" s="18" t="str">
        <f aca="false">IF($A91="","",IF(_xlfn.MINIFS(HISTORIAL!$A$5:$A$2004,HISTORIAL!$E$5:$E$2004,$A91,HISTORIAL!$F$5:$F$2004,"Bilbo",HISTORIAL!$G$5:$G$2004,$B91)=0,"",INDEX(HISTORIAL!$K$5:$K$2004,_xlfn.MINIFS(HISTORIAL!$A$5:$A$2004,HISTORIAL!$E$5:$E$2004,$A91,HISTORIAL!$F$5:$F$2004,"Bilbo",HISTORIAL!$G$5:$G$2004,$B91))))</f>
        <v/>
      </c>
      <c r="G91" s="28" t="str">
        <f aca="false">IF($A91="","",IF(_xlfn.MAXIFS(HISTORIAL!$A$5:$A$2004,HISTORIAL!$E$5:$E$2004,$A91,HISTORIAL!$F$5:$F$2004,"Bilbo",HISTORIAL!$G$5:$G$2004,$B91)=0,"",INDEX(HISTORIAL!$B$5:$B$2004,_xlfn.MAXIFS(HISTORIAL!$A$5:$A$2004,HISTORIAL!$E$5:$E$2004,$A91,HISTORIAL!$F$5:$F$2004,"Bilbo",HISTORIAL!$G$5:$G$2004,$B91))))</f>
        <v/>
      </c>
      <c r="H91" s="27" t="str">
        <f aca="false">IF($A91="","",IF(_xlfn.MAXIFS(HISTORIAL!$A$5:$A$2004,HISTORIAL!$E$5:$E$2004,$A91,HISTORIAL!$F$5:$F$2004,"Bilbo",HISTORIAL!$G$5:$G$2004,$B91)=0,"",INDEX(HISTORIAL!$J$5:$J$2004,_xlfn.MAXIFS(HISTORIAL!$A$5:$A$2004,HISTORIAL!$E$5:$E$2004,$A91,HISTORIAL!$F$5:$F$2004,"Bilbo",HISTORIAL!$G$5:$G$2004,$B91))))</f>
        <v/>
      </c>
      <c r="I91" s="18" t="str">
        <f aca="false">IF($A91="","",IF(_xlfn.MAXIFS(HISTORIAL!$A$5:$A$2004,HISTORIAL!$E$5:$E$2004,$A91,HISTORIAL!$F$5:$F$2004,"Bilbo",HISTORIAL!$G$5:$G$2004,$B91)=0,"",INDEX(HISTORIAL!$K$5:$K$2004,_xlfn.MAXIFS(HISTORIAL!$A$5:$A$2004,HISTORIAL!$E$5:$E$2004,$A91,HISTORIAL!$F$5:$F$2004,"Bilbo",HISTORIAL!$G$5:$G$2004,$B91))))</f>
        <v/>
      </c>
      <c r="J91" s="18" t="str">
        <f aca="false">IF($A91="","",COUNTIFS(HISTORIAL!$E$5:$E$2004,$A91,HISTORIAL!$F$5:$F$2004,"Bilbo",HISTORIAL!$G$5:$G$2004,$B91))</f>
        <v/>
      </c>
      <c r="K91" s="27" t="str">
        <f aca="false">IF($A91="","",IF(J91=0,"",_xlfn.MAXIFS(HISTORIAL!$J$5:$J$2004,HISTORIAL!$E$5:$E$2004,$A91,HISTORIAL!$F$5:$F$2004,"Bilbo",HISTORIAL!$G$5:$G$2004,$B91)))</f>
        <v/>
      </c>
      <c r="L91" s="18" t="str">
        <f aca="false">IF($A91="","",IF(J91=0,"",_xlfn.MAXIFS(HISTORIAL!$K$5:$K$2004,HISTORIAL!$E$5:$E$2004,$A91,HISTORIAL!$F$5:$F$2004,"Bilbo",HISTORIAL!$G$5:$G$2004,$B91,HISTORIAL!$J$5:$J$2004,K91)))</f>
        <v/>
      </c>
      <c r="M91" s="27" t="str">
        <f aca="false">IF($A91="","",IF(J91=0,"",_xlfn.MAXIFS(HISTORIAL!$T$5:$T$2004,HISTORIAL!$E$5:$E$2004,$A91,HISTORIAL!$F$5:$F$2004,"Bilbo",HISTORIAL!$G$5:$G$2004,$B91)))</f>
        <v/>
      </c>
      <c r="N91" s="27" t="str">
        <f aca="false">IF($A91="","",IF(J91=0,"",H91-E91))</f>
        <v/>
      </c>
      <c r="O91" s="27" t="str">
        <f aca="false">IF($A91="","",IF(COUNTIFS($A$6:$A$105,$A91,$B$6:$B$105,$B91-1)=0,"",SUMIFS($E$6:$E$105,$A$6:$A$105,$A91,$B$6:$B$105,$B91-1)))</f>
        <v/>
      </c>
      <c r="P91" s="18" t="str">
        <f aca="false">IF($A91="","",IF(OR(O91="",NOT(ISNUMBER(E91))),"—",IF(E91&gt;O91,"OK","ERROR: debe ser &gt; "&amp;O91)))</f>
        <v/>
      </c>
      <c r="Q91" s="18" t="str">
        <f aca="false">IF($A91="","",IF(OR(O91="",NOT(ISNUMBER(E91))),"",IF(_xlfn.MAXIFS(HISTORIAL!$K$5:$K$2004,HISTORIAL!$E$5:$E$2004,$A91,HISTORIAL!$F$5:$F$2004,"Bilbo",HISTORIAL!$G$5:$G$2004,$B91-1,HISTORIAL!$J$5:$J$2004,E91)=0,"sin dato comparable",_xlfn.MAXIFS(HISTORIAL!$K$5:$K$2004,HISTORIAL!$E$5:$E$2004,$A91,HISTORIAL!$F$5:$F$2004,"Bilbo",HISTORIAL!$G$5:$G$2004,$B91-1,HISTORIAL!$J$5:$J$2004,E91))))</f>
        <v/>
      </c>
      <c r="R91" s="18" t="str">
        <f aca="false">IF($A91="","",IF(AND(ISNUMBER(Q91),ISNUMBER(F91)),F91-Q91,""))</f>
        <v/>
      </c>
      <c r="S91" s="27" t="str">
        <f aca="false">IF($A91="","",SUMIFS(HISTORIAL!$R$5:$R$2004,HISTORIAL!$E$5:$E$2004,$A91,HISTORIAL!$F$5:$F$2004,"Bilbo",HISTORIAL!$G$5:$G$2004,$B91)+SUMIFS(HISTORIAL!$R$5:$R$2004,HISTORIAL!$E$5:$E$2004,$A91,HISTORIAL!$F$5:$F$2004,"Post-Bilbo",HISTORIAL!$G$5:$G$2004,$B91))</f>
        <v/>
      </c>
      <c r="T91" s="27" t="str">
        <f aca="false">IF($A91="","",IF(NOT(ISNUMBER(E91)),"",MAX(E91+INDEX(CONFIGURACIÓN!$H$42:$H$56,MATCH($A91,CONFIGURACIÓN!$B$42:$B$56,0)),-INT(-E91*(1+CONFIGURACIÓN!$C$17)/(INDEX(CONFIGURACIÓN!$H$42:$H$56,MATCH($A91,CONFIGURACIÓN!$B$42:$B$56,0))))*(INDEX(CONFIGURACIÓN!$H$42:$H$56,MATCH($A91,CONFIGURACIÓN!$B$42:$B$56,0))))))</f>
        <v/>
      </c>
      <c r="U91" s="13"/>
      <c r="V91" s="18" t="str">
        <f aca="false">IF($A91="","",IF(U91="","",IF(NOT(ISNUMBER(E91)),"sin carga inicial registrada",IF(U91&gt;E91,"OK","ERROR: debe ser &gt; "&amp;E91))))</f>
        <v/>
      </c>
      <c r="W91" s="11"/>
    </row>
    <row r="92" customFormat="false" ht="15" hidden="false" customHeight="true" outlineLevel="0" collapsed="false">
      <c r="A92" s="11"/>
      <c r="B92" s="11"/>
      <c r="C92" s="11"/>
      <c r="D92" s="28" t="str">
        <f aca="false">IF($A92="","",IF(_xlfn.MINIFS(HISTORIAL!$A$5:$A$2004,HISTORIAL!$E$5:$E$2004,$A92,HISTORIAL!$F$5:$F$2004,"Bilbo",HISTORIAL!$G$5:$G$2004,$B92)=0,"",INDEX(HISTORIAL!$B$5:$B$2004,_xlfn.MINIFS(HISTORIAL!$A$5:$A$2004,HISTORIAL!$E$5:$E$2004,$A92,HISTORIAL!$F$5:$F$2004,"Bilbo",HISTORIAL!$G$5:$G$2004,$B92))))</f>
        <v/>
      </c>
      <c r="E92" s="27" t="str">
        <f aca="false">IF($A92="","",IF(_xlfn.MINIFS(HISTORIAL!$A$5:$A$2004,HISTORIAL!$E$5:$E$2004,$A92,HISTORIAL!$F$5:$F$2004,"Bilbo",HISTORIAL!$G$5:$G$2004,$B92)=0,"",INDEX(HISTORIAL!$J$5:$J$2004,_xlfn.MINIFS(HISTORIAL!$A$5:$A$2004,HISTORIAL!$E$5:$E$2004,$A92,HISTORIAL!$F$5:$F$2004,"Bilbo",HISTORIAL!$G$5:$G$2004,$B92))))</f>
        <v/>
      </c>
      <c r="F92" s="18" t="str">
        <f aca="false">IF($A92="","",IF(_xlfn.MINIFS(HISTORIAL!$A$5:$A$2004,HISTORIAL!$E$5:$E$2004,$A92,HISTORIAL!$F$5:$F$2004,"Bilbo",HISTORIAL!$G$5:$G$2004,$B92)=0,"",INDEX(HISTORIAL!$K$5:$K$2004,_xlfn.MINIFS(HISTORIAL!$A$5:$A$2004,HISTORIAL!$E$5:$E$2004,$A92,HISTORIAL!$F$5:$F$2004,"Bilbo",HISTORIAL!$G$5:$G$2004,$B92))))</f>
        <v/>
      </c>
      <c r="G92" s="28" t="str">
        <f aca="false">IF($A92="","",IF(_xlfn.MAXIFS(HISTORIAL!$A$5:$A$2004,HISTORIAL!$E$5:$E$2004,$A92,HISTORIAL!$F$5:$F$2004,"Bilbo",HISTORIAL!$G$5:$G$2004,$B92)=0,"",INDEX(HISTORIAL!$B$5:$B$2004,_xlfn.MAXIFS(HISTORIAL!$A$5:$A$2004,HISTORIAL!$E$5:$E$2004,$A92,HISTORIAL!$F$5:$F$2004,"Bilbo",HISTORIAL!$G$5:$G$2004,$B92))))</f>
        <v/>
      </c>
      <c r="H92" s="27" t="str">
        <f aca="false">IF($A92="","",IF(_xlfn.MAXIFS(HISTORIAL!$A$5:$A$2004,HISTORIAL!$E$5:$E$2004,$A92,HISTORIAL!$F$5:$F$2004,"Bilbo",HISTORIAL!$G$5:$G$2004,$B92)=0,"",INDEX(HISTORIAL!$J$5:$J$2004,_xlfn.MAXIFS(HISTORIAL!$A$5:$A$2004,HISTORIAL!$E$5:$E$2004,$A92,HISTORIAL!$F$5:$F$2004,"Bilbo",HISTORIAL!$G$5:$G$2004,$B92))))</f>
        <v/>
      </c>
      <c r="I92" s="18" t="str">
        <f aca="false">IF($A92="","",IF(_xlfn.MAXIFS(HISTORIAL!$A$5:$A$2004,HISTORIAL!$E$5:$E$2004,$A92,HISTORIAL!$F$5:$F$2004,"Bilbo",HISTORIAL!$G$5:$G$2004,$B92)=0,"",INDEX(HISTORIAL!$K$5:$K$2004,_xlfn.MAXIFS(HISTORIAL!$A$5:$A$2004,HISTORIAL!$E$5:$E$2004,$A92,HISTORIAL!$F$5:$F$2004,"Bilbo",HISTORIAL!$G$5:$G$2004,$B92))))</f>
        <v/>
      </c>
      <c r="J92" s="18" t="str">
        <f aca="false">IF($A92="","",COUNTIFS(HISTORIAL!$E$5:$E$2004,$A92,HISTORIAL!$F$5:$F$2004,"Bilbo",HISTORIAL!$G$5:$G$2004,$B92))</f>
        <v/>
      </c>
      <c r="K92" s="27" t="str">
        <f aca="false">IF($A92="","",IF(J92=0,"",_xlfn.MAXIFS(HISTORIAL!$J$5:$J$2004,HISTORIAL!$E$5:$E$2004,$A92,HISTORIAL!$F$5:$F$2004,"Bilbo",HISTORIAL!$G$5:$G$2004,$B92)))</f>
        <v/>
      </c>
      <c r="L92" s="18" t="str">
        <f aca="false">IF($A92="","",IF(J92=0,"",_xlfn.MAXIFS(HISTORIAL!$K$5:$K$2004,HISTORIAL!$E$5:$E$2004,$A92,HISTORIAL!$F$5:$F$2004,"Bilbo",HISTORIAL!$G$5:$G$2004,$B92,HISTORIAL!$J$5:$J$2004,K92)))</f>
        <v/>
      </c>
      <c r="M92" s="27" t="str">
        <f aca="false">IF($A92="","",IF(J92=0,"",_xlfn.MAXIFS(HISTORIAL!$T$5:$T$2004,HISTORIAL!$E$5:$E$2004,$A92,HISTORIAL!$F$5:$F$2004,"Bilbo",HISTORIAL!$G$5:$G$2004,$B92)))</f>
        <v/>
      </c>
      <c r="N92" s="27" t="str">
        <f aca="false">IF($A92="","",IF(J92=0,"",H92-E92))</f>
        <v/>
      </c>
      <c r="O92" s="27" t="str">
        <f aca="false">IF($A92="","",IF(COUNTIFS($A$6:$A$105,$A92,$B$6:$B$105,$B92-1)=0,"",SUMIFS($E$6:$E$105,$A$6:$A$105,$A92,$B$6:$B$105,$B92-1)))</f>
        <v/>
      </c>
      <c r="P92" s="18" t="str">
        <f aca="false">IF($A92="","",IF(OR(O92="",NOT(ISNUMBER(E92))),"—",IF(E92&gt;O92,"OK","ERROR: debe ser &gt; "&amp;O92)))</f>
        <v/>
      </c>
      <c r="Q92" s="18" t="str">
        <f aca="false">IF($A92="","",IF(OR(O92="",NOT(ISNUMBER(E92))),"",IF(_xlfn.MAXIFS(HISTORIAL!$K$5:$K$2004,HISTORIAL!$E$5:$E$2004,$A92,HISTORIAL!$F$5:$F$2004,"Bilbo",HISTORIAL!$G$5:$G$2004,$B92-1,HISTORIAL!$J$5:$J$2004,E92)=0,"sin dato comparable",_xlfn.MAXIFS(HISTORIAL!$K$5:$K$2004,HISTORIAL!$E$5:$E$2004,$A92,HISTORIAL!$F$5:$F$2004,"Bilbo",HISTORIAL!$G$5:$G$2004,$B92-1,HISTORIAL!$J$5:$J$2004,E92))))</f>
        <v/>
      </c>
      <c r="R92" s="18" t="str">
        <f aca="false">IF($A92="","",IF(AND(ISNUMBER(Q92),ISNUMBER(F92)),F92-Q92,""))</f>
        <v/>
      </c>
      <c r="S92" s="27" t="str">
        <f aca="false">IF($A92="","",SUMIFS(HISTORIAL!$R$5:$R$2004,HISTORIAL!$E$5:$E$2004,$A92,HISTORIAL!$F$5:$F$2004,"Bilbo",HISTORIAL!$G$5:$G$2004,$B92)+SUMIFS(HISTORIAL!$R$5:$R$2004,HISTORIAL!$E$5:$E$2004,$A92,HISTORIAL!$F$5:$F$2004,"Post-Bilbo",HISTORIAL!$G$5:$G$2004,$B92))</f>
        <v/>
      </c>
      <c r="T92" s="27" t="str">
        <f aca="false">IF($A92="","",IF(NOT(ISNUMBER(E92)),"",MAX(E92+INDEX(CONFIGURACIÓN!$H$42:$H$56,MATCH($A92,CONFIGURACIÓN!$B$42:$B$56,0)),-INT(-E92*(1+CONFIGURACIÓN!$C$17)/(INDEX(CONFIGURACIÓN!$H$42:$H$56,MATCH($A92,CONFIGURACIÓN!$B$42:$B$56,0))))*(INDEX(CONFIGURACIÓN!$H$42:$H$56,MATCH($A92,CONFIGURACIÓN!$B$42:$B$56,0))))))</f>
        <v/>
      </c>
      <c r="U92" s="13"/>
      <c r="V92" s="18" t="str">
        <f aca="false">IF($A92="","",IF(U92="","",IF(NOT(ISNUMBER(E92)),"sin carga inicial registrada",IF(U92&gt;E92,"OK","ERROR: debe ser &gt; "&amp;E92))))</f>
        <v/>
      </c>
      <c r="W92" s="11"/>
    </row>
    <row r="93" customFormat="false" ht="15" hidden="false" customHeight="true" outlineLevel="0" collapsed="false">
      <c r="A93" s="11"/>
      <c r="B93" s="11"/>
      <c r="C93" s="11"/>
      <c r="D93" s="28" t="str">
        <f aca="false">IF($A93="","",IF(_xlfn.MINIFS(HISTORIAL!$A$5:$A$2004,HISTORIAL!$E$5:$E$2004,$A93,HISTORIAL!$F$5:$F$2004,"Bilbo",HISTORIAL!$G$5:$G$2004,$B93)=0,"",INDEX(HISTORIAL!$B$5:$B$2004,_xlfn.MINIFS(HISTORIAL!$A$5:$A$2004,HISTORIAL!$E$5:$E$2004,$A93,HISTORIAL!$F$5:$F$2004,"Bilbo",HISTORIAL!$G$5:$G$2004,$B93))))</f>
        <v/>
      </c>
      <c r="E93" s="27" t="str">
        <f aca="false">IF($A93="","",IF(_xlfn.MINIFS(HISTORIAL!$A$5:$A$2004,HISTORIAL!$E$5:$E$2004,$A93,HISTORIAL!$F$5:$F$2004,"Bilbo",HISTORIAL!$G$5:$G$2004,$B93)=0,"",INDEX(HISTORIAL!$J$5:$J$2004,_xlfn.MINIFS(HISTORIAL!$A$5:$A$2004,HISTORIAL!$E$5:$E$2004,$A93,HISTORIAL!$F$5:$F$2004,"Bilbo",HISTORIAL!$G$5:$G$2004,$B93))))</f>
        <v/>
      </c>
      <c r="F93" s="18" t="str">
        <f aca="false">IF($A93="","",IF(_xlfn.MINIFS(HISTORIAL!$A$5:$A$2004,HISTORIAL!$E$5:$E$2004,$A93,HISTORIAL!$F$5:$F$2004,"Bilbo",HISTORIAL!$G$5:$G$2004,$B93)=0,"",INDEX(HISTORIAL!$K$5:$K$2004,_xlfn.MINIFS(HISTORIAL!$A$5:$A$2004,HISTORIAL!$E$5:$E$2004,$A93,HISTORIAL!$F$5:$F$2004,"Bilbo",HISTORIAL!$G$5:$G$2004,$B93))))</f>
        <v/>
      </c>
      <c r="G93" s="28" t="str">
        <f aca="false">IF($A93="","",IF(_xlfn.MAXIFS(HISTORIAL!$A$5:$A$2004,HISTORIAL!$E$5:$E$2004,$A93,HISTORIAL!$F$5:$F$2004,"Bilbo",HISTORIAL!$G$5:$G$2004,$B93)=0,"",INDEX(HISTORIAL!$B$5:$B$2004,_xlfn.MAXIFS(HISTORIAL!$A$5:$A$2004,HISTORIAL!$E$5:$E$2004,$A93,HISTORIAL!$F$5:$F$2004,"Bilbo",HISTORIAL!$G$5:$G$2004,$B93))))</f>
        <v/>
      </c>
      <c r="H93" s="27" t="str">
        <f aca="false">IF($A93="","",IF(_xlfn.MAXIFS(HISTORIAL!$A$5:$A$2004,HISTORIAL!$E$5:$E$2004,$A93,HISTORIAL!$F$5:$F$2004,"Bilbo",HISTORIAL!$G$5:$G$2004,$B93)=0,"",INDEX(HISTORIAL!$J$5:$J$2004,_xlfn.MAXIFS(HISTORIAL!$A$5:$A$2004,HISTORIAL!$E$5:$E$2004,$A93,HISTORIAL!$F$5:$F$2004,"Bilbo",HISTORIAL!$G$5:$G$2004,$B93))))</f>
        <v/>
      </c>
      <c r="I93" s="18" t="str">
        <f aca="false">IF($A93="","",IF(_xlfn.MAXIFS(HISTORIAL!$A$5:$A$2004,HISTORIAL!$E$5:$E$2004,$A93,HISTORIAL!$F$5:$F$2004,"Bilbo",HISTORIAL!$G$5:$G$2004,$B93)=0,"",INDEX(HISTORIAL!$K$5:$K$2004,_xlfn.MAXIFS(HISTORIAL!$A$5:$A$2004,HISTORIAL!$E$5:$E$2004,$A93,HISTORIAL!$F$5:$F$2004,"Bilbo",HISTORIAL!$G$5:$G$2004,$B93))))</f>
        <v/>
      </c>
      <c r="J93" s="18" t="str">
        <f aca="false">IF($A93="","",COUNTIFS(HISTORIAL!$E$5:$E$2004,$A93,HISTORIAL!$F$5:$F$2004,"Bilbo",HISTORIAL!$G$5:$G$2004,$B93))</f>
        <v/>
      </c>
      <c r="K93" s="27" t="str">
        <f aca="false">IF($A93="","",IF(J93=0,"",_xlfn.MAXIFS(HISTORIAL!$J$5:$J$2004,HISTORIAL!$E$5:$E$2004,$A93,HISTORIAL!$F$5:$F$2004,"Bilbo",HISTORIAL!$G$5:$G$2004,$B93)))</f>
        <v/>
      </c>
      <c r="L93" s="18" t="str">
        <f aca="false">IF($A93="","",IF(J93=0,"",_xlfn.MAXIFS(HISTORIAL!$K$5:$K$2004,HISTORIAL!$E$5:$E$2004,$A93,HISTORIAL!$F$5:$F$2004,"Bilbo",HISTORIAL!$G$5:$G$2004,$B93,HISTORIAL!$J$5:$J$2004,K93)))</f>
        <v/>
      </c>
      <c r="M93" s="27" t="str">
        <f aca="false">IF($A93="","",IF(J93=0,"",_xlfn.MAXIFS(HISTORIAL!$T$5:$T$2004,HISTORIAL!$E$5:$E$2004,$A93,HISTORIAL!$F$5:$F$2004,"Bilbo",HISTORIAL!$G$5:$G$2004,$B93)))</f>
        <v/>
      </c>
      <c r="N93" s="27" t="str">
        <f aca="false">IF($A93="","",IF(J93=0,"",H93-E93))</f>
        <v/>
      </c>
      <c r="O93" s="27" t="str">
        <f aca="false">IF($A93="","",IF(COUNTIFS($A$6:$A$105,$A93,$B$6:$B$105,$B93-1)=0,"",SUMIFS($E$6:$E$105,$A$6:$A$105,$A93,$B$6:$B$105,$B93-1)))</f>
        <v/>
      </c>
      <c r="P93" s="18" t="str">
        <f aca="false">IF($A93="","",IF(OR(O93="",NOT(ISNUMBER(E93))),"—",IF(E93&gt;O93,"OK","ERROR: debe ser &gt; "&amp;O93)))</f>
        <v/>
      </c>
      <c r="Q93" s="18" t="str">
        <f aca="false">IF($A93="","",IF(OR(O93="",NOT(ISNUMBER(E93))),"",IF(_xlfn.MAXIFS(HISTORIAL!$K$5:$K$2004,HISTORIAL!$E$5:$E$2004,$A93,HISTORIAL!$F$5:$F$2004,"Bilbo",HISTORIAL!$G$5:$G$2004,$B93-1,HISTORIAL!$J$5:$J$2004,E93)=0,"sin dato comparable",_xlfn.MAXIFS(HISTORIAL!$K$5:$K$2004,HISTORIAL!$E$5:$E$2004,$A93,HISTORIAL!$F$5:$F$2004,"Bilbo",HISTORIAL!$G$5:$G$2004,$B93-1,HISTORIAL!$J$5:$J$2004,E93))))</f>
        <v/>
      </c>
      <c r="R93" s="18" t="str">
        <f aca="false">IF($A93="","",IF(AND(ISNUMBER(Q93),ISNUMBER(F93)),F93-Q93,""))</f>
        <v/>
      </c>
      <c r="S93" s="27" t="str">
        <f aca="false">IF($A93="","",SUMIFS(HISTORIAL!$R$5:$R$2004,HISTORIAL!$E$5:$E$2004,$A93,HISTORIAL!$F$5:$F$2004,"Bilbo",HISTORIAL!$G$5:$G$2004,$B93)+SUMIFS(HISTORIAL!$R$5:$R$2004,HISTORIAL!$E$5:$E$2004,$A93,HISTORIAL!$F$5:$F$2004,"Post-Bilbo",HISTORIAL!$G$5:$G$2004,$B93))</f>
        <v/>
      </c>
      <c r="T93" s="27" t="str">
        <f aca="false">IF($A93="","",IF(NOT(ISNUMBER(E93)),"",MAX(E93+INDEX(CONFIGURACIÓN!$H$42:$H$56,MATCH($A93,CONFIGURACIÓN!$B$42:$B$56,0)),-INT(-E93*(1+CONFIGURACIÓN!$C$17)/(INDEX(CONFIGURACIÓN!$H$42:$H$56,MATCH($A93,CONFIGURACIÓN!$B$42:$B$56,0))))*(INDEX(CONFIGURACIÓN!$H$42:$H$56,MATCH($A93,CONFIGURACIÓN!$B$42:$B$56,0))))))</f>
        <v/>
      </c>
      <c r="U93" s="13"/>
      <c r="V93" s="18" t="str">
        <f aca="false">IF($A93="","",IF(U93="","",IF(NOT(ISNUMBER(E93)),"sin carga inicial registrada",IF(U93&gt;E93,"OK","ERROR: debe ser &gt; "&amp;E93))))</f>
        <v/>
      </c>
      <c r="W93" s="11"/>
    </row>
    <row r="94" customFormat="false" ht="15" hidden="false" customHeight="true" outlineLevel="0" collapsed="false">
      <c r="A94" s="11"/>
      <c r="B94" s="11"/>
      <c r="C94" s="11"/>
      <c r="D94" s="28" t="str">
        <f aca="false">IF($A94="","",IF(_xlfn.MINIFS(HISTORIAL!$A$5:$A$2004,HISTORIAL!$E$5:$E$2004,$A94,HISTORIAL!$F$5:$F$2004,"Bilbo",HISTORIAL!$G$5:$G$2004,$B94)=0,"",INDEX(HISTORIAL!$B$5:$B$2004,_xlfn.MINIFS(HISTORIAL!$A$5:$A$2004,HISTORIAL!$E$5:$E$2004,$A94,HISTORIAL!$F$5:$F$2004,"Bilbo",HISTORIAL!$G$5:$G$2004,$B94))))</f>
        <v/>
      </c>
      <c r="E94" s="27" t="str">
        <f aca="false">IF($A94="","",IF(_xlfn.MINIFS(HISTORIAL!$A$5:$A$2004,HISTORIAL!$E$5:$E$2004,$A94,HISTORIAL!$F$5:$F$2004,"Bilbo",HISTORIAL!$G$5:$G$2004,$B94)=0,"",INDEX(HISTORIAL!$J$5:$J$2004,_xlfn.MINIFS(HISTORIAL!$A$5:$A$2004,HISTORIAL!$E$5:$E$2004,$A94,HISTORIAL!$F$5:$F$2004,"Bilbo",HISTORIAL!$G$5:$G$2004,$B94))))</f>
        <v/>
      </c>
      <c r="F94" s="18" t="str">
        <f aca="false">IF($A94="","",IF(_xlfn.MINIFS(HISTORIAL!$A$5:$A$2004,HISTORIAL!$E$5:$E$2004,$A94,HISTORIAL!$F$5:$F$2004,"Bilbo",HISTORIAL!$G$5:$G$2004,$B94)=0,"",INDEX(HISTORIAL!$K$5:$K$2004,_xlfn.MINIFS(HISTORIAL!$A$5:$A$2004,HISTORIAL!$E$5:$E$2004,$A94,HISTORIAL!$F$5:$F$2004,"Bilbo",HISTORIAL!$G$5:$G$2004,$B94))))</f>
        <v/>
      </c>
      <c r="G94" s="28" t="str">
        <f aca="false">IF($A94="","",IF(_xlfn.MAXIFS(HISTORIAL!$A$5:$A$2004,HISTORIAL!$E$5:$E$2004,$A94,HISTORIAL!$F$5:$F$2004,"Bilbo",HISTORIAL!$G$5:$G$2004,$B94)=0,"",INDEX(HISTORIAL!$B$5:$B$2004,_xlfn.MAXIFS(HISTORIAL!$A$5:$A$2004,HISTORIAL!$E$5:$E$2004,$A94,HISTORIAL!$F$5:$F$2004,"Bilbo",HISTORIAL!$G$5:$G$2004,$B94))))</f>
        <v/>
      </c>
      <c r="H94" s="27" t="str">
        <f aca="false">IF($A94="","",IF(_xlfn.MAXIFS(HISTORIAL!$A$5:$A$2004,HISTORIAL!$E$5:$E$2004,$A94,HISTORIAL!$F$5:$F$2004,"Bilbo",HISTORIAL!$G$5:$G$2004,$B94)=0,"",INDEX(HISTORIAL!$J$5:$J$2004,_xlfn.MAXIFS(HISTORIAL!$A$5:$A$2004,HISTORIAL!$E$5:$E$2004,$A94,HISTORIAL!$F$5:$F$2004,"Bilbo",HISTORIAL!$G$5:$G$2004,$B94))))</f>
        <v/>
      </c>
      <c r="I94" s="18" t="str">
        <f aca="false">IF($A94="","",IF(_xlfn.MAXIFS(HISTORIAL!$A$5:$A$2004,HISTORIAL!$E$5:$E$2004,$A94,HISTORIAL!$F$5:$F$2004,"Bilbo",HISTORIAL!$G$5:$G$2004,$B94)=0,"",INDEX(HISTORIAL!$K$5:$K$2004,_xlfn.MAXIFS(HISTORIAL!$A$5:$A$2004,HISTORIAL!$E$5:$E$2004,$A94,HISTORIAL!$F$5:$F$2004,"Bilbo",HISTORIAL!$G$5:$G$2004,$B94))))</f>
        <v/>
      </c>
      <c r="J94" s="18" t="str">
        <f aca="false">IF($A94="","",COUNTIFS(HISTORIAL!$E$5:$E$2004,$A94,HISTORIAL!$F$5:$F$2004,"Bilbo",HISTORIAL!$G$5:$G$2004,$B94))</f>
        <v/>
      </c>
      <c r="K94" s="27" t="str">
        <f aca="false">IF($A94="","",IF(J94=0,"",_xlfn.MAXIFS(HISTORIAL!$J$5:$J$2004,HISTORIAL!$E$5:$E$2004,$A94,HISTORIAL!$F$5:$F$2004,"Bilbo",HISTORIAL!$G$5:$G$2004,$B94)))</f>
        <v/>
      </c>
      <c r="L94" s="18" t="str">
        <f aca="false">IF($A94="","",IF(J94=0,"",_xlfn.MAXIFS(HISTORIAL!$K$5:$K$2004,HISTORIAL!$E$5:$E$2004,$A94,HISTORIAL!$F$5:$F$2004,"Bilbo",HISTORIAL!$G$5:$G$2004,$B94,HISTORIAL!$J$5:$J$2004,K94)))</f>
        <v/>
      </c>
      <c r="M94" s="27" t="str">
        <f aca="false">IF($A94="","",IF(J94=0,"",_xlfn.MAXIFS(HISTORIAL!$T$5:$T$2004,HISTORIAL!$E$5:$E$2004,$A94,HISTORIAL!$F$5:$F$2004,"Bilbo",HISTORIAL!$G$5:$G$2004,$B94)))</f>
        <v/>
      </c>
      <c r="N94" s="27" t="str">
        <f aca="false">IF($A94="","",IF(J94=0,"",H94-E94))</f>
        <v/>
      </c>
      <c r="O94" s="27" t="str">
        <f aca="false">IF($A94="","",IF(COUNTIFS($A$6:$A$105,$A94,$B$6:$B$105,$B94-1)=0,"",SUMIFS($E$6:$E$105,$A$6:$A$105,$A94,$B$6:$B$105,$B94-1)))</f>
        <v/>
      </c>
      <c r="P94" s="18" t="str">
        <f aca="false">IF($A94="","",IF(OR(O94="",NOT(ISNUMBER(E94))),"—",IF(E94&gt;O94,"OK","ERROR: debe ser &gt; "&amp;O94)))</f>
        <v/>
      </c>
      <c r="Q94" s="18" t="str">
        <f aca="false">IF($A94="","",IF(OR(O94="",NOT(ISNUMBER(E94))),"",IF(_xlfn.MAXIFS(HISTORIAL!$K$5:$K$2004,HISTORIAL!$E$5:$E$2004,$A94,HISTORIAL!$F$5:$F$2004,"Bilbo",HISTORIAL!$G$5:$G$2004,$B94-1,HISTORIAL!$J$5:$J$2004,E94)=0,"sin dato comparable",_xlfn.MAXIFS(HISTORIAL!$K$5:$K$2004,HISTORIAL!$E$5:$E$2004,$A94,HISTORIAL!$F$5:$F$2004,"Bilbo",HISTORIAL!$G$5:$G$2004,$B94-1,HISTORIAL!$J$5:$J$2004,E94))))</f>
        <v/>
      </c>
      <c r="R94" s="18" t="str">
        <f aca="false">IF($A94="","",IF(AND(ISNUMBER(Q94),ISNUMBER(F94)),F94-Q94,""))</f>
        <v/>
      </c>
      <c r="S94" s="27" t="str">
        <f aca="false">IF($A94="","",SUMIFS(HISTORIAL!$R$5:$R$2004,HISTORIAL!$E$5:$E$2004,$A94,HISTORIAL!$F$5:$F$2004,"Bilbo",HISTORIAL!$G$5:$G$2004,$B94)+SUMIFS(HISTORIAL!$R$5:$R$2004,HISTORIAL!$E$5:$E$2004,$A94,HISTORIAL!$F$5:$F$2004,"Post-Bilbo",HISTORIAL!$G$5:$G$2004,$B94))</f>
        <v/>
      </c>
      <c r="T94" s="27" t="str">
        <f aca="false">IF($A94="","",IF(NOT(ISNUMBER(E94)),"",MAX(E94+INDEX(CONFIGURACIÓN!$H$42:$H$56,MATCH($A94,CONFIGURACIÓN!$B$42:$B$56,0)),-INT(-E94*(1+CONFIGURACIÓN!$C$17)/(INDEX(CONFIGURACIÓN!$H$42:$H$56,MATCH($A94,CONFIGURACIÓN!$B$42:$B$56,0))))*(INDEX(CONFIGURACIÓN!$H$42:$H$56,MATCH($A94,CONFIGURACIÓN!$B$42:$B$56,0))))))</f>
        <v/>
      </c>
      <c r="U94" s="13"/>
      <c r="V94" s="18" t="str">
        <f aca="false">IF($A94="","",IF(U94="","",IF(NOT(ISNUMBER(E94)),"sin carga inicial registrada",IF(U94&gt;E94,"OK","ERROR: debe ser &gt; "&amp;E94))))</f>
        <v/>
      </c>
      <c r="W94" s="11"/>
    </row>
    <row r="95" customFormat="false" ht="15" hidden="false" customHeight="true" outlineLevel="0" collapsed="false">
      <c r="A95" s="11"/>
      <c r="B95" s="11"/>
      <c r="C95" s="11"/>
      <c r="D95" s="28" t="str">
        <f aca="false">IF($A95="","",IF(_xlfn.MINIFS(HISTORIAL!$A$5:$A$2004,HISTORIAL!$E$5:$E$2004,$A95,HISTORIAL!$F$5:$F$2004,"Bilbo",HISTORIAL!$G$5:$G$2004,$B95)=0,"",INDEX(HISTORIAL!$B$5:$B$2004,_xlfn.MINIFS(HISTORIAL!$A$5:$A$2004,HISTORIAL!$E$5:$E$2004,$A95,HISTORIAL!$F$5:$F$2004,"Bilbo",HISTORIAL!$G$5:$G$2004,$B95))))</f>
        <v/>
      </c>
      <c r="E95" s="27" t="str">
        <f aca="false">IF($A95="","",IF(_xlfn.MINIFS(HISTORIAL!$A$5:$A$2004,HISTORIAL!$E$5:$E$2004,$A95,HISTORIAL!$F$5:$F$2004,"Bilbo",HISTORIAL!$G$5:$G$2004,$B95)=0,"",INDEX(HISTORIAL!$J$5:$J$2004,_xlfn.MINIFS(HISTORIAL!$A$5:$A$2004,HISTORIAL!$E$5:$E$2004,$A95,HISTORIAL!$F$5:$F$2004,"Bilbo",HISTORIAL!$G$5:$G$2004,$B95))))</f>
        <v/>
      </c>
      <c r="F95" s="18" t="str">
        <f aca="false">IF($A95="","",IF(_xlfn.MINIFS(HISTORIAL!$A$5:$A$2004,HISTORIAL!$E$5:$E$2004,$A95,HISTORIAL!$F$5:$F$2004,"Bilbo",HISTORIAL!$G$5:$G$2004,$B95)=0,"",INDEX(HISTORIAL!$K$5:$K$2004,_xlfn.MINIFS(HISTORIAL!$A$5:$A$2004,HISTORIAL!$E$5:$E$2004,$A95,HISTORIAL!$F$5:$F$2004,"Bilbo",HISTORIAL!$G$5:$G$2004,$B95))))</f>
        <v/>
      </c>
      <c r="G95" s="28" t="str">
        <f aca="false">IF($A95="","",IF(_xlfn.MAXIFS(HISTORIAL!$A$5:$A$2004,HISTORIAL!$E$5:$E$2004,$A95,HISTORIAL!$F$5:$F$2004,"Bilbo",HISTORIAL!$G$5:$G$2004,$B95)=0,"",INDEX(HISTORIAL!$B$5:$B$2004,_xlfn.MAXIFS(HISTORIAL!$A$5:$A$2004,HISTORIAL!$E$5:$E$2004,$A95,HISTORIAL!$F$5:$F$2004,"Bilbo",HISTORIAL!$G$5:$G$2004,$B95))))</f>
        <v/>
      </c>
      <c r="H95" s="27" t="str">
        <f aca="false">IF($A95="","",IF(_xlfn.MAXIFS(HISTORIAL!$A$5:$A$2004,HISTORIAL!$E$5:$E$2004,$A95,HISTORIAL!$F$5:$F$2004,"Bilbo",HISTORIAL!$G$5:$G$2004,$B95)=0,"",INDEX(HISTORIAL!$J$5:$J$2004,_xlfn.MAXIFS(HISTORIAL!$A$5:$A$2004,HISTORIAL!$E$5:$E$2004,$A95,HISTORIAL!$F$5:$F$2004,"Bilbo",HISTORIAL!$G$5:$G$2004,$B95))))</f>
        <v/>
      </c>
      <c r="I95" s="18" t="str">
        <f aca="false">IF($A95="","",IF(_xlfn.MAXIFS(HISTORIAL!$A$5:$A$2004,HISTORIAL!$E$5:$E$2004,$A95,HISTORIAL!$F$5:$F$2004,"Bilbo",HISTORIAL!$G$5:$G$2004,$B95)=0,"",INDEX(HISTORIAL!$K$5:$K$2004,_xlfn.MAXIFS(HISTORIAL!$A$5:$A$2004,HISTORIAL!$E$5:$E$2004,$A95,HISTORIAL!$F$5:$F$2004,"Bilbo",HISTORIAL!$G$5:$G$2004,$B95))))</f>
        <v/>
      </c>
      <c r="J95" s="18" t="str">
        <f aca="false">IF($A95="","",COUNTIFS(HISTORIAL!$E$5:$E$2004,$A95,HISTORIAL!$F$5:$F$2004,"Bilbo",HISTORIAL!$G$5:$G$2004,$B95))</f>
        <v/>
      </c>
      <c r="K95" s="27" t="str">
        <f aca="false">IF($A95="","",IF(J95=0,"",_xlfn.MAXIFS(HISTORIAL!$J$5:$J$2004,HISTORIAL!$E$5:$E$2004,$A95,HISTORIAL!$F$5:$F$2004,"Bilbo",HISTORIAL!$G$5:$G$2004,$B95)))</f>
        <v/>
      </c>
      <c r="L95" s="18" t="str">
        <f aca="false">IF($A95="","",IF(J95=0,"",_xlfn.MAXIFS(HISTORIAL!$K$5:$K$2004,HISTORIAL!$E$5:$E$2004,$A95,HISTORIAL!$F$5:$F$2004,"Bilbo",HISTORIAL!$G$5:$G$2004,$B95,HISTORIAL!$J$5:$J$2004,K95)))</f>
        <v/>
      </c>
      <c r="M95" s="27" t="str">
        <f aca="false">IF($A95="","",IF(J95=0,"",_xlfn.MAXIFS(HISTORIAL!$T$5:$T$2004,HISTORIAL!$E$5:$E$2004,$A95,HISTORIAL!$F$5:$F$2004,"Bilbo",HISTORIAL!$G$5:$G$2004,$B95)))</f>
        <v/>
      </c>
      <c r="N95" s="27" t="str">
        <f aca="false">IF($A95="","",IF(J95=0,"",H95-E95))</f>
        <v/>
      </c>
      <c r="O95" s="27" t="str">
        <f aca="false">IF($A95="","",IF(COUNTIFS($A$6:$A$105,$A95,$B$6:$B$105,$B95-1)=0,"",SUMIFS($E$6:$E$105,$A$6:$A$105,$A95,$B$6:$B$105,$B95-1)))</f>
        <v/>
      </c>
      <c r="P95" s="18" t="str">
        <f aca="false">IF($A95="","",IF(OR(O95="",NOT(ISNUMBER(E95))),"—",IF(E95&gt;O95,"OK","ERROR: debe ser &gt; "&amp;O95)))</f>
        <v/>
      </c>
      <c r="Q95" s="18" t="str">
        <f aca="false">IF($A95="","",IF(OR(O95="",NOT(ISNUMBER(E95))),"",IF(_xlfn.MAXIFS(HISTORIAL!$K$5:$K$2004,HISTORIAL!$E$5:$E$2004,$A95,HISTORIAL!$F$5:$F$2004,"Bilbo",HISTORIAL!$G$5:$G$2004,$B95-1,HISTORIAL!$J$5:$J$2004,E95)=0,"sin dato comparable",_xlfn.MAXIFS(HISTORIAL!$K$5:$K$2004,HISTORIAL!$E$5:$E$2004,$A95,HISTORIAL!$F$5:$F$2004,"Bilbo",HISTORIAL!$G$5:$G$2004,$B95-1,HISTORIAL!$J$5:$J$2004,E95))))</f>
        <v/>
      </c>
      <c r="R95" s="18" t="str">
        <f aca="false">IF($A95="","",IF(AND(ISNUMBER(Q95),ISNUMBER(F95)),F95-Q95,""))</f>
        <v/>
      </c>
      <c r="S95" s="27" t="str">
        <f aca="false">IF($A95="","",SUMIFS(HISTORIAL!$R$5:$R$2004,HISTORIAL!$E$5:$E$2004,$A95,HISTORIAL!$F$5:$F$2004,"Bilbo",HISTORIAL!$G$5:$G$2004,$B95)+SUMIFS(HISTORIAL!$R$5:$R$2004,HISTORIAL!$E$5:$E$2004,$A95,HISTORIAL!$F$5:$F$2004,"Post-Bilbo",HISTORIAL!$G$5:$G$2004,$B95))</f>
        <v/>
      </c>
      <c r="T95" s="27" t="str">
        <f aca="false">IF($A95="","",IF(NOT(ISNUMBER(E95)),"",MAX(E95+INDEX(CONFIGURACIÓN!$H$42:$H$56,MATCH($A95,CONFIGURACIÓN!$B$42:$B$56,0)),-INT(-E95*(1+CONFIGURACIÓN!$C$17)/(INDEX(CONFIGURACIÓN!$H$42:$H$56,MATCH($A95,CONFIGURACIÓN!$B$42:$B$56,0))))*(INDEX(CONFIGURACIÓN!$H$42:$H$56,MATCH($A95,CONFIGURACIÓN!$B$42:$B$56,0))))))</f>
        <v/>
      </c>
      <c r="U95" s="13"/>
      <c r="V95" s="18" t="str">
        <f aca="false">IF($A95="","",IF(U95="","",IF(NOT(ISNUMBER(E95)),"sin carga inicial registrada",IF(U95&gt;E95,"OK","ERROR: debe ser &gt; "&amp;E95))))</f>
        <v/>
      </c>
      <c r="W95" s="11"/>
    </row>
    <row r="96" customFormat="false" ht="15" hidden="false" customHeight="true" outlineLevel="0" collapsed="false">
      <c r="A96" s="11"/>
      <c r="B96" s="11"/>
      <c r="C96" s="11"/>
      <c r="D96" s="28" t="str">
        <f aca="false">IF($A96="","",IF(_xlfn.MINIFS(HISTORIAL!$A$5:$A$2004,HISTORIAL!$E$5:$E$2004,$A96,HISTORIAL!$F$5:$F$2004,"Bilbo",HISTORIAL!$G$5:$G$2004,$B96)=0,"",INDEX(HISTORIAL!$B$5:$B$2004,_xlfn.MINIFS(HISTORIAL!$A$5:$A$2004,HISTORIAL!$E$5:$E$2004,$A96,HISTORIAL!$F$5:$F$2004,"Bilbo",HISTORIAL!$G$5:$G$2004,$B96))))</f>
        <v/>
      </c>
      <c r="E96" s="27" t="str">
        <f aca="false">IF($A96="","",IF(_xlfn.MINIFS(HISTORIAL!$A$5:$A$2004,HISTORIAL!$E$5:$E$2004,$A96,HISTORIAL!$F$5:$F$2004,"Bilbo",HISTORIAL!$G$5:$G$2004,$B96)=0,"",INDEX(HISTORIAL!$J$5:$J$2004,_xlfn.MINIFS(HISTORIAL!$A$5:$A$2004,HISTORIAL!$E$5:$E$2004,$A96,HISTORIAL!$F$5:$F$2004,"Bilbo",HISTORIAL!$G$5:$G$2004,$B96))))</f>
        <v/>
      </c>
      <c r="F96" s="18" t="str">
        <f aca="false">IF($A96="","",IF(_xlfn.MINIFS(HISTORIAL!$A$5:$A$2004,HISTORIAL!$E$5:$E$2004,$A96,HISTORIAL!$F$5:$F$2004,"Bilbo",HISTORIAL!$G$5:$G$2004,$B96)=0,"",INDEX(HISTORIAL!$K$5:$K$2004,_xlfn.MINIFS(HISTORIAL!$A$5:$A$2004,HISTORIAL!$E$5:$E$2004,$A96,HISTORIAL!$F$5:$F$2004,"Bilbo",HISTORIAL!$G$5:$G$2004,$B96))))</f>
        <v/>
      </c>
      <c r="G96" s="28" t="str">
        <f aca="false">IF($A96="","",IF(_xlfn.MAXIFS(HISTORIAL!$A$5:$A$2004,HISTORIAL!$E$5:$E$2004,$A96,HISTORIAL!$F$5:$F$2004,"Bilbo",HISTORIAL!$G$5:$G$2004,$B96)=0,"",INDEX(HISTORIAL!$B$5:$B$2004,_xlfn.MAXIFS(HISTORIAL!$A$5:$A$2004,HISTORIAL!$E$5:$E$2004,$A96,HISTORIAL!$F$5:$F$2004,"Bilbo",HISTORIAL!$G$5:$G$2004,$B96))))</f>
        <v/>
      </c>
      <c r="H96" s="27" t="str">
        <f aca="false">IF($A96="","",IF(_xlfn.MAXIFS(HISTORIAL!$A$5:$A$2004,HISTORIAL!$E$5:$E$2004,$A96,HISTORIAL!$F$5:$F$2004,"Bilbo",HISTORIAL!$G$5:$G$2004,$B96)=0,"",INDEX(HISTORIAL!$J$5:$J$2004,_xlfn.MAXIFS(HISTORIAL!$A$5:$A$2004,HISTORIAL!$E$5:$E$2004,$A96,HISTORIAL!$F$5:$F$2004,"Bilbo",HISTORIAL!$G$5:$G$2004,$B96))))</f>
        <v/>
      </c>
      <c r="I96" s="18" t="str">
        <f aca="false">IF($A96="","",IF(_xlfn.MAXIFS(HISTORIAL!$A$5:$A$2004,HISTORIAL!$E$5:$E$2004,$A96,HISTORIAL!$F$5:$F$2004,"Bilbo",HISTORIAL!$G$5:$G$2004,$B96)=0,"",INDEX(HISTORIAL!$K$5:$K$2004,_xlfn.MAXIFS(HISTORIAL!$A$5:$A$2004,HISTORIAL!$E$5:$E$2004,$A96,HISTORIAL!$F$5:$F$2004,"Bilbo",HISTORIAL!$G$5:$G$2004,$B96))))</f>
        <v/>
      </c>
      <c r="J96" s="18" t="str">
        <f aca="false">IF($A96="","",COUNTIFS(HISTORIAL!$E$5:$E$2004,$A96,HISTORIAL!$F$5:$F$2004,"Bilbo",HISTORIAL!$G$5:$G$2004,$B96))</f>
        <v/>
      </c>
      <c r="K96" s="27" t="str">
        <f aca="false">IF($A96="","",IF(J96=0,"",_xlfn.MAXIFS(HISTORIAL!$J$5:$J$2004,HISTORIAL!$E$5:$E$2004,$A96,HISTORIAL!$F$5:$F$2004,"Bilbo",HISTORIAL!$G$5:$G$2004,$B96)))</f>
        <v/>
      </c>
      <c r="L96" s="18" t="str">
        <f aca="false">IF($A96="","",IF(J96=0,"",_xlfn.MAXIFS(HISTORIAL!$K$5:$K$2004,HISTORIAL!$E$5:$E$2004,$A96,HISTORIAL!$F$5:$F$2004,"Bilbo",HISTORIAL!$G$5:$G$2004,$B96,HISTORIAL!$J$5:$J$2004,K96)))</f>
        <v/>
      </c>
      <c r="M96" s="27" t="str">
        <f aca="false">IF($A96="","",IF(J96=0,"",_xlfn.MAXIFS(HISTORIAL!$T$5:$T$2004,HISTORIAL!$E$5:$E$2004,$A96,HISTORIAL!$F$5:$F$2004,"Bilbo",HISTORIAL!$G$5:$G$2004,$B96)))</f>
        <v/>
      </c>
      <c r="N96" s="27" t="str">
        <f aca="false">IF($A96="","",IF(J96=0,"",H96-E96))</f>
        <v/>
      </c>
      <c r="O96" s="27" t="str">
        <f aca="false">IF($A96="","",IF(COUNTIFS($A$6:$A$105,$A96,$B$6:$B$105,$B96-1)=0,"",SUMIFS($E$6:$E$105,$A$6:$A$105,$A96,$B$6:$B$105,$B96-1)))</f>
        <v/>
      </c>
      <c r="P96" s="18" t="str">
        <f aca="false">IF($A96="","",IF(OR(O96="",NOT(ISNUMBER(E96))),"—",IF(E96&gt;O96,"OK","ERROR: debe ser &gt; "&amp;O96)))</f>
        <v/>
      </c>
      <c r="Q96" s="18" t="str">
        <f aca="false">IF($A96="","",IF(OR(O96="",NOT(ISNUMBER(E96))),"",IF(_xlfn.MAXIFS(HISTORIAL!$K$5:$K$2004,HISTORIAL!$E$5:$E$2004,$A96,HISTORIAL!$F$5:$F$2004,"Bilbo",HISTORIAL!$G$5:$G$2004,$B96-1,HISTORIAL!$J$5:$J$2004,E96)=0,"sin dato comparable",_xlfn.MAXIFS(HISTORIAL!$K$5:$K$2004,HISTORIAL!$E$5:$E$2004,$A96,HISTORIAL!$F$5:$F$2004,"Bilbo",HISTORIAL!$G$5:$G$2004,$B96-1,HISTORIAL!$J$5:$J$2004,E96))))</f>
        <v/>
      </c>
      <c r="R96" s="18" t="str">
        <f aca="false">IF($A96="","",IF(AND(ISNUMBER(Q96),ISNUMBER(F96)),F96-Q96,""))</f>
        <v/>
      </c>
      <c r="S96" s="27" t="str">
        <f aca="false">IF($A96="","",SUMIFS(HISTORIAL!$R$5:$R$2004,HISTORIAL!$E$5:$E$2004,$A96,HISTORIAL!$F$5:$F$2004,"Bilbo",HISTORIAL!$G$5:$G$2004,$B96)+SUMIFS(HISTORIAL!$R$5:$R$2004,HISTORIAL!$E$5:$E$2004,$A96,HISTORIAL!$F$5:$F$2004,"Post-Bilbo",HISTORIAL!$G$5:$G$2004,$B96))</f>
        <v/>
      </c>
      <c r="T96" s="27" t="str">
        <f aca="false">IF($A96="","",IF(NOT(ISNUMBER(E96)),"",MAX(E96+INDEX(CONFIGURACIÓN!$H$42:$H$56,MATCH($A96,CONFIGURACIÓN!$B$42:$B$56,0)),-INT(-E96*(1+CONFIGURACIÓN!$C$17)/(INDEX(CONFIGURACIÓN!$H$42:$H$56,MATCH($A96,CONFIGURACIÓN!$B$42:$B$56,0))))*(INDEX(CONFIGURACIÓN!$H$42:$H$56,MATCH($A96,CONFIGURACIÓN!$B$42:$B$56,0))))))</f>
        <v/>
      </c>
      <c r="U96" s="13"/>
      <c r="V96" s="18" t="str">
        <f aca="false">IF($A96="","",IF(U96="","",IF(NOT(ISNUMBER(E96)),"sin carga inicial registrada",IF(U96&gt;E96,"OK","ERROR: debe ser &gt; "&amp;E96))))</f>
        <v/>
      </c>
      <c r="W96" s="11"/>
    </row>
    <row r="97" customFormat="false" ht="15" hidden="false" customHeight="true" outlineLevel="0" collapsed="false">
      <c r="A97" s="11"/>
      <c r="B97" s="11"/>
      <c r="C97" s="11"/>
      <c r="D97" s="28" t="str">
        <f aca="false">IF($A97="","",IF(_xlfn.MINIFS(HISTORIAL!$A$5:$A$2004,HISTORIAL!$E$5:$E$2004,$A97,HISTORIAL!$F$5:$F$2004,"Bilbo",HISTORIAL!$G$5:$G$2004,$B97)=0,"",INDEX(HISTORIAL!$B$5:$B$2004,_xlfn.MINIFS(HISTORIAL!$A$5:$A$2004,HISTORIAL!$E$5:$E$2004,$A97,HISTORIAL!$F$5:$F$2004,"Bilbo",HISTORIAL!$G$5:$G$2004,$B97))))</f>
        <v/>
      </c>
      <c r="E97" s="27" t="str">
        <f aca="false">IF($A97="","",IF(_xlfn.MINIFS(HISTORIAL!$A$5:$A$2004,HISTORIAL!$E$5:$E$2004,$A97,HISTORIAL!$F$5:$F$2004,"Bilbo",HISTORIAL!$G$5:$G$2004,$B97)=0,"",INDEX(HISTORIAL!$J$5:$J$2004,_xlfn.MINIFS(HISTORIAL!$A$5:$A$2004,HISTORIAL!$E$5:$E$2004,$A97,HISTORIAL!$F$5:$F$2004,"Bilbo",HISTORIAL!$G$5:$G$2004,$B97))))</f>
        <v/>
      </c>
      <c r="F97" s="18" t="str">
        <f aca="false">IF($A97="","",IF(_xlfn.MINIFS(HISTORIAL!$A$5:$A$2004,HISTORIAL!$E$5:$E$2004,$A97,HISTORIAL!$F$5:$F$2004,"Bilbo",HISTORIAL!$G$5:$G$2004,$B97)=0,"",INDEX(HISTORIAL!$K$5:$K$2004,_xlfn.MINIFS(HISTORIAL!$A$5:$A$2004,HISTORIAL!$E$5:$E$2004,$A97,HISTORIAL!$F$5:$F$2004,"Bilbo",HISTORIAL!$G$5:$G$2004,$B97))))</f>
        <v/>
      </c>
      <c r="G97" s="28" t="str">
        <f aca="false">IF($A97="","",IF(_xlfn.MAXIFS(HISTORIAL!$A$5:$A$2004,HISTORIAL!$E$5:$E$2004,$A97,HISTORIAL!$F$5:$F$2004,"Bilbo",HISTORIAL!$G$5:$G$2004,$B97)=0,"",INDEX(HISTORIAL!$B$5:$B$2004,_xlfn.MAXIFS(HISTORIAL!$A$5:$A$2004,HISTORIAL!$E$5:$E$2004,$A97,HISTORIAL!$F$5:$F$2004,"Bilbo",HISTORIAL!$G$5:$G$2004,$B97))))</f>
        <v/>
      </c>
      <c r="H97" s="27" t="str">
        <f aca="false">IF($A97="","",IF(_xlfn.MAXIFS(HISTORIAL!$A$5:$A$2004,HISTORIAL!$E$5:$E$2004,$A97,HISTORIAL!$F$5:$F$2004,"Bilbo",HISTORIAL!$G$5:$G$2004,$B97)=0,"",INDEX(HISTORIAL!$J$5:$J$2004,_xlfn.MAXIFS(HISTORIAL!$A$5:$A$2004,HISTORIAL!$E$5:$E$2004,$A97,HISTORIAL!$F$5:$F$2004,"Bilbo",HISTORIAL!$G$5:$G$2004,$B97))))</f>
        <v/>
      </c>
      <c r="I97" s="18" t="str">
        <f aca="false">IF($A97="","",IF(_xlfn.MAXIFS(HISTORIAL!$A$5:$A$2004,HISTORIAL!$E$5:$E$2004,$A97,HISTORIAL!$F$5:$F$2004,"Bilbo",HISTORIAL!$G$5:$G$2004,$B97)=0,"",INDEX(HISTORIAL!$K$5:$K$2004,_xlfn.MAXIFS(HISTORIAL!$A$5:$A$2004,HISTORIAL!$E$5:$E$2004,$A97,HISTORIAL!$F$5:$F$2004,"Bilbo",HISTORIAL!$G$5:$G$2004,$B97))))</f>
        <v/>
      </c>
      <c r="J97" s="18" t="str">
        <f aca="false">IF($A97="","",COUNTIFS(HISTORIAL!$E$5:$E$2004,$A97,HISTORIAL!$F$5:$F$2004,"Bilbo",HISTORIAL!$G$5:$G$2004,$B97))</f>
        <v/>
      </c>
      <c r="K97" s="27" t="str">
        <f aca="false">IF($A97="","",IF(J97=0,"",_xlfn.MAXIFS(HISTORIAL!$J$5:$J$2004,HISTORIAL!$E$5:$E$2004,$A97,HISTORIAL!$F$5:$F$2004,"Bilbo",HISTORIAL!$G$5:$G$2004,$B97)))</f>
        <v/>
      </c>
      <c r="L97" s="18" t="str">
        <f aca="false">IF($A97="","",IF(J97=0,"",_xlfn.MAXIFS(HISTORIAL!$K$5:$K$2004,HISTORIAL!$E$5:$E$2004,$A97,HISTORIAL!$F$5:$F$2004,"Bilbo",HISTORIAL!$G$5:$G$2004,$B97,HISTORIAL!$J$5:$J$2004,K97)))</f>
        <v/>
      </c>
      <c r="M97" s="27" t="str">
        <f aca="false">IF($A97="","",IF(J97=0,"",_xlfn.MAXIFS(HISTORIAL!$T$5:$T$2004,HISTORIAL!$E$5:$E$2004,$A97,HISTORIAL!$F$5:$F$2004,"Bilbo",HISTORIAL!$G$5:$G$2004,$B97)))</f>
        <v/>
      </c>
      <c r="N97" s="27" t="str">
        <f aca="false">IF($A97="","",IF(J97=0,"",H97-E97))</f>
        <v/>
      </c>
      <c r="O97" s="27" t="str">
        <f aca="false">IF($A97="","",IF(COUNTIFS($A$6:$A$105,$A97,$B$6:$B$105,$B97-1)=0,"",SUMIFS($E$6:$E$105,$A$6:$A$105,$A97,$B$6:$B$105,$B97-1)))</f>
        <v/>
      </c>
      <c r="P97" s="18" t="str">
        <f aca="false">IF($A97="","",IF(OR(O97="",NOT(ISNUMBER(E97))),"—",IF(E97&gt;O97,"OK","ERROR: debe ser &gt; "&amp;O97)))</f>
        <v/>
      </c>
      <c r="Q97" s="18" t="str">
        <f aca="false">IF($A97="","",IF(OR(O97="",NOT(ISNUMBER(E97))),"",IF(_xlfn.MAXIFS(HISTORIAL!$K$5:$K$2004,HISTORIAL!$E$5:$E$2004,$A97,HISTORIAL!$F$5:$F$2004,"Bilbo",HISTORIAL!$G$5:$G$2004,$B97-1,HISTORIAL!$J$5:$J$2004,E97)=0,"sin dato comparable",_xlfn.MAXIFS(HISTORIAL!$K$5:$K$2004,HISTORIAL!$E$5:$E$2004,$A97,HISTORIAL!$F$5:$F$2004,"Bilbo",HISTORIAL!$G$5:$G$2004,$B97-1,HISTORIAL!$J$5:$J$2004,E97))))</f>
        <v/>
      </c>
      <c r="R97" s="18" t="str">
        <f aca="false">IF($A97="","",IF(AND(ISNUMBER(Q97),ISNUMBER(F97)),F97-Q97,""))</f>
        <v/>
      </c>
      <c r="S97" s="27" t="str">
        <f aca="false">IF($A97="","",SUMIFS(HISTORIAL!$R$5:$R$2004,HISTORIAL!$E$5:$E$2004,$A97,HISTORIAL!$F$5:$F$2004,"Bilbo",HISTORIAL!$G$5:$G$2004,$B97)+SUMIFS(HISTORIAL!$R$5:$R$2004,HISTORIAL!$E$5:$E$2004,$A97,HISTORIAL!$F$5:$F$2004,"Post-Bilbo",HISTORIAL!$G$5:$G$2004,$B97))</f>
        <v/>
      </c>
      <c r="T97" s="27" t="str">
        <f aca="false">IF($A97="","",IF(NOT(ISNUMBER(E97)),"",MAX(E97+INDEX(CONFIGURACIÓN!$H$42:$H$56,MATCH($A97,CONFIGURACIÓN!$B$42:$B$56,0)),-INT(-E97*(1+CONFIGURACIÓN!$C$17)/(INDEX(CONFIGURACIÓN!$H$42:$H$56,MATCH($A97,CONFIGURACIÓN!$B$42:$B$56,0))))*(INDEX(CONFIGURACIÓN!$H$42:$H$56,MATCH($A97,CONFIGURACIÓN!$B$42:$B$56,0))))))</f>
        <v/>
      </c>
      <c r="U97" s="13"/>
      <c r="V97" s="18" t="str">
        <f aca="false">IF($A97="","",IF(U97="","",IF(NOT(ISNUMBER(E97)),"sin carga inicial registrada",IF(U97&gt;E97,"OK","ERROR: debe ser &gt; "&amp;E97))))</f>
        <v/>
      </c>
      <c r="W97" s="11"/>
    </row>
    <row r="98" customFormat="false" ht="15" hidden="false" customHeight="true" outlineLevel="0" collapsed="false">
      <c r="A98" s="11"/>
      <c r="B98" s="11"/>
      <c r="C98" s="11"/>
      <c r="D98" s="28" t="str">
        <f aca="false">IF($A98="","",IF(_xlfn.MINIFS(HISTORIAL!$A$5:$A$2004,HISTORIAL!$E$5:$E$2004,$A98,HISTORIAL!$F$5:$F$2004,"Bilbo",HISTORIAL!$G$5:$G$2004,$B98)=0,"",INDEX(HISTORIAL!$B$5:$B$2004,_xlfn.MINIFS(HISTORIAL!$A$5:$A$2004,HISTORIAL!$E$5:$E$2004,$A98,HISTORIAL!$F$5:$F$2004,"Bilbo",HISTORIAL!$G$5:$G$2004,$B98))))</f>
        <v/>
      </c>
      <c r="E98" s="27" t="str">
        <f aca="false">IF($A98="","",IF(_xlfn.MINIFS(HISTORIAL!$A$5:$A$2004,HISTORIAL!$E$5:$E$2004,$A98,HISTORIAL!$F$5:$F$2004,"Bilbo",HISTORIAL!$G$5:$G$2004,$B98)=0,"",INDEX(HISTORIAL!$J$5:$J$2004,_xlfn.MINIFS(HISTORIAL!$A$5:$A$2004,HISTORIAL!$E$5:$E$2004,$A98,HISTORIAL!$F$5:$F$2004,"Bilbo",HISTORIAL!$G$5:$G$2004,$B98))))</f>
        <v/>
      </c>
      <c r="F98" s="18" t="str">
        <f aca="false">IF($A98="","",IF(_xlfn.MINIFS(HISTORIAL!$A$5:$A$2004,HISTORIAL!$E$5:$E$2004,$A98,HISTORIAL!$F$5:$F$2004,"Bilbo",HISTORIAL!$G$5:$G$2004,$B98)=0,"",INDEX(HISTORIAL!$K$5:$K$2004,_xlfn.MINIFS(HISTORIAL!$A$5:$A$2004,HISTORIAL!$E$5:$E$2004,$A98,HISTORIAL!$F$5:$F$2004,"Bilbo",HISTORIAL!$G$5:$G$2004,$B98))))</f>
        <v/>
      </c>
      <c r="G98" s="28" t="str">
        <f aca="false">IF($A98="","",IF(_xlfn.MAXIFS(HISTORIAL!$A$5:$A$2004,HISTORIAL!$E$5:$E$2004,$A98,HISTORIAL!$F$5:$F$2004,"Bilbo",HISTORIAL!$G$5:$G$2004,$B98)=0,"",INDEX(HISTORIAL!$B$5:$B$2004,_xlfn.MAXIFS(HISTORIAL!$A$5:$A$2004,HISTORIAL!$E$5:$E$2004,$A98,HISTORIAL!$F$5:$F$2004,"Bilbo",HISTORIAL!$G$5:$G$2004,$B98))))</f>
        <v/>
      </c>
      <c r="H98" s="27" t="str">
        <f aca="false">IF($A98="","",IF(_xlfn.MAXIFS(HISTORIAL!$A$5:$A$2004,HISTORIAL!$E$5:$E$2004,$A98,HISTORIAL!$F$5:$F$2004,"Bilbo",HISTORIAL!$G$5:$G$2004,$B98)=0,"",INDEX(HISTORIAL!$J$5:$J$2004,_xlfn.MAXIFS(HISTORIAL!$A$5:$A$2004,HISTORIAL!$E$5:$E$2004,$A98,HISTORIAL!$F$5:$F$2004,"Bilbo",HISTORIAL!$G$5:$G$2004,$B98))))</f>
        <v/>
      </c>
      <c r="I98" s="18" t="str">
        <f aca="false">IF($A98="","",IF(_xlfn.MAXIFS(HISTORIAL!$A$5:$A$2004,HISTORIAL!$E$5:$E$2004,$A98,HISTORIAL!$F$5:$F$2004,"Bilbo",HISTORIAL!$G$5:$G$2004,$B98)=0,"",INDEX(HISTORIAL!$K$5:$K$2004,_xlfn.MAXIFS(HISTORIAL!$A$5:$A$2004,HISTORIAL!$E$5:$E$2004,$A98,HISTORIAL!$F$5:$F$2004,"Bilbo",HISTORIAL!$G$5:$G$2004,$B98))))</f>
        <v/>
      </c>
      <c r="J98" s="18" t="str">
        <f aca="false">IF($A98="","",COUNTIFS(HISTORIAL!$E$5:$E$2004,$A98,HISTORIAL!$F$5:$F$2004,"Bilbo",HISTORIAL!$G$5:$G$2004,$B98))</f>
        <v/>
      </c>
      <c r="K98" s="27" t="str">
        <f aca="false">IF($A98="","",IF(J98=0,"",_xlfn.MAXIFS(HISTORIAL!$J$5:$J$2004,HISTORIAL!$E$5:$E$2004,$A98,HISTORIAL!$F$5:$F$2004,"Bilbo",HISTORIAL!$G$5:$G$2004,$B98)))</f>
        <v/>
      </c>
      <c r="L98" s="18" t="str">
        <f aca="false">IF($A98="","",IF(J98=0,"",_xlfn.MAXIFS(HISTORIAL!$K$5:$K$2004,HISTORIAL!$E$5:$E$2004,$A98,HISTORIAL!$F$5:$F$2004,"Bilbo",HISTORIAL!$G$5:$G$2004,$B98,HISTORIAL!$J$5:$J$2004,K98)))</f>
        <v/>
      </c>
      <c r="M98" s="27" t="str">
        <f aca="false">IF($A98="","",IF(J98=0,"",_xlfn.MAXIFS(HISTORIAL!$T$5:$T$2004,HISTORIAL!$E$5:$E$2004,$A98,HISTORIAL!$F$5:$F$2004,"Bilbo",HISTORIAL!$G$5:$G$2004,$B98)))</f>
        <v/>
      </c>
      <c r="N98" s="27" t="str">
        <f aca="false">IF($A98="","",IF(J98=0,"",H98-E98))</f>
        <v/>
      </c>
      <c r="O98" s="27" t="str">
        <f aca="false">IF($A98="","",IF(COUNTIFS($A$6:$A$105,$A98,$B$6:$B$105,$B98-1)=0,"",SUMIFS($E$6:$E$105,$A$6:$A$105,$A98,$B$6:$B$105,$B98-1)))</f>
        <v/>
      </c>
      <c r="P98" s="18" t="str">
        <f aca="false">IF($A98="","",IF(OR(O98="",NOT(ISNUMBER(E98))),"—",IF(E98&gt;O98,"OK","ERROR: debe ser &gt; "&amp;O98)))</f>
        <v/>
      </c>
      <c r="Q98" s="18" t="str">
        <f aca="false">IF($A98="","",IF(OR(O98="",NOT(ISNUMBER(E98))),"",IF(_xlfn.MAXIFS(HISTORIAL!$K$5:$K$2004,HISTORIAL!$E$5:$E$2004,$A98,HISTORIAL!$F$5:$F$2004,"Bilbo",HISTORIAL!$G$5:$G$2004,$B98-1,HISTORIAL!$J$5:$J$2004,E98)=0,"sin dato comparable",_xlfn.MAXIFS(HISTORIAL!$K$5:$K$2004,HISTORIAL!$E$5:$E$2004,$A98,HISTORIAL!$F$5:$F$2004,"Bilbo",HISTORIAL!$G$5:$G$2004,$B98-1,HISTORIAL!$J$5:$J$2004,E98))))</f>
        <v/>
      </c>
      <c r="R98" s="18" t="str">
        <f aca="false">IF($A98="","",IF(AND(ISNUMBER(Q98),ISNUMBER(F98)),F98-Q98,""))</f>
        <v/>
      </c>
      <c r="S98" s="27" t="str">
        <f aca="false">IF($A98="","",SUMIFS(HISTORIAL!$R$5:$R$2004,HISTORIAL!$E$5:$E$2004,$A98,HISTORIAL!$F$5:$F$2004,"Bilbo",HISTORIAL!$G$5:$G$2004,$B98)+SUMIFS(HISTORIAL!$R$5:$R$2004,HISTORIAL!$E$5:$E$2004,$A98,HISTORIAL!$F$5:$F$2004,"Post-Bilbo",HISTORIAL!$G$5:$G$2004,$B98))</f>
        <v/>
      </c>
      <c r="T98" s="27" t="str">
        <f aca="false">IF($A98="","",IF(NOT(ISNUMBER(E98)),"",MAX(E98+INDEX(CONFIGURACIÓN!$H$42:$H$56,MATCH($A98,CONFIGURACIÓN!$B$42:$B$56,0)),-INT(-E98*(1+CONFIGURACIÓN!$C$17)/(INDEX(CONFIGURACIÓN!$H$42:$H$56,MATCH($A98,CONFIGURACIÓN!$B$42:$B$56,0))))*(INDEX(CONFIGURACIÓN!$H$42:$H$56,MATCH($A98,CONFIGURACIÓN!$B$42:$B$56,0))))))</f>
        <v/>
      </c>
      <c r="U98" s="13"/>
      <c r="V98" s="18" t="str">
        <f aca="false">IF($A98="","",IF(U98="","",IF(NOT(ISNUMBER(E98)),"sin carga inicial registrada",IF(U98&gt;E98,"OK","ERROR: debe ser &gt; "&amp;E98))))</f>
        <v/>
      </c>
      <c r="W98" s="11"/>
    </row>
    <row r="99" customFormat="false" ht="15" hidden="false" customHeight="true" outlineLevel="0" collapsed="false">
      <c r="A99" s="11"/>
      <c r="B99" s="11"/>
      <c r="C99" s="11"/>
      <c r="D99" s="28" t="str">
        <f aca="false">IF($A99="","",IF(_xlfn.MINIFS(HISTORIAL!$A$5:$A$2004,HISTORIAL!$E$5:$E$2004,$A99,HISTORIAL!$F$5:$F$2004,"Bilbo",HISTORIAL!$G$5:$G$2004,$B99)=0,"",INDEX(HISTORIAL!$B$5:$B$2004,_xlfn.MINIFS(HISTORIAL!$A$5:$A$2004,HISTORIAL!$E$5:$E$2004,$A99,HISTORIAL!$F$5:$F$2004,"Bilbo",HISTORIAL!$G$5:$G$2004,$B99))))</f>
        <v/>
      </c>
      <c r="E99" s="27" t="str">
        <f aca="false">IF($A99="","",IF(_xlfn.MINIFS(HISTORIAL!$A$5:$A$2004,HISTORIAL!$E$5:$E$2004,$A99,HISTORIAL!$F$5:$F$2004,"Bilbo",HISTORIAL!$G$5:$G$2004,$B99)=0,"",INDEX(HISTORIAL!$J$5:$J$2004,_xlfn.MINIFS(HISTORIAL!$A$5:$A$2004,HISTORIAL!$E$5:$E$2004,$A99,HISTORIAL!$F$5:$F$2004,"Bilbo",HISTORIAL!$G$5:$G$2004,$B99))))</f>
        <v/>
      </c>
      <c r="F99" s="18" t="str">
        <f aca="false">IF($A99="","",IF(_xlfn.MINIFS(HISTORIAL!$A$5:$A$2004,HISTORIAL!$E$5:$E$2004,$A99,HISTORIAL!$F$5:$F$2004,"Bilbo",HISTORIAL!$G$5:$G$2004,$B99)=0,"",INDEX(HISTORIAL!$K$5:$K$2004,_xlfn.MINIFS(HISTORIAL!$A$5:$A$2004,HISTORIAL!$E$5:$E$2004,$A99,HISTORIAL!$F$5:$F$2004,"Bilbo",HISTORIAL!$G$5:$G$2004,$B99))))</f>
        <v/>
      </c>
      <c r="G99" s="28" t="str">
        <f aca="false">IF($A99="","",IF(_xlfn.MAXIFS(HISTORIAL!$A$5:$A$2004,HISTORIAL!$E$5:$E$2004,$A99,HISTORIAL!$F$5:$F$2004,"Bilbo",HISTORIAL!$G$5:$G$2004,$B99)=0,"",INDEX(HISTORIAL!$B$5:$B$2004,_xlfn.MAXIFS(HISTORIAL!$A$5:$A$2004,HISTORIAL!$E$5:$E$2004,$A99,HISTORIAL!$F$5:$F$2004,"Bilbo",HISTORIAL!$G$5:$G$2004,$B99))))</f>
        <v/>
      </c>
      <c r="H99" s="27" t="str">
        <f aca="false">IF($A99="","",IF(_xlfn.MAXIFS(HISTORIAL!$A$5:$A$2004,HISTORIAL!$E$5:$E$2004,$A99,HISTORIAL!$F$5:$F$2004,"Bilbo",HISTORIAL!$G$5:$G$2004,$B99)=0,"",INDEX(HISTORIAL!$J$5:$J$2004,_xlfn.MAXIFS(HISTORIAL!$A$5:$A$2004,HISTORIAL!$E$5:$E$2004,$A99,HISTORIAL!$F$5:$F$2004,"Bilbo",HISTORIAL!$G$5:$G$2004,$B99))))</f>
        <v/>
      </c>
      <c r="I99" s="18" t="str">
        <f aca="false">IF($A99="","",IF(_xlfn.MAXIFS(HISTORIAL!$A$5:$A$2004,HISTORIAL!$E$5:$E$2004,$A99,HISTORIAL!$F$5:$F$2004,"Bilbo",HISTORIAL!$G$5:$G$2004,$B99)=0,"",INDEX(HISTORIAL!$K$5:$K$2004,_xlfn.MAXIFS(HISTORIAL!$A$5:$A$2004,HISTORIAL!$E$5:$E$2004,$A99,HISTORIAL!$F$5:$F$2004,"Bilbo",HISTORIAL!$G$5:$G$2004,$B99))))</f>
        <v/>
      </c>
      <c r="J99" s="18" t="str">
        <f aca="false">IF($A99="","",COUNTIFS(HISTORIAL!$E$5:$E$2004,$A99,HISTORIAL!$F$5:$F$2004,"Bilbo",HISTORIAL!$G$5:$G$2004,$B99))</f>
        <v/>
      </c>
      <c r="K99" s="27" t="str">
        <f aca="false">IF($A99="","",IF(J99=0,"",_xlfn.MAXIFS(HISTORIAL!$J$5:$J$2004,HISTORIAL!$E$5:$E$2004,$A99,HISTORIAL!$F$5:$F$2004,"Bilbo",HISTORIAL!$G$5:$G$2004,$B99)))</f>
        <v/>
      </c>
      <c r="L99" s="18" t="str">
        <f aca="false">IF($A99="","",IF(J99=0,"",_xlfn.MAXIFS(HISTORIAL!$K$5:$K$2004,HISTORIAL!$E$5:$E$2004,$A99,HISTORIAL!$F$5:$F$2004,"Bilbo",HISTORIAL!$G$5:$G$2004,$B99,HISTORIAL!$J$5:$J$2004,K99)))</f>
        <v/>
      </c>
      <c r="M99" s="27" t="str">
        <f aca="false">IF($A99="","",IF(J99=0,"",_xlfn.MAXIFS(HISTORIAL!$T$5:$T$2004,HISTORIAL!$E$5:$E$2004,$A99,HISTORIAL!$F$5:$F$2004,"Bilbo",HISTORIAL!$G$5:$G$2004,$B99)))</f>
        <v/>
      </c>
      <c r="N99" s="27" t="str">
        <f aca="false">IF($A99="","",IF(J99=0,"",H99-E99))</f>
        <v/>
      </c>
      <c r="O99" s="27" t="str">
        <f aca="false">IF($A99="","",IF(COUNTIFS($A$6:$A$105,$A99,$B$6:$B$105,$B99-1)=0,"",SUMIFS($E$6:$E$105,$A$6:$A$105,$A99,$B$6:$B$105,$B99-1)))</f>
        <v/>
      </c>
      <c r="P99" s="18" t="str">
        <f aca="false">IF($A99="","",IF(OR(O99="",NOT(ISNUMBER(E99))),"—",IF(E99&gt;O99,"OK","ERROR: debe ser &gt; "&amp;O99)))</f>
        <v/>
      </c>
      <c r="Q99" s="18" t="str">
        <f aca="false">IF($A99="","",IF(OR(O99="",NOT(ISNUMBER(E99))),"",IF(_xlfn.MAXIFS(HISTORIAL!$K$5:$K$2004,HISTORIAL!$E$5:$E$2004,$A99,HISTORIAL!$F$5:$F$2004,"Bilbo",HISTORIAL!$G$5:$G$2004,$B99-1,HISTORIAL!$J$5:$J$2004,E99)=0,"sin dato comparable",_xlfn.MAXIFS(HISTORIAL!$K$5:$K$2004,HISTORIAL!$E$5:$E$2004,$A99,HISTORIAL!$F$5:$F$2004,"Bilbo",HISTORIAL!$G$5:$G$2004,$B99-1,HISTORIAL!$J$5:$J$2004,E99))))</f>
        <v/>
      </c>
      <c r="R99" s="18" t="str">
        <f aca="false">IF($A99="","",IF(AND(ISNUMBER(Q99),ISNUMBER(F99)),F99-Q99,""))</f>
        <v/>
      </c>
      <c r="S99" s="27" t="str">
        <f aca="false">IF($A99="","",SUMIFS(HISTORIAL!$R$5:$R$2004,HISTORIAL!$E$5:$E$2004,$A99,HISTORIAL!$F$5:$F$2004,"Bilbo",HISTORIAL!$G$5:$G$2004,$B99)+SUMIFS(HISTORIAL!$R$5:$R$2004,HISTORIAL!$E$5:$E$2004,$A99,HISTORIAL!$F$5:$F$2004,"Post-Bilbo",HISTORIAL!$G$5:$G$2004,$B99))</f>
        <v/>
      </c>
      <c r="T99" s="27" t="str">
        <f aca="false">IF($A99="","",IF(NOT(ISNUMBER(E99)),"",MAX(E99+INDEX(CONFIGURACIÓN!$H$42:$H$56,MATCH($A99,CONFIGURACIÓN!$B$42:$B$56,0)),-INT(-E99*(1+CONFIGURACIÓN!$C$17)/(INDEX(CONFIGURACIÓN!$H$42:$H$56,MATCH($A99,CONFIGURACIÓN!$B$42:$B$56,0))))*(INDEX(CONFIGURACIÓN!$H$42:$H$56,MATCH($A99,CONFIGURACIÓN!$B$42:$B$56,0))))))</f>
        <v/>
      </c>
      <c r="U99" s="13"/>
      <c r="V99" s="18" t="str">
        <f aca="false">IF($A99="","",IF(U99="","",IF(NOT(ISNUMBER(E99)),"sin carga inicial registrada",IF(U99&gt;E99,"OK","ERROR: debe ser &gt; "&amp;E99))))</f>
        <v/>
      </c>
      <c r="W99" s="11"/>
    </row>
    <row r="100" customFormat="false" ht="15" hidden="false" customHeight="true" outlineLevel="0" collapsed="false">
      <c r="A100" s="11"/>
      <c r="B100" s="11"/>
      <c r="C100" s="11"/>
      <c r="D100" s="28" t="str">
        <f aca="false">IF($A100="","",IF(_xlfn.MINIFS(HISTORIAL!$A$5:$A$2004,HISTORIAL!$E$5:$E$2004,$A100,HISTORIAL!$F$5:$F$2004,"Bilbo",HISTORIAL!$G$5:$G$2004,$B100)=0,"",INDEX(HISTORIAL!$B$5:$B$2004,_xlfn.MINIFS(HISTORIAL!$A$5:$A$2004,HISTORIAL!$E$5:$E$2004,$A100,HISTORIAL!$F$5:$F$2004,"Bilbo",HISTORIAL!$G$5:$G$2004,$B100))))</f>
        <v/>
      </c>
      <c r="E100" s="27" t="str">
        <f aca="false">IF($A100="","",IF(_xlfn.MINIFS(HISTORIAL!$A$5:$A$2004,HISTORIAL!$E$5:$E$2004,$A100,HISTORIAL!$F$5:$F$2004,"Bilbo",HISTORIAL!$G$5:$G$2004,$B100)=0,"",INDEX(HISTORIAL!$J$5:$J$2004,_xlfn.MINIFS(HISTORIAL!$A$5:$A$2004,HISTORIAL!$E$5:$E$2004,$A100,HISTORIAL!$F$5:$F$2004,"Bilbo",HISTORIAL!$G$5:$G$2004,$B100))))</f>
        <v/>
      </c>
      <c r="F100" s="18" t="str">
        <f aca="false">IF($A100="","",IF(_xlfn.MINIFS(HISTORIAL!$A$5:$A$2004,HISTORIAL!$E$5:$E$2004,$A100,HISTORIAL!$F$5:$F$2004,"Bilbo",HISTORIAL!$G$5:$G$2004,$B100)=0,"",INDEX(HISTORIAL!$K$5:$K$2004,_xlfn.MINIFS(HISTORIAL!$A$5:$A$2004,HISTORIAL!$E$5:$E$2004,$A100,HISTORIAL!$F$5:$F$2004,"Bilbo",HISTORIAL!$G$5:$G$2004,$B100))))</f>
        <v/>
      </c>
      <c r="G100" s="28" t="str">
        <f aca="false">IF($A100="","",IF(_xlfn.MAXIFS(HISTORIAL!$A$5:$A$2004,HISTORIAL!$E$5:$E$2004,$A100,HISTORIAL!$F$5:$F$2004,"Bilbo",HISTORIAL!$G$5:$G$2004,$B100)=0,"",INDEX(HISTORIAL!$B$5:$B$2004,_xlfn.MAXIFS(HISTORIAL!$A$5:$A$2004,HISTORIAL!$E$5:$E$2004,$A100,HISTORIAL!$F$5:$F$2004,"Bilbo",HISTORIAL!$G$5:$G$2004,$B100))))</f>
        <v/>
      </c>
      <c r="H100" s="27" t="str">
        <f aca="false">IF($A100="","",IF(_xlfn.MAXIFS(HISTORIAL!$A$5:$A$2004,HISTORIAL!$E$5:$E$2004,$A100,HISTORIAL!$F$5:$F$2004,"Bilbo",HISTORIAL!$G$5:$G$2004,$B100)=0,"",INDEX(HISTORIAL!$J$5:$J$2004,_xlfn.MAXIFS(HISTORIAL!$A$5:$A$2004,HISTORIAL!$E$5:$E$2004,$A100,HISTORIAL!$F$5:$F$2004,"Bilbo",HISTORIAL!$G$5:$G$2004,$B100))))</f>
        <v/>
      </c>
      <c r="I100" s="18" t="str">
        <f aca="false">IF($A100="","",IF(_xlfn.MAXIFS(HISTORIAL!$A$5:$A$2004,HISTORIAL!$E$5:$E$2004,$A100,HISTORIAL!$F$5:$F$2004,"Bilbo",HISTORIAL!$G$5:$G$2004,$B100)=0,"",INDEX(HISTORIAL!$K$5:$K$2004,_xlfn.MAXIFS(HISTORIAL!$A$5:$A$2004,HISTORIAL!$E$5:$E$2004,$A100,HISTORIAL!$F$5:$F$2004,"Bilbo",HISTORIAL!$G$5:$G$2004,$B100))))</f>
        <v/>
      </c>
      <c r="J100" s="18" t="str">
        <f aca="false">IF($A100="","",COUNTIFS(HISTORIAL!$E$5:$E$2004,$A100,HISTORIAL!$F$5:$F$2004,"Bilbo",HISTORIAL!$G$5:$G$2004,$B100))</f>
        <v/>
      </c>
      <c r="K100" s="27" t="str">
        <f aca="false">IF($A100="","",IF(J100=0,"",_xlfn.MAXIFS(HISTORIAL!$J$5:$J$2004,HISTORIAL!$E$5:$E$2004,$A100,HISTORIAL!$F$5:$F$2004,"Bilbo",HISTORIAL!$G$5:$G$2004,$B100)))</f>
        <v/>
      </c>
      <c r="L100" s="18" t="str">
        <f aca="false">IF($A100="","",IF(J100=0,"",_xlfn.MAXIFS(HISTORIAL!$K$5:$K$2004,HISTORIAL!$E$5:$E$2004,$A100,HISTORIAL!$F$5:$F$2004,"Bilbo",HISTORIAL!$G$5:$G$2004,$B100,HISTORIAL!$J$5:$J$2004,K100)))</f>
        <v/>
      </c>
      <c r="M100" s="27" t="str">
        <f aca="false">IF($A100="","",IF(J100=0,"",_xlfn.MAXIFS(HISTORIAL!$T$5:$T$2004,HISTORIAL!$E$5:$E$2004,$A100,HISTORIAL!$F$5:$F$2004,"Bilbo",HISTORIAL!$G$5:$G$2004,$B100)))</f>
        <v/>
      </c>
      <c r="N100" s="27" t="str">
        <f aca="false">IF($A100="","",IF(J100=0,"",H100-E100))</f>
        <v/>
      </c>
      <c r="O100" s="27" t="str">
        <f aca="false">IF($A100="","",IF(COUNTIFS($A$6:$A$105,$A100,$B$6:$B$105,$B100-1)=0,"",SUMIFS($E$6:$E$105,$A$6:$A$105,$A100,$B$6:$B$105,$B100-1)))</f>
        <v/>
      </c>
      <c r="P100" s="18" t="str">
        <f aca="false">IF($A100="","",IF(OR(O100="",NOT(ISNUMBER(E100))),"—",IF(E100&gt;O100,"OK","ERROR: debe ser &gt; "&amp;O100)))</f>
        <v/>
      </c>
      <c r="Q100" s="18" t="str">
        <f aca="false">IF($A100="","",IF(OR(O100="",NOT(ISNUMBER(E100))),"",IF(_xlfn.MAXIFS(HISTORIAL!$K$5:$K$2004,HISTORIAL!$E$5:$E$2004,$A100,HISTORIAL!$F$5:$F$2004,"Bilbo",HISTORIAL!$G$5:$G$2004,$B100-1,HISTORIAL!$J$5:$J$2004,E100)=0,"sin dato comparable",_xlfn.MAXIFS(HISTORIAL!$K$5:$K$2004,HISTORIAL!$E$5:$E$2004,$A100,HISTORIAL!$F$5:$F$2004,"Bilbo",HISTORIAL!$G$5:$G$2004,$B100-1,HISTORIAL!$J$5:$J$2004,E100))))</f>
        <v/>
      </c>
      <c r="R100" s="18" t="str">
        <f aca="false">IF($A100="","",IF(AND(ISNUMBER(Q100),ISNUMBER(F100)),F100-Q100,""))</f>
        <v/>
      </c>
      <c r="S100" s="27" t="str">
        <f aca="false">IF($A100="","",SUMIFS(HISTORIAL!$R$5:$R$2004,HISTORIAL!$E$5:$E$2004,$A100,HISTORIAL!$F$5:$F$2004,"Bilbo",HISTORIAL!$G$5:$G$2004,$B100)+SUMIFS(HISTORIAL!$R$5:$R$2004,HISTORIAL!$E$5:$E$2004,$A100,HISTORIAL!$F$5:$F$2004,"Post-Bilbo",HISTORIAL!$G$5:$G$2004,$B100))</f>
        <v/>
      </c>
      <c r="T100" s="27" t="str">
        <f aca="false">IF($A100="","",IF(NOT(ISNUMBER(E100)),"",MAX(E100+INDEX(CONFIGURACIÓN!$H$42:$H$56,MATCH($A100,CONFIGURACIÓN!$B$42:$B$56,0)),-INT(-E100*(1+CONFIGURACIÓN!$C$17)/(INDEX(CONFIGURACIÓN!$H$42:$H$56,MATCH($A100,CONFIGURACIÓN!$B$42:$B$56,0))))*(INDEX(CONFIGURACIÓN!$H$42:$H$56,MATCH($A100,CONFIGURACIÓN!$B$42:$B$56,0))))))</f>
        <v/>
      </c>
      <c r="U100" s="13"/>
      <c r="V100" s="18" t="str">
        <f aca="false">IF($A100="","",IF(U100="","",IF(NOT(ISNUMBER(E100)),"sin carga inicial registrada",IF(U100&gt;E100,"OK","ERROR: debe ser &gt; "&amp;E100))))</f>
        <v/>
      </c>
      <c r="W100" s="11"/>
    </row>
    <row r="101" customFormat="false" ht="15" hidden="false" customHeight="true" outlineLevel="0" collapsed="false">
      <c r="A101" s="11"/>
      <c r="B101" s="11"/>
      <c r="C101" s="11"/>
      <c r="D101" s="28" t="str">
        <f aca="false">IF($A101="","",IF(_xlfn.MINIFS(HISTORIAL!$A$5:$A$2004,HISTORIAL!$E$5:$E$2004,$A101,HISTORIAL!$F$5:$F$2004,"Bilbo",HISTORIAL!$G$5:$G$2004,$B101)=0,"",INDEX(HISTORIAL!$B$5:$B$2004,_xlfn.MINIFS(HISTORIAL!$A$5:$A$2004,HISTORIAL!$E$5:$E$2004,$A101,HISTORIAL!$F$5:$F$2004,"Bilbo",HISTORIAL!$G$5:$G$2004,$B101))))</f>
        <v/>
      </c>
      <c r="E101" s="27" t="str">
        <f aca="false">IF($A101="","",IF(_xlfn.MINIFS(HISTORIAL!$A$5:$A$2004,HISTORIAL!$E$5:$E$2004,$A101,HISTORIAL!$F$5:$F$2004,"Bilbo",HISTORIAL!$G$5:$G$2004,$B101)=0,"",INDEX(HISTORIAL!$J$5:$J$2004,_xlfn.MINIFS(HISTORIAL!$A$5:$A$2004,HISTORIAL!$E$5:$E$2004,$A101,HISTORIAL!$F$5:$F$2004,"Bilbo",HISTORIAL!$G$5:$G$2004,$B101))))</f>
        <v/>
      </c>
      <c r="F101" s="18" t="str">
        <f aca="false">IF($A101="","",IF(_xlfn.MINIFS(HISTORIAL!$A$5:$A$2004,HISTORIAL!$E$5:$E$2004,$A101,HISTORIAL!$F$5:$F$2004,"Bilbo",HISTORIAL!$G$5:$G$2004,$B101)=0,"",INDEX(HISTORIAL!$K$5:$K$2004,_xlfn.MINIFS(HISTORIAL!$A$5:$A$2004,HISTORIAL!$E$5:$E$2004,$A101,HISTORIAL!$F$5:$F$2004,"Bilbo",HISTORIAL!$G$5:$G$2004,$B101))))</f>
        <v/>
      </c>
      <c r="G101" s="28" t="str">
        <f aca="false">IF($A101="","",IF(_xlfn.MAXIFS(HISTORIAL!$A$5:$A$2004,HISTORIAL!$E$5:$E$2004,$A101,HISTORIAL!$F$5:$F$2004,"Bilbo",HISTORIAL!$G$5:$G$2004,$B101)=0,"",INDEX(HISTORIAL!$B$5:$B$2004,_xlfn.MAXIFS(HISTORIAL!$A$5:$A$2004,HISTORIAL!$E$5:$E$2004,$A101,HISTORIAL!$F$5:$F$2004,"Bilbo",HISTORIAL!$G$5:$G$2004,$B101))))</f>
        <v/>
      </c>
      <c r="H101" s="27" t="str">
        <f aca="false">IF($A101="","",IF(_xlfn.MAXIFS(HISTORIAL!$A$5:$A$2004,HISTORIAL!$E$5:$E$2004,$A101,HISTORIAL!$F$5:$F$2004,"Bilbo",HISTORIAL!$G$5:$G$2004,$B101)=0,"",INDEX(HISTORIAL!$J$5:$J$2004,_xlfn.MAXIFS(HISTORIAL!$A$5:$A$2004,HISTORIAL!$E$5:$E$2004,$A101,HISTORIAL!$F$5:$F$2004,"Bilbo",HISTORIAL!$G$5:$G$2004,$B101))))</f>
        <v/>
      </c>
      <c r="I101" s="18" t="str">
        <f aca="false">IF($A101="","",IF(_xlfn.MAXIFS(HISTORIAL!$A$5:$A$2004,HISTORIAL!$E$5:$E$2004,$A101,HISTORIAL!$F$5:$F$2004,"Bilbo",HISTORIAL!$G$5:$G$2004,$B101)=0,"",INDEX(HISTORIAL!$K$5:$K$2004,_xlfn.MAXIFS(HISTORIAL!$A$5:$A$2004,HISTORIAL!$E$5:$E$2004,$A101,HISTORIAL!$F$5:$F$2004,"Bilbo",HISTORIAL!$G$5:$G$2004,$B101))))</f>
        <v/>
      </c>
      <c r="J101" s="18" t="str">
        <f aca="false">IF($A101="","",COUNTIFS(HISTORIAL!$E$5:$E$2004,$A101,HISTORIAL!$F$5:$F$2004,"Bilbo",HISTORIAL!$G$5:$G$2004,$B101))</f>
        <v/>
      </c>
      <c r="K101" s="27" t="str">
        <f aca="false">IF($A101="","",IF(J101=0,"",_xlfn.MAXIFS(HISTORIAL!$J$5:$J$2004,HISTORIAL!$E$5:$E$2004,$A101,HISTORIAL!$F$5:$F$2004,"Bilbo",HISTORIAL!$G$5:$G$2004,$B101)))</f>
        <v/>
      </c>
      <c r="L101" s="18" t="str">
        <f aca="false">IF($A101="","",IF(J101=0,"",_xlfn.MAXIFS(HISTORIAL!$K$5:$K$2004,HISTORIAL!$E$5:$E$2004,$A101,HISTORIAL!$F$5:$F$2004,"Bilbo",HISTORIAL!$G$5:$G$2004,$B101,HISTORIAL!$J$5:$J$2004,K101)))</f>
        <v/>
      </c>
      <c r="M101" s="27" t="str">
        <f aca="false">IF($A101="","",IF(J101=0,"",_xlfn.MAXIFS(HISTORIAL!$T$5:$T$2004,HISTORIAL!$E$5:$E$2004,$A101,HISTORIAL!$F$5:$F$2004,"Bilbo",HISTORIAL!$G$5:$G$2004,$B101)))</f>
        <v/>
      </c>
      <c r="N101" s="27" t="str">
        <f aca="false">IF($A101="","",IF(J101=0,"",H101-E101))</f>
        <v/>
      </c>
      <c r="O101" s="27" t="str">
        <f aca="false">IF($A101="","",IF(COUNTIFS($A$6:$A$105,$A101,$B$6:$B$105,$B101-1)=0,"",SUMIFS($E$6:$E$105,$A$6:$A$105,$A101,$B$6:$B$105,$B101-1)))</f>
        <v/>
      </c>
      <c r="P101" s="18" t="str">
        <f aca="false">IF($A101="","",IF(OR(O101="",NOT(ISNUMBER(E101))),"—",IF(E101&gt;O101,"OK","ERROR: debe ser &gt; "&amp;O101)))</f>
        <v/>
      </c>
      <c r="Q101" s="18" t="str">
        <f aca="false">IF($A101="","",IF(OR(O101="",NOT(ISNUMBER(E101))),"",IF(_xlfn.MAXIFS(HISTORIAL!$K$5:$K$2004,HISTORIAL!$E$5:$E$2004,$A101,HISTORIAL!$F$5:$F$2004,"Bilbo",HISTORIAL!$G$5:$G$2004,$B101-1,HISTORIAL!$J$5:$J$2004,E101)=0,"sin dato comparable",_xlfn.MAXIFS(HISTORIAL!$K$5:$K$2004,HISTORIAL!$E$5:$E$2004,$A101,HISTORIAL!$F$5:$F$2004,"Bilbo",HISTORIAL!$G$5:$G$2004,$B101-1,HISTORIAL!$J$5:$J$2004,E101))))</f>
        <v/>
      </c>
      <c r="R101" s="18" t="str">
        <f aca="false">IF($A101="","",IF(AND(ISNUMBER(Q101),ISNUMBER(F101)),F101-Q101,""))</f>
        <v/>
      </c>
      <c r="S101" s="27" t="str">
        <f aca="false">IF($A101="","",SUMIFS(HISTORIAL!$R$5:$R$2004,HISTORIAL!$E$5:$E$2004,$A101,HISTORIAL!$F$5:$F$2004,"Bilbo",HISTORIAL!$G$5:$G$2004,$B101)+SUMIFS(HISTORIAL!$R$5:$R$2004,HISTORIAL!$E$5:$E$2004,$A101,HISTORIAL!$F$5:$F$2004,"Post-Bilbo",HISTORIAL!$G$5:$G$2004,$B101))</f>
        <v/>
      </c>
      <c r="T101" s="27" t="str">
        <f aca="false">IF($A101="","",IF(NOT(ISNUMBER(E101)),"",MAX(E101+INDEX(CONFIGURACIÓN!$H$42:$H$56,MATCH($A101,CONFIGURACIÓN!$B$42:$B$56,0)),-INT(-E101*(1+CONFIGURACIÓN!$C$17)/(INDEX(CONFIGURACIÓN!$H$42:$H$56,MATCH($A101,CONFIGURACIÓN!$B$42:$B$56,0))))*(INDEX(CONFIGURACIÓN!$H$42:$H$56,MATCH($A101,CONFIGURACIÓN!$B$42:$B$56,0))))))</f>
        <v/>
      </c>
      <c r="U101" s="13"/>
      <c r="V101" s="18" t="str">
        <f aca="false">IF($A101="","",IF(U101="","",IF(NOT(ISNUMBER(E101)),"sin carga inicial registrada",IF(U101&gt;E101,"OK","ERROR: debe ser &gt; "&amp;E101))))</f>
        <v/>
      </c>
      <c r="W101" s="11"/>
    </row>
    <row r="102" customFormat="false" ht="15" hidden="false" customHeight="true" outlineLevel="0" collapsed="false">
      <c r="A102" s="11"/>
      <c r="B102" s="11"/>
      <c r="C102" s="11"/>
      <c r="D102" s="28" t="str">
        <f aca="false">IF($A102="","",IF(_xlfn.MINIFS(HISTORIAL!$A$5:$A$2004,HISTORIAL!$E$5:$E$2004,$A102,HISTORIAL!$F$5:$F$2004,"Bilbo",HISTORIAL!$G$5:$G$2004,$B102)=0,"",INDEX(HISTORIAL!$B$5:$B$2004,_xlfn.MINIFS(HISTORIAL!$A$5:$A$2004,HISTORIAL!$E$5:$E$2004,$A102,HISTORIAL!$F$5:$F$2004,"Bilbo",HISTORIAL!$G$5:$G$2004,$B102))))</f>
        <v/>
      </c>
      <c r="E102" s="27" t="str">
        <f aca="false">IF($A102="","",IF(_xlfn.MINIFS(HISTORIAL!$A$5:$A$2004,HISTORIAL!$E$5:$E$2004,$A102,HISTORIAL!$F$5:$F$2004,"Bilbo",HISTORIAL!$G$5:$G$2004,$B102)=0,"",INDEX(HISTORIAL!$J$5:$J$2004,_xlfn.MINIFS(HISTORIAL!$A$5:$A$2004,HISTORIAL!$E$5:$E$2004,$A102,HISTORIAL!$F$5:$F$2004,"Bilbo",HISTORIAL!$G$5:$G$2004,$B102))))</f>
        <v/>
      </c>
      <c r="F102" s="18" t="str">
        <f aca="false">IF($A102="","",IF(_xlfn.MINIFS(HISTORIAL!$A$5:$A$2004,HISTORIAL!$E$5:$E$2004,$A102,HISTORIAL!$F$5:$F$2004,"Bilbo",HISTORIAL!$G$5:$G$2004,$B102)=0,"",INDEX(HISTORIAL!$K$5:$K$2004,_xlfn.MINIFS(HISTORIAL!$A$5:$A$2004,HISTORIAL!$E$5:$E$2004,$A102,HISTORIAL!$F$5:$F$2004,"Bilbo",HISTORIAL!$G$5:$G$2004,$B102))))</f>
        <v/>
      </c>
      <c r="G102" s="28" t="str">
        <f aca="false">IF($A102="","",IF(_xlfn.MAXIFS(HISTORIAL!$A$5:$A$2004,HISTORIAL!$E$5:$E$2004,$A102,HISTORIAL!$F$5:$F$2004,"Bilbo",HISTORIAL!$G$5:$G$2004,$B102)=0,"",INDEX(HISTORIAL!$B$5:$B$2004,_xlfn.MAXIFS(HISTORIAL!$A$5:$A$2004,HISTORIAL!$E$5:$E$2004,$A102,HISTORIAL!$F$5:$F$2004,"Bilbo",HISTORIAL!$G$5:$G$2004,$B102))))</f>
        <v/>
      </c>
      <c r="H102" s="27" t="str">
        <f aca="false">IF($A102="","",IF(_xlfn.MAXIFS(HISTORIAL!$A$5:$A$2004,HISTORIAL!$E$5:$E$2004,$A102,HISTORIAL!$F$5:$F$2004,"Bilbo",HISTORIAL!$G$5:$G$2004,$B102)=0,"",INDEX(HISTORIAL!$J$5:$J$2004,_xlfn.MAXIFS(HISTORIAL!$A$5:$A$2004,HISTORIAL!$E$5:$E$2004,$A102,HISTORIAL!$F$5:$F$2004,"Bilbo",HISTORIAL!$G$5:$G$2004,$B102))))</f>
        <v/>
      </c>
      <c r="I102" s="18" t="str">
        <f aca="false">IF($A102="","",IF(_xlfn.MAXIFS(HISTORIAL!$A$5:$A$2004,HISTORIAL!$E$5:$E$2004,$A102,HISTORIAL!$F$5:$F$2004,"Bilbo",HISTORIAL!$G$5:$G$2004,$B102)=0,"",INDEX(HISTORIAL!$K$5:$K$2004,_xlfn.MAXIFS(HISTORIAL!$A$5:$A$2004,HISTORIAL!$E$5:$E$2004,$A102,HISTORIAL!$F$5:$F$2004,"Bilbo",HISTORIAL!$G$5:$G$2004,$B102))))</f>
        <v/>
      </c>
      <c r="J102" s="18" t="str">
        <f aca="false">IF($A102="","",COUNTIFS(HISTORIAL!$E$5:$E$2004,$A102,HISTORIAL!$F$5:$F$2004,"Bilbo",HISTORIAL!$G$5:$G$2004,$B102))</f>
        <v/>
      </c>
      <c r="K102" s="27" t="str">
        <f aca="false">IF($A102="","",IF(J102=0,"",_xlfn.MAXIFS(HISTORIAL!$J$5:$J$2004,HISTORIAL!$E$5:$E$2004,$A102,HISTORIAL!$F$5:$F$2004,"Bilbo",HISTORIAL!$G$5:$G$2004,$B102)))</f>
        <v/>
      </c>
      <c r="L102" s="18" t="str">
        <f aca="false">IF($A102="","",IF(J102=0,"",_xlfn.MAXIFS(HISTORIAL!$K$5:$K$2004,HISTORIAL!$E$5:$E$2004,$A102,HISTORIAL!$F$5:$F$2004,"Bilbo",HISTORIAL!$G$5:$G$2004,$B102,HISTORIAL!$J$5:$J$2004,K102)))</f>
        <v/>
      </c>
      <c r="M102" s="27" t="str">
        <f aca="false">IF($A102="","",IF(J102=0,"",_xlfn.MAXIFS(HISTORIAL!$T$5:$T$2004,HISTORIAL!$E$5:$E$2004,$A102,HISTORIAL!$F$5:$F$2004,"Bilbo",HISTORIAL!$G$5:$G$2004,$B102)))</f>
        <v/>
      </c>
      <c r="N102" s="27" t="str">
        <f aca="false">IF($A102="","",IF(J102=0,"",H102-E102))</f>
        <v/>
      </c>
      <c r="O102" s="27" t="str">
        <f aca="false">IF($A102="","",IF(COUNTIFS($A$6:$A$105,$A102,$B$6:$B$105,$B102-1)=0,"",SUMIFS($E$6:$E$105,$A$6:$A$105,$A102,$B$6:$B$105,$B102-1)))</f>
        <v/>
      </c>
      <c r="P102" s="18" t="str">
        <f aca="false">IF($A102="","",IF(OR(O102="",NOT(ISNUMBER(E102))),"—",IF(E102&gt;O102,"OK","ERROR: debe ser &gt; "&amp;O102)))</f>
        <v/>
      </c>
      <c r="Q102" s="18" t="str">
        <f aca="false">IF($A102="","",IF(OR(O102="",NOT(ISNUMBER(E102))),"",IF(_xlfn.MAXIFS(HISTORIAL!$K$5:$K$2004,HISTORIAL!$E$5:$E$2004,$A102,HISTORIAL!$F$5:$F$2004,"Bilbo",HISTORIAL!$G$5:$G$2004,$B102-1,HISTORIAL!$J$5:$J$2004,E102)=0,"sin dato comparable",_xlfn.MAXIFS(HISTORIAL!$K$5:$K$2004,HISTORIAL!$E$5:$E$2004,$A102,HISTORIAL!$F$5:$F$2004,"Bilbo",HISTORIAL!$G$5:$G$2004,$B102-1,HISTORIAL!$J$5:$J$2004,E102))))</f>
        <v/>
      </c>
      <c r="R102" s="18" t="str">
        <f aca="false">IF($A102="","",IF(AND(ISNUMBER(Q102),ISNUMBER(F102)),F102-Q102,""))</f>
        <v/>
      </c>
      <c r="S102" s="27" t="str">
        <f aca="false">IF($A102="","",SUMIFS(HISTORIAL!$R$5:$R$2004,HISTORIAL!$E$5:$E$2004,$A102,HISTORIAL!$F$5:$F$2004,"Bilbo",HISTORIAL!$G$5:$G$2004,$B102)+SUMIFS(HISTORIAL!$R$5:$R$2004,HISTORIAL!$E$5:$E$2004,$A102,HISTORIAL!$F$5:$F$2004,"Post-Bilbo",HISTORIAL!$G$5:$G$2004,$B102))</f>
        <v/>
      </c>
      <c r="T102" s="27" t="str">
        <f aca="false">IF($A102="","",IF(NOT(ISNUMBER(E102)),"",MAX(E102+INDEX(CONFIGURACIÓN!$H$42:$H$56,MATCH($A102,CONFIGURACIÓN!$B$42:$B$56,0)),-INT(-E102*(1+CONFIGURACIÓN!$C$17)/(INDEX(CONFIGURACIÓN!$H$42:$H$56,MATCH($A102,CONFIGURACIÓN!$B$42:$B$56,0))))*(INDEX(CONFIGURACIÓN!$H$42:$H$56,MATCH($A102,CONFIGURACIÓN!$B$42:$B$56,0))))))</f>
        <v/>
      </c>
      <c r="U102" s="13"/>
      <c r="V102" s="18" t="str">
        <f aca="false">IF($A102="","",IF(U102="","",IF(NOT(ISNUMBER(E102)),"sin carga inicial registrada",IF(U102&gt;E102,"OK","ERROR: debe ser &gt; "&amp;E102))))</f>
        <v/>
      </c>
      <c r="W102" s="11"/>
    </row>
    <row r="103" customFormat="false" ht="15" hidden="false" customHeight="true" outlineLevel="0" collapsed="false">
      <c r="A103" s="11"/>
      <c r="B103" s="11"/>
      <c r="C103" s="11"/>
      <c r="D103" s="28" t="str">
        <f aca="false">IF($A103="","",IF(_xlfn.MINIFS(HISTORIAL!$A$5:$A$2004,HISTORIAL!$E$5:$E$2004,$A103,HISTORIAL!$F$5:$F$2004,"Bilbo",HISTORIAL!$G$5:$G$2004,$B103)=0,"",INDEX(HISTORIAL!$B$5:$B$2004,_xlfn.MINIFS(HISTORIAL!$A$5:$A$2004,HISTORIAL!$E$5:$E$2004,$A103,HISTORIAL!$F$5:$F$2004,"Bilbo",HISTORIAL!$G$5:$G$2004,$B103))))</f>
        <v/>
      </c>
      <c r="E103" s="27" t="str">
        <f aca="false">IF($A103="","",IF(_xlfn.MINIFS(HISTORIAL!$A$5:$A$2004,HISTORIAL!$E$5:$E$2004,$A103,HISTORIAL!$F$5:$F$2004,"Bilbo",HISTORIAL!$G$5:$G$2004,$B103)=0,"",INDEX(HISTORIAL!$J$5:$J$2004,_xlfn.MINIFS(HISTORIAL!$A$5:$A$2004,HISTORIAL!$E$5:$E$2004,$A103,HISTORIAL!$F$5:$F$2004,"Bilbo",HISTORIAL!$G$5:$G$2004,$B103))))</f>
        <v/>
      </c>
      <c r="F103" s="18" t="str">
        <f aca="false">IF($A103="","",IF(_xlfn.MINIFS(HISTORIAL!$A$5:$A$2004,HISTORIAL!$E$5:$E$2004,$A103,HISTORIAL!$F$5:$F$2004,"Bilbo",HISTORIAL!$G$5:$G$2004,$B103)=0,"",INDEX(HISTORIAL!$K$5:$K$2004,_xlfn.MINIFS(HISTORIAL!$A$5:$A$2004,HISTORIAL!$E$5:$E$2004,$A103,HISTORIAL!$F$5:$F$2004,"Bilbo",HISTORIAL!$G$5:$G$2004,$B103))))</f>
        <v/>
      </c>
      <c r="G103" s="28" t="str">
        <f aca="false">IF($A103="","",IF(_xlfn.MAXIFS(HISTORIAL!$A$5:$A$2004,HISTORIAL!$E$5:$E$2004,$A103,HISTORIAL!$F$5:$F$2004,"Bilbo",HISTORIAL!$G$5:$G$2004,$B103)=0,"",INDEX(HISTORIAL!$B$5:$B$2004,_xlfn.MAXIFS(HISTORIAL!$A$5:$A$2004,HISTORIAL!$E$5:$E$2004,$A103,HISTORIAL!$F$5:$F$2004,"Bilbo",HISTORIAL!$G$5:$G$2004,$B103))))</f>
        <v/>
      </c>
      <c r="H103" s="27" t="str">
        <f aca="false">IF($A103="","",IF(_xlfn.MAXIFS(HISTORIAL!$A$5:$A$2004,HISTORIAL!$E$5:$E$2004,$A103,HISTORIAL!$F$5:$F$2004,"Bilbo",HISTORIAL!$G$5:$G$2004,$B103)=0,"",INDEX(HISTORIAL!$J$5:$J$2004,_xlfn.MAXIFS(HISTORIAL!$A$5:$A$2004,HISTORIAL!$E$5:$E$2004,$A103,HISTORIAL!$F$5:$F$2004,"Bilbo",HISTORIAL!$G$5:$G$2004,$B103))))</f>
        <v/>
      </c>
      <c r="I103" s="18" t="str">
        <f aca="false">IF($A103="","",IF(_xlfn.MAXIFS(HISTORIAL!$A$5:$A$2004,HISTORIAL!$E$5:$E$2004,$A103,HISTORIAL!$F$5:$F$2004,"Bilbo",HISTORIAL!$G$5:$G$2004,$B103)=0,"",INDEX(HISTORIAL!$K$5:$K$2004,_xlfn.MAXIFS(HISTORIAL!$A$5:$A$2004,HISTORIAL!$E$5:$E$2004,$A103,HISTORIAL!$F$5:$F$2004,"Bilbo",HISTORIAL!$G$5:$G$2004,$B103))))</f>
        <v/>
      </c>
      <c r="J103" s="18" t="str">
        <f aca="false">IF($A103="","",COUNTIFS(HISTORIAL!$E$5:$E$2004,$A103,HISTORIAL!$F$5:$F$2004,"Bilbo",HISTORIAL!$G$5:$G$2004,$B103))</f>
        <v/>
      </c>
      <c r="K103" s="27" t="str">
        <f aca="false">IF($A103="","",IF(J103=0,"",_xlfn.MAXIFS(HISTORIAL!$J$5:$J$2004,HISTORIAL!$E$5:$E$2004,$A103,HISTORIAL!$F$5:$F$2004,"Bilbo",HISTORIAL!$G$5:$G$2004,$B103)))</f>
        <v/>
      </c>
      <c r="L103" s="18" t="str">
        <f aca="false">IF($A103="","",IF(J103=0,"",_xlfn.MAXIFS(HISTORIAL!$K$5:$K$2004,HISTORIAL!$E$5:$E$2004,$A103,HISTORIAL!$F$5:$F$2004,"Bilbo",HISTORIAL!$G$5:$G$2004,$B103,HISTORIAL!$J$5:$J$2004,K103)))</f>
        <v/>
      </c>
      <c r="M103" s="27" t="str">
        <f aca="false">IF($A103="","",IF(J103=0,"",_xlfn.MAXIFS(HISTORIAL!$T$5:$T$2004,HISTORIAL!$E$5:$E$2004,$A103,HISTORIAL!$F$5:$F$2004,"Bilbo",HISTORIAL!$G$5:$G$2004,$B103)))</f>
        <v/>
      </c>
      <c r="N103" s="27" t="str">
        <f aca="false">IF($A103="","",IF(J103=0,"",H103-E103))</f>
        <v/>
      </c>
      <c r="O103" s="27" t="str">
        <f aca="false">IF($A103="","",IF(COUNTIFS($A$6:$A$105,$A103,$B$6:$B$105,$B103-1)=0,"",SUMIFS($E$6:$E$105,$A$6:$A$105,$A103,$B$6:$B$105,$B103-1)))</f>
        <v/>
      </c>
      <c r="P103" s="18" t="str">
        <f aca="false">IF($A103="","",IF(OR(O103="",NOT(ISNUMBER(E103))),"—",IF(E103&gt;O103,"OK","ERROR: debe ser &gt; "&amp;O103)))</f>
        <v/>
      </c>
      <c r="Q103" s="18" t="str">
        <f aca="false">IF($A103="","",IF(OR(O103="",NOT(ISNUMBER(E103))),"",IF(_xlfn.MAXIFS(HISTORIAL!$K$5:$K$2004,HISTORIAL!$E$5:$E$2004,$A103,HISTORIAL!$F$5:$F$2004,"Bilbo",HISTORIAL!$G$5:$G$2004,$B103-1,HISTORIAL!$J$5:$J$2004,E103)=0,"sin dato comparable",_xlfn.MAXIFS(HISTORIAL!$K$5:$K$2004,HISTORIAL!$E$5:$E$2004,$A103,HISTORIAL!$F$5:$F$2004,"Bilbo",HISTORIAL!$G$5:$G$2004,$B103-1,HISTORIAL!$J$5:$J$2004,E103))))</f>
        <v/>
      </c>
      <c r="R103" s="18" t="str">
        <f aca="false">IF($A103="","",IF(AND(ISNUMBER(Q103),ISNUMBER(F103)),F103-Q103,""))</f>
        <v/>
      </c>
      <c r="S103" s="27" t="str">
        <f aca="false">IF($A103="","",SUMIFS(HISTORIAL!$R$5:$R$2004,HISTORIAL!$E$5:$E$2004,$A103,HISTORIAL!$F$5:$F$2004,"Bilbo",HISTORIAL!$G$5:$G$2004,$B103)+SUMIFS(HISTORIAL!$R$5:$R$2004,HISTORIAL!$E$5:$E$2004,$A103,HISTORIAL!$F$5:$F$2004,"Post-Bilbo",HISTORIAL!$G$5:$G$2004,$B103))</f>
        <v/>
      </c>
      <c r="T103" s="27" t="str">
        <f aca="false">IF($A103="","",IF(NOT(ISNUMBER(E103)),"",MAX(E103+INDEX(CONFIGURACIÓN!$H$42:$H$56,MATCH($A103,CONFIGURACIÓN!$B$42:$B$56,0)),-INT(-E103*(1+CONFIGURACIÓN!$C$17)/(INDEX(CONFIGURACIÓN!$H$42:$H$56,MATCH($A103,CONFIGURACIÓN!$B$42:$B$56,0))))*(INDEX(CONFIGURACIÓN!$H$42:$H$56,MATCH($A103,CONFIGURACIÓN!$B$42:$B$56,0))))))</f>
        <v/>
      </c>
      <c r="U103" s="13"/>
      <c r="V103" s="18" t="str">
        <f aca="false">IF($A103="","",IF(U103="","",IF(NOT(ISNUMBER(E103)),"sin carga inicial registrada",IF(U103&gt;E103,"OK","ERROR: debe ser &gt; "&amp;E103))))</f>
        <v/>
      </c>
      <c r="W103" s="11"/>
    </row>
    <row r="104" customFormat="false" ht="15" hidden="false" customHeight="true" outlineLevel="0" collapsed="false">
      <c r="A104" s="11"/>
      <c r="B104" s="11"/>
      <c r="C104" s="11"/>
      <c r="D104" s="28" t="str">
        <f aca="false">IF($A104="","",IF(_xlfn.MINIFS(HISTORIAL!$A$5:$A$2004,HISTORIAL!$E$5:$E$2004,$A104,HISTORIAL!$F$5:$F$2004,"Bilbo",HISTORIAL!$G$5:$G$2004,$B104)=0,"",INDEX(HISTORIAL!$B$5:$B$2004,_xlfn.MINIFS(HISTORIAL!$A$5:$A$2004,HISTORIAL!$E$5:$E$2004,$A104,HISTORIAL!$F$5:$F$2004,"Bilbo",HISTORIAL!$G$5:$G$2004,$B104))))</f>
        <v/>
      </c>
      <c r="E104" s="27" t="str">
        <f aca="false">IF($A104="","",IF(_xlfn.MINIFS(HISTORIAL!$A$5:$A$2004,HISTORIAL!$E$5:$E$2004,$A104,HISTORIAL!$F$5:$F$2004,"Bilbo",HISTORIAL!$G$5:$G$2004,$B104)=0,"",INDEX(HISTORIAL!$J$5:$J$2004,_xlfn.MINIFS(HISTORIAL!$A$5:$A$2004,HISTORIAL!$E$5:$E$2004,$A104,HISTORIAL!$F$5:$F$2004,"Bilbo",HISTORIAL!$G$5:$G$2004,$B104))))</f>
        <v/>
      </c>
      <c r="F104" s="18" t="str">
        <f aca="false">IF($A104="","",IF(_xlfn.MINIFS(HISTORIAL!$A$5:$A$2004,HISTORIAL!$E$5:$E$2004,$A104,HISTORIAL!$F$5:$F$2004,"Bilbo",HISTORIAL!$G$5:$G$2004,$B104)=0,"",INDEX(HISTORIAL!$K$5:$K$2004,_xlfn.MINIFS(HISTORIAL!$A$5:$A$2004,HISTORIAL!$E$5:$E$2004,$A104,HISTORIAL!$F$5:$F$2004,"Bilbo",HISTORIAL!$G$5:$G$2004,$B104))))</f>
        <v/>
      </c>
      <c r="G104" s="28" t="str">
        <f aca="false">IF($A104="","",IF(_xlfn.MAXIFS(HISTORIAL!$A$5:$A$2004,HISTORIAL!$E$5:$E$2004,$A104,HISTORIAL!$F$5:$F$2004,"Bilbo",HISTORIAL!$G$5:$G$2004,$B104)=0,"",INDEX(HISTORIAL!$B$5:$B$2004,_xlfn.MAXIFS(HISTORIAL!$A$5:$A$2004,HISTORIAL!$E$5:$E$2004,$A104,HISTORIAL!$F$5:$F$2004,"Bilbo",HISTORIAL!$G$5:$G$2004,$B104))))</f>
        <v/>
      </c>
      <c r="H104" s="27" t="str">
        <f aca="false">IF($A104="","",IF(_xlfn.MAXIFS(HISTORIAL!$A$5:$A$2004,HISTORIAL!$E$5:$E$2004,$A104,HISTORIAL!$F$5:$F$2004,"Bilbo",HISTORIAL!$G$5:$G$2004,$B104)=0,"",INDEX(HISTORIAL!$J$5:$J$2004,_xlfn.MAXIFS(HISTORIAL!$A$5:$A$2004,HISTORIAL!$E$5:$E$2004,$A104,HISTORIAL!$F$5:$F$2004,"Bilbo",HISTORIAL!$G$5:$G$2004,$B104))))</f>
        <v/>
      </c>
      <c r="I104" s="18" t="str">
        <f aca="false">IF($A104="","",IF(_xlfn.MAXIFS(HISTORIAL!$A$5:$A$2004,HISTORIAL!$E$5:$E$2004,$A104,HISTORIAL!$F$5:$F$2004,"Bilbo",HISTORIAL!$G$5:$G$2004,$B104)=0,"",INDEX(HISTORIAL!$K$5:$K$2004,_xlfn.MAXIFS(HISTORIAL!$A$5:$A$2004,HISTORIAL!$E$5:$E$2004,$A104,HISTORIAL!$F$5:$F$2004,"Bilbo",HISTORIAL!$G$5:$G$2004,$B104))))</f>
        <v/>
      </c>
      <c r="J104" s="18" t="str">
        <f aca="false">IF($A104="","",COUNTIFS(HISTORIAL!$E$5:$E$2004,$A104,HISTORIAL!$F$5:$F$2004,"Bilbo",HISTORIAL!$G$5:$G$2004,$B104))</f>
        <v/>
      </c>
      <c r="K104" s="27" t="str">
        <f aca="false">IF($A104="","",IF(J104=0,"",_xlfn.MAXIFS(HISTORIAL!$J$5:$J$2004,HISTORIAL!$E$5:$E$2004,$A104,HISTORIAL!$F$5:$F$2004,"Bilbo",HISTORIAL!$G$5:$G$2004,$B104)))</f>
        <v/>
      </c>
      <c r="L104" s="18" t="str">
        <f aca="false">IF($A104="","",IF(J104=0,"",_xlfn.MAXIFS(HISTORIAL!$K$5:$K$2004,HISTORIAL!$E$5:$E$2004,$A104,HISTORIAL!$F$5:$F$2004,"Bilbo",HISTORIAL!$G$5:$G$2004,$B104,HISTORIAL!$J$5:$J$2004,K104)))</f>
        <v/>
      </c>
      <c r="M104" s="27" t="str">
        <f aca="false">IF($A104="","",IF(J104=0,"",_xlfn.MAXIFS(HISTORIAL!$T$5:$T$2004,HISTORIAL!$E$5:$E$2004,$A104,HISTORIAL!$F$5:$F$2004,"Bilbo",HISTORIAL!$G$5:$G$2004,$B104)))</f>
        <v/>
      </c>
      <c r="N104" s="27" t="str">
        <f aca="false">IF($A104="","",IF(J104=0,"",H104-E104))</f>
        <v/>
      </c>
      <c r="O104" s="27" t="str">
        <f aca="false">IF($A104="","",IF(COUNTIFS($A$6:$A$105,$A104,$B$6:$B$105,$B104-1)=0,"",SUMIFS($E$6:$E$105,$A$6:$A$105,$A104,$B$6:$B$105,$B104-1)))</f>
        <v/>
      </c>
      <c r="P104" s="18" t="str">
        <f aca="false">IF($A104="","",IF(OR(O104="",NOT(ISNUMBER(E104))),"—",IF(E104&gt;O104,"OK","ERROR: debe ser &gt; "&amp;O104)))</f>
        <v/>
      </c>
      <c r="Q104" s="18" t="str">
        <f aca="false">IF($A104="","",IF(OR(O104="",NOT(ISNUMBER(E104))),"",IF(_xlfn.MAXIFS(HISTORIAL!$K$5:$K$2004,HISTORIAL!$E$5:$E$2004,$A104,HISTORIAL!$F$5:$F$2004,"Bilbo",HISTORIAL!$G$5:$G$2004,$B104-1,HISTORIAL!$J$5:$J$2004,E104)=0,"sin dato comparable",_xlfn.MAXIFS(HISTORIAL!$K$5:$K$2004,HISTORIAL!$E$5:$E$2004,$A104,HISTORIAL!$F$5:$F$2004,"Bilbo",HISTORIAL!$G$5:$G$2004,$B104-1,HISTORIAL!$J$5:$J$2004,E104))))</f>
        <v/>
      </c>
      <c r="R104" s="18" t="str">
        <f aca="false">IF($A104="","",IF(AND(ISNUMBER(Q104),ISNUMBER(F104)),F104-Q104,""))</f>
        <v/>
      </c>
      <c r="S104" s="27" t="str">
        <f aca="false">IF($A104="","",SUMIFS(HISTORIAL!$R$5:$R$2004,HISTORIAL!$E$5:$E$2004,$A104,HISTORIAL!$F$5:$F$2004,"Bilbo",HISTORIAL!$G$5:$G$2004,$B104)+SUMIFS(HISTORIAL!$R$5:$R$2004,HISTORIAL!$E$5:$E$2004,$A104,HISTORIAL!$F$5:$F$2004,"Post-Bilbo",HISTORIAL!$G$5:$G$2004,$B104))</f>
        <v/>
      </c>
      <c r="T104" s="27" t="str">
        <f aca="false">IF($A104="","",IF(NOT(ISNUMBER(E104)),"",MAX(E104+INDEX(CONFIGURACIÓN!$H$42:$H$56,MATCH($A104,CONFIGURACIÓN!$B$42:$B$56,0)),-INT(-E104*(1+CONFIGURACIÓN!$C$17)/(INDEX(CONFIGURACIÓN!$H$42:$H$56,MATCH($A104,CONFIGURACIÓN!$B$42:$B$56,0))))*(INDEX(CONFIGURACIÓN!$H$42:$H$56,MATCH($A104,CONFIGURACIÓN!$B$42:$B$56,0))))))</f>
        <v/>
      </c>
      <c r="U104" s="13"/>
      <c r="V104" s="18" t="str">
        <f aca="false">IF($A104="","",IF(U104="","",IF(NOT(ISNUMBER(E104)),"sin carga inicial registrada",IF(U104&gt;E104,"OK","ERROR: debe ser &gt; "&amp;E104))))</f>
        <v/>
      </c>
      <c r="W104" s="11"/>
    </row>
    <row r="105" customFormat="false" ht="15" hidden="false" customHeight="true" outlineLevel="0" collapsed="false">
      <c r="A105" s="11"/>
      <c r="B105" s="11"/>
      <c r="C105" s="11"/>
      <c r="D105" s="28" t="str">
        <f aca="false">IF($A105="","",IF(_xlfn.MINIFS(HISTORIAL!$A$5:$A$2004,HISTORIAL!$E$5:$E$2004,$A105,HISTORIAL!$F$5:$F$2004,"Bilbo",HISTORIAL!$G$5:$G$2004,$B105)=0,"",INDEX(HISTORIAL!$B$5:$B$2004,_xlfn.MINIFS(HISTORIAL!$A$5:$A$2004,HISTORIAL!$E$5:$E$2004,$A105,HISTORIAL!$F$5:$F$2004,"Bilbo",HISTORIAL!$G$5:$G$2004,$B105))))</f>
        <v/>
      </c>
      <c r="E105" s="27" t="str">
        <f aca="false">IF($A105="","",IF(_xlfn.MINIFS(HISTORIAL!$A$5:$A$2004,HISTORIAL!$E$5:$E$2004,$A105,HISTORIAL!$F$5:$F$2004,"Bilbo",HISTORIAL!$G$5:$G$2004,$B105)=0,"",INDEX(HISTORIAL!$J$5:$J$2004,_xlfn.MINIFS(HISTORIAL!$A$5:$A$2004,HISTORIAL!$E$5:$E$2004,$A105,HISTORIAL!$F$5:$F$2004,"Bilbo",HISTORIAL!$G$5:$G$2004,$B105))))</f>
        <v/>
      </c>
      <c r="F105" s="18" t="str">
        <f aca="false">IF($A105="","",IF(_xlfn.MINIFS(HISTORIAL!$A$5:$A$2004,HISTORIAL!$E$5:$E$2004,$A105,HISTORIAL!$F$5:$F$2004,"Bilbo",HISTORIAL!$G$5:$G$2004,$B105)=0,"",INDEX(HISTORIAL!$K$5:$K$2004,_xlfn.MINIFS(HISTORIAL!$A$5:$A$2004,HISTORIAL!$E$5:$E$2004,$A105,HISTORIAL!$F$5:$F$2004,"Bilbo",HISTORIAL!$G$5:$G$2004,$B105))))</f>
        <v/>
      </c>
      <c r="G105" s="28" t="str">
        <f aca="false">IF($A105="","",IF(_xlfn.MAXIFS(HISTORIAL!$A$5:$A$2004,HISTORIAL!$E$5:$E$2004,$A105,HISTORIAL!$F$5:$F$2004,"Bilbo",HISTORIAL!$G$5:$G$2004,$B105)=0,"",INDEX(HISTORIAL!$B$5:$B$2004,_xlfn.MAXIFS(HISTORIAL!$A$5:$A$2004,HISTORIAL!$E$5:$E$2004,$A105,HISTORIAL!$F$5:$F$2004,"Bilbo",HISTORIAL!$G$5:$G$2004,$B105))))</f>
        <v/>
      </c>
      <c r="H105" s="27" t="str">
        <f aca="false">IF($A105="","",IF(_xlfn.MAXIFS(HISTORIAL!$A$5:$A$2004,HISTORIAL!$E$5:$E$2004,$A105,HISTORIAL!$F$5:$F$2004,"Bilbo",HISTORIAL!$G$5:$G$2004,$B105)=0,"",INDEX(HISTORIAL!$J$5:$J$2004,_xlfn.MAXIFS(HISTORIAL!$A$5:$A$2004,HISTORIAL!$E$5:$E$2004,$A105,HISTORIAL!$F$5:$F$2004,"Bilbo",HISTORIAL!$G$5:$G$2004,$B105))))</f>
        <v/>
      </c>
      <c r="I105" s="18" t="str">
        <f aca="false">IF($A105="","",IF(_xlfn.MAXIFS(HISTORIAL!$A$5:$A$2004,HISTORIAL!$E$5:$E$2004,$A105,HISTORIAL!$F$5:$F$2004,"Bilbo",HISTORIAL!$G$5:$G$2004,$B105)=0,"",INDEX(HISTORIAL!$K$5:$K$2004,_xlfn.MAXIFS(HISTORIAL!$A$5:$A$2004,HISTORIAL!$E$5:$E$2004,$A105,HISTORIAL!$F$5:$F$2004,"Bilbo",HISTORIAL!$G$5:$G$2004,$B105))))</f>
        <v/>
      </c>
      <c r="J105" s="18" t="str">
        <f aca="false">IF($A105="","",COUNTIFS(HISTORIAL!$E$5:$E$2004,$A105,HISTORIAL!$F$5:$F$2004,"Bilbo",HISTORIAL!$G$5:$G$2004,$B105))</f>
        <v/>
      </c>
      <c r="K105" s="27" t="str">
        <f aca="false">IF($A105="","",IF(J105=0,"",_xlfn.MAXIFS(HISTORIAL!$J$5:$J$2004,HISTORIAL!$E$5:$E$2004,$A105,HISTORIAL!$F$5:$F$2004,"Bilbo",HISTORIAL!$G$5:$G$2004,$B105)))</f>
        <v/>
      </c>
      <c r="L105" s="18" t="str">
        <f aca="false">IF($A105="","",IF(J105=0,"",_xlfn.MAXIFS(HISTORIAL!$K$5:$K$2004,HISTORIAL!$E$5:$E$2004,$A105,HISTORIAL!$F$5:$F$2004,"Bilbo",HISTORIAL!$G$5:$G$2004,$B105,HISTORIAL!$J$5:$J$2004,K105)))</f>
        <v/>
      </c>
      <c r="M105" s="27" t="str">
        <f aca="false">IF($A105="","",IF(J105=0,"",_xlfn.MAXIFS(HISTORIAL!$T$5:$T$2004,HISTORIAL!$E$5:$E$2004,$A105,HISTORIAL!$F$5:$F$2004,"Bilbo",HISTORIAL!$G$5:$G$2004,$B105)))</f>
        <v/>
      </c>
      <c r="N105" s="27" t="str">
        <f aca="false">IF($A105="","",IF(J105=0,"",H105-E105))</f>
        <v/>
      </c>
      <c r="O105" s="27" t="str">
        <f aca="false">IF($A105="","",IF(COUNTIFS($A$6:$A$105,$A105,$B$6:$B$105,$B105-1)=0,"",SUMIFS($E$6:$E$105,$A$6:$A$105,$A105,$B$6:$B$105,$B105-1)))</f>
        <v/>
      </c>
      <c r="P105" s="18" t="str">
        <f aca="false">IF($A105="","",IF(OR(O105="",NOT(ISNUMBER(E105))),"—",IF(E105&gt;O105,"OK","ERROR: debe ser &gt; "&amp;O105)))</f>
        <v/>
      </c>
      <c r="Q105" s="18" t="str">
        <f aca="false">IF($A105="","",IF(OR(O105="",NOT(ISNUMBER(E105))),"",IF(_xlfn.MAXIFS(HISTORIAL!$K$5:$K$2004,HISTORIAL!$E$5:$E$2004,$A105,HISTORIAL!$F$5:$F$2004,"Bilbo",HISTORIAL!$G$5:$G$2004,$B105-1,HISTORIAL!$J$5:$J$2004,E105)=0,"sin dato comparable",_xlfn.MAXIFS(HISTORIAL!$K$5:$K$2004,HISTORIAL!$E$5:$E$2004,$A105,HISTORIAL!$F$5:$F$2004,"Bilbo",HISTORIAL!$G$5:$G$2004,$B105-1,HISTORIAL!$J$5:$J$2004,E105))))</f>
        <v/>
      </c>
      <c r="R105" s="18" t="str">
        <f aca="false">IF($A105="","",IF(AND(ISNUMBER(Q105),ISNUMBER(F105)),F105-Q105,""))</f>
        <v/>
      </c>
      <c r="S105" s="27" t="str">
        <f aca="false">IF($A105="","",SUMIFS(HISTORIAL!$R$5:$R$2004,HISTORIAL!$E$5:$E$2004,$A105,HISTORIAL!$F$5:$F$2004,"Bilbo",HISTORIAL!$G$5:$G$2004,$B105)+SUMIFS(HISTORIAL!$R$5:$R$2004,HISTORIAL!$E$5:$E$2004,$A105,HISTORIAL!$F$5:$F$2004,"Post-Bilbo",HISTORIAL!$G$5:$G$2004,$B105))</f>
        <v/>
      </c>
      <c r="T105" s="27" t="str">
        <f aca="false">IF($A105="","",IF(NOT(ISNUMBER(E105)),"",MAX(E105+INDEX(CONFIGURACIÓN!$H$42:$H$56,MATCH($A105,CONFIGURACIÓN!$B$42:$B$56,0)),-INT(-E105*(1+CONFIGURACIÓN!$C$17)/(INDEX(CONFIGURACIÓN!$H$42:$H$56,MATCH($A105,CONFIGURACIÓN!$B$42:$B$56,0))))*(INDEX(CONFIGURACIÓN!$H$42:$H$56,MATCH($A105,CONFIGURACIÓN!$B$42:$B$56,0))))))</f>
        <v/>
      </c>
      <c r="U105" s="13"/>
      <c r="V105" s="18" t="str">
        <f aca="false">IF($A105="","",IF(U105="","",IF(NOT(ISNUMBER(E105)),"sin carga inicial registrada",IF(U105&gt;E105,"OK","ERROR: debe ser &gt; "&amp;E105))))</f>
        <v/>
      </c>
      <c r="W105" s="11"/>
    </row>
  </sheetData>
  <conditionalFormatting sqref="P6:P105">
    <cfRule type="expression" priority="2" aboveAverage="0" equalAverage="0" bottom="0" percent="0" rank="0" text="" dxfId="9">
      <formula>LEFT(P6,5)="ERROR"</formula>
    </cfRule>
  </conditionalFormatting>
  <conditionalFormatting sqref="V6:V105">
    <cfRule type="expression" priority="3" aboveAverage="0" equalAverage="0" bottom="0" percent="0" rank="0" text="" dxfId="9">
      <formula>LEFT(V6,5)="ERROR"</formula>
    </cfRule>
  </conditionalFormatting>
  <conditionalFormatting sqref="A6:W105">
    <cfRule type="expression" priority="4" aboveAverage="0" equalAverage="0" bottom="0" percent="0" rank="0" text="" dxfId="10">
      <formula>$C6="ACTIVO"</formula>
    </cfRule>
  </conditionalFormatting>
  <dataValidations count="2">
    <dataValidation allowBlank="true" errorStyle="stop" operator="between" showDropDown="false" showErrorMessage="false" showInputMessage="false" sqref="A6:A105" type="list">
      <formula1>"Press banca,Press militar,Remo bajo en polea"</formula1>
      <formula2>0</formula2>
    </dataValidation>
    <dataValidation allowBlank="true" errorStyle="stop" operator="between" showDropDown="false" showErrorMessage="false" showInputMessage="false" sqref="C6:C105" type="list">
      <formula1>"ACTIVO,TERMINADO"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S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12"/>
    <col collapsed="false" customWidth="true" hidden="false" outlineLevel="0" max="6" min="4" style="1" width="7"/>
    <col collapsed="false" customWidth="true" hidden="false" outlineLevel="0" max="7" min="7" style="1" width="9"/>
    <col collapsed="false" customWidth="true" hidden="false" outlineLevel="0" max="8" min="8" style="1" width="11"/>
    <col collapsed="false" customWidth="true" hidden="false" outlineLevel="0" max="9" min="9" style="1" width="9"/>
    <col collapsed="false" customWidth="true" hidden="false" outlineLevel="0" max="13" min="10" style="1" width="7"/>
    <col collapsed="false" customWidth="true" hidden="false" outlineLevel="0" max="14" min="14" style="1" width="26"/>
    <col collapsed="false" customWidth="true" hidden="false" outlineLevel="0" max="16" min="15" style="1" width="11"/>
    <col collapsed="false" customWidth="true" hidden="false" outlineLevel="0" max="17" min="17" style="1" width="40"/>
    <col collapsed="false" customWidth="true" hidden="false" outlineLevel="0" max="18" min="18" style="1" width="11"/>
    <col collapsed="false" customWidth="true" hidden="false" outlineLevel="0" max="19" min="19" style="1" width="36"/>
  </cols>
  <sheetData>
    <row r="1" customFormat="false" ht="27.75" hidden="false" customHeight="true" outlineLevel="0" collapsed="false">
      <c r="A1" s="2" t="s">
        <v>472</v>
      </c>
      <c r="B1" s="3"/>
      <c r="C1" s="3"/>
      <c r="D1" s="3"/>
      <c r="E1" s="3"/>
      <c r="F1" s="3"/>
      <c r="G1" s="3"/>
      <c r="H1" s="3"/>
      <c r="I1" s="3"/>
      <c r="J1" s="3"/>
      <c r="K1" s="3"/>
      <c r="L1" s="3"/>
      <c r="M1" s="3"/>
      <c r="N1" s="3"/>
      <c r="O1" s="3"/>
      <c r="P1" s="3"/>
      <c r="Q1" s="3"/>
      <c r="R1" s="3"/>
      <c r="S1" s="3"/>
    </row>
    <row r="2" customFormat="false" ht="15" hidden="false" customHeight="true" outlineLevel="0" collapsed="false">
      <c r="A2" s="4" t="s">
        <v>473</v>
      </c>
    </row>
    <row r="3" customFormat="false" ht="15" hidden="false" customHeight="true" outlineLevel="0" collapsed="false">
      <c r="A3" s="4" t="s">
        <v>191</v>
      </c>
    </row>
    <row r="5" customFormat="false" ht="45" hidden="false" customHeight="true" outlineLevel="0" collapsed="false">
      <c r="A5" s="5" t="s">
        <v>261</v>
      </c>
      <c r="B5" s="5" t="s">
        <v>474</v>
      </c>
      <c r="C5" s="5" t="s">
        <v>475</v>
      </c>
      <c r="D5" s="5" t="s">
        <v>264</v>
      </c>
      <c r="E5" s="5" t="s">
        <v>265</v>
      </c>
      <c r="F5" s="5" t="s">
        <v>266</v>
      </c>
      <c r="G5" s="5" t="s">
        <v>267</v>
      </c>
      <c r="H5" s="5" t="s">
        <v>476</v>
      </c>
      <c r="I5" s="5" t="s">
        <v>477</v>
      </c>
      <c r="J5" s="5" t="s">
        <v>478</v>
      </c>
      <c r="K5" s="5" t="s">
        <v>479</v>
      </c>
      <c r="L5" s="5" t="s">
        <v>480</v>
      </c>
      <c r="M5" s="5" t="s">
        <v>481</v>
      </c>
      <c r="N5" s="5" t="s">
        <v>482</v>
      </c>
      <c r="O5" s="5" t="s">
        <v>483</v>
      </c>
      <c r="P5" s="5" t="s">
        <v>484</v>
      </c>
      <c r="Q5" s="5" t="s">
        <v>485</v>
      </c>
      <c r="R5" s="5" t="s">
        <v>486</v>
      </c>
      <c r="S5" s="5" t="s">
        <v>439</v>
      </c>
    </row>
    <row r="6" customFormat="false" ht="23.25" hidden="false" customHeight="true" outlineLevel="0" collapsed="false">
      <c r="A6" s="10" t="s">
        <v>274</v>
      </c>
      <c r="B6" s="10" t="s">
        <v>275</v>
      </c>
      <c r="C6" s="10" t="s">
        <v>487</v>
      </c>
      <c r="D6" s="31" t="n">
        <f aca="false">CONFIGURACIÓN!$C$11</f>
        <v>15</v>
      </c>
      <c r="E6" s="31" t="n">
        <f aca="false">CONFIGURACIÓN!$C$12</f>
        <v>50</v>
      </c>
      <c r="F6" s="10" t="s">
        <v>277</v>
      </c>
      <c r="G6" s="25" t="n">
        <f aca="false">'ESTADO ACTUAL'!$B$6</f>
        <v>2</v>
      </c>
      <c r="H6" s="32" t="str">
        <f aca="false">'ESTADO ACTUAL'!$H$6</f>
        <v/>
      </c>
      <c r="I6" s="25" t="str">
        <f aca="false">'ESTADO ACTUAL'!$I$6</f>
        <v/>
      </c>
      <c r="J6" s="20" t="str">
        <f aca="false">'ESTADO ACTUAL'!$J$6</f>
        <v/>
      </c>
      <c r="K6" s="10" t="s">
        <v>279</v>
      </c>
      <c r="L6" s="10" t="s">
        <v>279</v>
      </c>
      <c r="M6" s="10" t="s">
        <v>279</v>
      </c>
      <c r="N6" s="20" t="str">
        <f aca="false">'ESTADO ACTUAL'!$S$6</f>
        <v>SIN DATOS · sesión de calibración</v>
      </c>
      <c r="O6" s="25" t="str">
        <f aca="false">'ESTADO ACTUAL'!$N$6</f>
        <v>CALIBRAR</v>
      </c>
      <c r="P6" s="25" t="str">
        <f aca="false">IF('ESTADO ACTUAL'!$O$6="","",'ESTADO ACTUAL'!$O$6)</f>
        <v/>
      </c>
      <c r="Q6" s="20" t="str">
        <f aca="false">IF(ISNUMBER('ESTADO ACTUAL'!$O$6),"Bilbo "&amp;'ESTADO ACTUAL'!$O$6&amp;" kg (≈"&amp;'ESTADO ACTUAL'!$R$6&amp;" reps) · post "&amp;'ESTADO ACTUAL'!$AF$6&amp;" kg 3×8–12 @RIR1","Calibración Bilbo (INSTRUCCIONES §21)")</f>
        <v>Calibración Bilbo (INSTRUCCIONES §21)</v>
      </c>
      <c r="R6" s="32" t="n">
        <f aca="false">'ESTADO ACTUAL'!$T$6</f>
        <v>46293</v>
      </c>
      <c r="S6" s="10" t="s">
        <v>488</v>
      </c>
    </row>
    <row r="7" customFormat="false" ht="23.25" hidden="false" customHeight="true" outlineLevel="0" collapsed="false">
      <c r="A7" s="10" t="s">
        <v>282</v>
      </c>
      <c r="B7" s="10" t="s">
        <v>275</v>
      </c>
      <c r="C7" s="10" t="s">
        <v>487</v>
      </c>
      <c r="D7" s="31" t="n">
        <f aca="false">CONFIGURACIÓN!$C$11</f>
        <v>15</v>
      </c>
      <c r="E7" s="31" t="n">
        <f aca="false">CONFIGURACIÓN!$C$12</f>
        <v>50</v>
      </c>
      <c r="F7" s="10" t="s">
        <v>277</v>
      </c>
      <c r="G7" s="25" t="n">
        <f aca="false">'ESTADO ACTUAL'!$B$7</f>
        <v>2</v>
      </c>
      <c r="H7" s="32" t="str">
        <f aca="false">'ESTADO ACTUAL'!$H$7</f>
        <v/>
      </c>
      <c r="I7" s="25" t="str">
        <f aca="false">'ESTADO ACTUAL'!$I$7</f>
        <v/>
      </c>
      <c r="J7" s="20" t="str">
        <f aca="false">'ESTADO ACTUAL'!$J$7</f>
        <v/>
      </c>
      <c r="K7" s="10" t="s">
        <v>279</v>
      </c>
      <c r="L7" s="10" t="s">
        <v>279</v>
      </c>
      <c r="M7" s="10" t="s">
        <v>279</v>
      </c>
      <c r="N7" s="20" t="str">
        <f aca="false">'ESTADO ACTUAL'!$S$7</f>
        <v>SIN DATOS · sesión de calibración</v>
      </c>
      <c r="O7" s="25" t="str">
        <f aca="false">'ESTADO ACTUAL'!$N$7</f>
        <v>CALIBRAR</v>
      </c>
      <c r="P7" s="25" t="str">
        <f aca="false">IF('ESTADO ACTUAL'!$O$7="","",'ESTADO ACTUAL'!$O$7)</f>
        <v/>
      </c>
      <c r="Q7" s="20" t="str">
        <f aca="false">IF(ISNUMBER('ESTADO ACTUAL'!$O$7),"Bilbo "&amp;'ESTADO ACTUAL'!$O$7&amp;" kg (≈"&amp;'ESTADO ACTUAL'!$R$7&amp;" reps) · post "&amp;'ESTADO ACTUAL'!$AF$7&amp;" kg 3×8–12 @RIR1","Calibración Bilbo (INSTRUCCIONES §21)")</f>
        <v>Calibración Bilbo (INSTRUCCIONES §21)</v>
      </c>
      <c r="R7" s="32" t="n">
        <f aca="false">'ESTADO ACTUAL'!$T$7</f>
        <v>46293</v>
      </c>
      <c r="S7" s="10" t="s">
        <v>488</v>
      </c>
    </row>
    <row r="8" customFormat="false" ht="23.25" hidden="false" customHeight="true" outlineLevel="0" collapsed="false">
      <c r="A8" s="10" t="s">
        <v>283</v>
      </c>
      <c r="B8" s="10" t="s">
        <v>275</v>
      </c>
      <c r="C8" s="10" t="s">
        <v>487</v>
      </c>
      <c r="D8" s="31" t="n">
        <f aca="false">CONFIGURACIÓN!$C$11</f>
        <v>15</v>
      </c>
      <c r="E8" s="31" t="n">
        <f aca="false">CONFIGURACIÓN!$C$12</f>
        <v>50</v>
      </c>
      <c r="F8" s="10" t="s">
        <v>277</v>
      </c>
      <c r="G8" s="25" t="n">
        <f aca="false">'ESTADO ACTUAL'!$B$8</f>
        <v>2</v>
      </c>
      <c r="H8" s="32" t="str">
        <f aca="false">'ESTADO ACTUAL'!$H$8</f>
        <v/>
      </c>
      <c r="I8" s="25" t="str">
        <f aca="false">'ESTADO ACTUAL'!$I$8</f>
        <v/>
      </c>
      <c r="J8" s="20" t="str">
        <f aca="false">'ESTADO ACTUAL'!$J$8</f>
        <v/>
      </c>
      <c r="K8" s="10" t="s">
        <v>279</v>
      </c>
      <c r="L8" s="10" t="s">
        <v>279</v>
      </c>
      <c r="M8" s="10" t="s">
        <v>279</v>
      </c>
      <c r="N8" s="20" t="str">
        <f aca="false">'ESTADO ACTUAL'!$S$8</f>
        <v>SIN DATOS · sesión de calibración</v>
      </c>
      <c r="O8" s="25" t="str">
        <f aca="false">'ESTADO ACTUAL'!$N$8</f>
        <v>CALIBRAR</v>
      </c>
      <c r="P8" s="25" t="str">
        <f aca="false">IF('ESTADO ACTUAL'!$O$8="","",'ESTADO ACTUAL'!$O$8)</f>
        <v/>
      </c>
      <c r="Q8" s="20" t="str">
        <f aca="false">IF(ISNUMBER('ESTADO ACTUAL'!$O$8),"Bilbo "&amp;'ESTADO ACTUAL'!$O$8&amp;" kg (≈"&amp;'ESTADO ACTUAL'!$R$8&amp;" reps) · post "&amp;'ESTADO ACTUAL'!$AF$8&amp;" kg 3×8–12 @RIR1","Calibración Bilbo (INSTRUCCIONES §21)")</f>
        <v>Calibración Bilbo (INSTRUCCIONES §21)</v>
      </c>
      <c r="R8" s="32" t="n">
        <f aca="false">'ESTADO ACTUAL'!$T$8</f>
        <v>46294</v>
      </c>
      <c r="S8" s="10" t="s">
        <v>488</v>
      </c>
    </row>
    <row r="9" customFormat="false" ht="23.25" hidden="false" customHeight="true" outlineLevel="0" collapsed="false">
      <c r="A9" s="10" t="s">
        <v>286</v>
      </c>
      <c r="B9" s="10" t="s">
        <v>287</v>
      </c>
      <c r="C9" s="18" t="str">
        <f aca="false">D9&amp;"–"&amp;E9</f>
        <v>3–8</v>
      </c>
      <c r="D9" s="20" t="n">
        <f aca="false">INDEX(CONFIGURACIÓN!$E$42:$E$56,MATCH($A9,CONFIGURACIÓN!$B$42:$B$56,0))</f>
        <v>3</v>
      </c>
      <c r="E9" s="20" t="n">
        <f aca="false">INDEX(CONFIGURACIÓN!$F$42:$F$56,MATCH($A9,CONFIGURACIÓN!$B$42:$B$56,0))</f>
        <v>8</v>
      </c>
      <c r="F9" s="20" t="n">
        <f aca="false">INDEX(CONFIGURACIÓN!$G$42:$G$56,MATCH($A9,CONFIGURACIÓN!$B$42:$B$56,0))</f>
        <v>3</v>
      </c>
      <c r="G9" s="25" t="n">
        <f aca="false">INDEX(CONFIGURACIÓN!$H$42:$H$56,MATCH($A9,CONFIGURACIÓN!$B$42:$B$56,0))</f>
        <v>2</v>
      </c>
      <c r="H9" s="28" t="str">
        <f aca="false">IF(_xlfn.MAXIFS(HISTORIAL!$B$5:$B$2004,HISTORIAL!$E$5:$E$2004,$A9,HISTORIAL!$F$5:$F$2004,"Trabajo")=0,"",_xlfn.MAXIFS(HISTORIAL!$B$5:$B$2004,HISTORIAL!$E$5:$E$2004,$A9,HISTORIAL!$F$5:$F$2004,"Trabajo"))</f>
        <v/>
      </c>
      <c r="I9" s="27" t="str">
        <f aca="false">IF(H9="","",_xlfn.MAXIFS(HISTORIAL!$J$5:$J$2004,HISTORIAL!$E$5:$E$2004,$A9,HISTORIAL!$F$5:$F$2004,"Trabajo",HISTORIAL!$B$5:$B$2004,H9))</f>
        <v/>
      </c>
      <c r="J9" s="26" t="str">
        <f aca="false">IF(H9="","",SUMIFS(HISTORIAL!$K$5:$K$2004,HISTORIAL!$E$5:$E$2004,$A9,HISTORIAL!$F$5:$F$2004,"Trabajo",HISTORIAL!$B$5:$B$2004,H9,HISTORIAL!$I$5:$I$2004,1))</f>
        <v/>
      </c>
      <c r="K9" s="26" t="str">
        <f aca="false">IF(H9="","",SUMIFS(HISTORIAL!$K$5:$K$2004,HISTORIAL!$E$5:$E$2004,$A9,HISTORIAL!$F$5:$F$2004,"Trabajo",HISTORIAL!$B$5:$B$2004,H9,HISTORIAL!$I$5:$I$2004,2))</f>
        <v/>
      </c>
      <c r="L9" s="26" t="str">
        <f aca="false">IF(H9="","",SUMIFS(HISTORIAL!$K$5:$K$2004,HISTORIAL!$E$5:$E$2004,$A9,HISTORIAL!$F$5:$F$2004,"Trabajo",HISTORIAL!$B$5:$B$2004,H9,HISTORIAL!$I$5:$I$2004,3))</f>
        <v/>
      </c>
      <c r="M9" s="26" t="str">
        <f aca="false">IF(H9="","",MIN(J9:L9))</f>
        <v/>
      </c>
      <c r="N9" s="18" t="str">
        <f aca="false">IF(H9="","CALIBRAR",IF(M9&gt;=E9,"SUBIR CARGA",IF(M9&lt;D9,"MANTENER · por debajo del rango","MANTENER · sumar repeticiones")))</f>
        <v>CALIBRAR</v>
      </c>
      <c r="O9" s="27" t="str">
        <f aca="false">IF(H9="","",IF(N9="SUBIR CARGA",IF(CONFIGURACIÓN!$C$9="ABAJO",INT((I9+MAX(G9,I9*CONFIGURACIÓN!$C$28))/(G9))*(G9),IF(CONFIGURACIÓN!$C$9="ARRIBA",-INT(-(I9+MAX(G9,I9*CONFIGURACIÓN!$C$28))/(G9))*(G9),ROUND((I9+MAX(G9,I9*CONFIGURACIÓN!$C$28))/(G9),0)*(G9))),I9))</f>
        <v/>
      </c>
      <c r="P9" s="13"/>
      <c r="Q9" s="18" t="str">
        <f aca="false">IF(H9="","Calibrar: carga que permita "&amp;D9&amp;"–"&amp;(D9+2)&amp;" reps @RIR 1–2 en la 1ª serie",IF(N9="SUBIR CARGA","Nueva carga: "&amp;F9&amp;"×"&amp;INDEX(CONFIGURACIÓN!$J$42:$J$56,MATCH($A9,CONFIGURACIÓN!$B$42:$B$56,0))&amp;" aprox.",IF(LEFT(N9,4)="PILA","Pila al máximo: proponer cambio a Remo unilateral con mancuerna","Superar "&amp;J9&amp;"/"&amp;K9&amp;"/"&amp;L9&amp;" con "&amp;I9&amp;" kg → +1 rep por serie hasta "&amp;F9&amp;"×"&amp;E9)))</f>
        <v>Calibrar: carga que permita 3–5 reps @RIR 1–2 en la 1ª serie</v>
      </c>
      <c r="R9" s="28" t="n">
        <f aca="true">IF(ISNUMBER(INDEX(CONFIGURACIÓN!$K$42:$K$56,MATCH($A9,CONFIGURACIÓN!$B$42:$B$56,0))),IF(WEEKDAY(MAX(IF(ISNUMBER(H9),H9,0),TODAY()-1),2)&lt;INDEX(CONFIGURACIÓN!$K$42:$K$56,MATCH($A9,CONFIGURACIÓN!$B$42:$B$56,0)),MAX(IF(ISNUMBER(H9),H9,0),TODAY()-1)+INDEX(CONFIGURACIÓN!$K$42:$K$56,MATCH($A9,CONFIGURACIÓN!$B$42:$B$56,0))-WEEKDAY(MAX(IF(ISNUMBER(H9),H9,0),TODAY()-1),2),IF(WEEKDAY(MAX(IF(ISNUMBER(H9),H9,0),TODAY()-1),2)&lt;IF(ISNUMBER(INDEX(CONFIGURACIÓN!$L$42:$L$56,MATCH($A9,CONFIGURACIÓN!$B$42:$B$56,0))),INDEX(CONFIGURACIÓN!$L$42:$L$56,MATCH($A9,CONFIGURACIÓN!$B$42:$B$56,0)),INDEX(CONFIGURACIÓN!$K$42:$K$56,MATCH($A9,CONFIGURACIÓN!$B$42:$B$56,0))),MAX(IF(ISNUMBER(H9),H9,0),TODAY()-1)+IF(ISNUMBER(INDEX(CONFIGURACIÓN!$L$42:$L$56,MATCH($A9,CONFIGURACIÓN!$B$42:$B$56,0))),INDEX(CONFIGURACIÓN!$L$42:$L$56,MATCH($A9,CONFIGURACIÓN!$B$42:$B$56,0)),INDEX(CONFIGURACIÓN!$K$42:$K$56,MATCH($A9,CONFIGURACIÓN!$B$42:$B$56,0)))-WEEKDAY(MAX(IF(ISNUMBER(H9),H9,0),TODAY()-1),2),MAX(IF(ISNUMBER(H9),H9,0),TODAY()-1)+7-WEEKDAY(MAX(IF(ISNUMBER(H9),H9,0),TODAY()-1),2)+INDEX(CONFIGURACIÓN!$K$42:$K$56,MATCH($A9,CONFIGURACIÓN!$B$42:$B$56,0)))),"")</f>
        <v>46294</v>
      </c>
      <c r="S9" s="11"/>
    </row>
    <row r="10" customFormat="false" ht="23.25" hidden="false" customHeight="true" outlineLevel="0" collapsed="false">
      <c r="A10" s="10" t="s">
        <v>292</v>
      </c>
      <c r="B10" s="10" t="s">
        <v>287</v>
      </c>
      <c r="C10" s="18" t="str">
        <f aca="false">D10&amp;"–"&amp;E10</f>
        <v>6–10</v>
      </c>
      <c r="D10" s="20" t="n">
        <f aca="false">INDEX(CONFIGURACIÓN!$E$42:$E$56,MATCH($A10,CONFIGURACIÓN!$B$42:$B$56,0))</f>
        <v>6</v>
      </c>
      <c r="E10" s="20" t="n">
        <f aca="false">INDEX(CONFIGURACIÓN!$F$42:$F$56,MATCH($A10,CONFIGURACIÓN!$B$42:$B$56,0))</f>
        <v>10</v>
      </c>
      <c r="F10" s="20" t="n">
        <f aca="false">INDEX(CONFIGURACIÓN!$G$42:$G$56,MATCH($A10,CONFIGURACIÓN!$B$42:$B$56,0))</f>
        <v>3</v>
      </c>
      <c r="G10" s="25" t="n">
        <f aca="false">INDEX(CONFIGURACIÓN!$H$42:$H$56,MATCH($A10,CONFIGURACIÓN!$B$42:$B$56,0))</f>
        <v>2</v>
      </c>
      <c r="H10" s="28" t="str">
        <f aca="false">IF(_xlfn.MAXIFS(HISTORIAL!$B$5:$B$2004,HISTORIAL!$E$5:$E$2004,$A10,HISTORIAL!$F$5:$F$2004,"Trabajo")=0,"",_xlfn.MAXIFS(HISTORIAL!$B$5:$B$2004,HISTORIAL!$E$5:$E$2004,$A10,HISTORIAL!$F$5:$F$2004,"Trabajo"))</f>
        <v/>
      </c>
      <c r="I10" s="27" t="str">
        <f aca="false">IF(H10="","",_xlfn.MAXIFS(HISTORIAL!$J$5:$J$2004,HISTORIAL!$E$5:$E$2004,$A10,HISTORIAL!$F$5:$F$2004,"Trabajo",HISTORIAL!$B$5:$B$2004,H10))</f>
        <v/>
      </c>
      <c r="J10" s="26" t="str">
        <f aca="false">IF(H10="","",SUMIFS(HISTORIAL!$K$5:$K$2004,HISTORIAL!$E$5:$E$2004,$A10,HISTORIAL!$F$5:$F$2004,"Trabajo",HISTORIAL!$B$5:$B$2004,H10,HISTORIAL!$I$5:$I$2004,1))</f>
        <v/>
      </c>
      <c r="K10" s="26" t="str">
        <f aca="false">IF(H10="","",SUMIFS(HISTORIAL!$K$5:$K$2004,HISTORIAL!$E$5:$E$2004,$A10,HISTORIAL!$F$5:$F$2004,"Trabajo",HISTORIAL!$B$5:$B$2004,H10,HISTORIAL!$I$5:$I$2004,2))</f>
        <v/>
      </c>
      <c r="L10" s="26" t="str">
        <f aca="false">IF(H10="","",SUMIFS(HISTORIAL!$K$5:$K$2004,HISTORIAL!$E$5:$E$2004,$A10,HISTORIAL!$F$5:$F$2004,"Trabajo",HISTORIAL!$B$5:$B$2004,H10,HISTORIAL!$I$5:$I$2004,3))</f>
        <v/>
      </c>
      <c r="M10" s="26" t="str">
        <f aca="false">IF(H10="","",MIN(J10:L10))</f>
        <v/>
      </c>
      <c r="N10" s="18" t="str">
        <f aca="false">IF(H10="","CALIBRAR",IF(M10&gt;=E10,"SUBIR CARGA",IF(M10&lt;D10,"MANTENER · por debajo del rango","MANTENER · sumar repeticiones")))</f>
        <v>CALIBRAR</v>
      </c>
      <c r="O10" s="27" t="str">
        <f aca="false">IF(H10="","",IF(N10="SUBIR CARGA",IF(CONFIGURACIÓN!$C$9="ABAJO",INT((I10+MAX(G10,I10*CONFIGURACIÓN!$C$28))/(G10))*(G10),IF(CONFIGURACIÓN!$C$9="ARRIBA",-INT(-(I10+MAX(G10,I10*CONFIGURACIÓN!$C$28))/(G10))*(G10),ROUND((I10+MAX(G10,I10*CONFIGURACIÓN!$C$28))/(G10),0)*(G10))),I10))</f>
        <v/>
      </c>
      <c r="P10" s="13"/>
      <c r="Q10" s="18" t="str">
        <f aca="false">IF(H10="","Calibrar: carga que permita "&amp;D10&amp;"–"&amp;(D10+2)&amp;" reps @RIR 1–2 en la 1ª serie",IF(N10="SUBIR CARGA","Nueva carga: "&amp;F10&amp;"×"&amp;INDEX(CONFIGURACIÓN!$J$42:$J$56,MATCH($A10,CONFIGURACIÓN!$B$42:$B$56,0))&amp;" aprox.",IF(LEFT(N10,4)="PILA","Pila al máximo: proponer cambio a Remo unilateral con mancuerna","Superar "&amp;J10&amp;"/"&amp;K10&amp;"/"&amp;L10&amp;" con "&amp;I10&amp;" kg → +1 rep por serie hasta "&amp;F10&amp;"×"&amp;E10)))</f>
        <v>Calibrar: carga que permita 6–8 reps @RIR 1–2 en la 1ª serie</v>
      </c>
      <c r="R10" s="28" t="n">
        <f aca="true">IF(ISNUMBER(INDEX(CONFIGURACIÓN!$K$42:$K$56,MATCH($A10,CONFIGURACIÓN!$B$42:$B$56,0))),IF(WEEKDAY(MAX(IF(ISNUMBER(H10),H10,0),TODAY()-1),2)&lt;INDEX(CONFIGURACIÓN!$K$42:$K$56,MATCH($A10,CONFIGURACIÓN!$B$42:$B$56,0)),MAX(IF(ISNUMBER(H10),H10,0),TODAY()-1)+INDEX(CONFIGURACIÓN!$K$42:$K$56,MATCH($A10,CONFIGURACIÓN!$B$42:$B$56,0))-WEEKDAY(MAX(IF(ISNUMBER(H10),H10,0),TODAY()-1),2),IF(WEEKDAY(MAX(IF(ISNUMBER(H10),H10,0),TODAY()-1),2)&lt;IF(ISNUMBER(INDEX(CONFIGURACIÓN!$L$42:$L$56,MATCH($A10,CONFIGURACIÓN!$B$42:$B$56,0))),INDEX(CONFIGURACIÓN!$L$42:$L$56,MATCH($A10,CONFIGURACIÓN!$B$42:$B$56,0)),INDEX(CONFIGURACIÓN!$K$42:$K$56,MATCH($A10,CONFIGURACIÓN!$B$42:$B$56,0))),MAX(IF(ISNUMBER(H10),H10,0),TODAY()-1)+IF(ISNUMBER(INDEX(CONFIGURACIÓN!$L$42:$L$56,MATCH($A10,CONFIGURACIÓN!$B$42:$B$56,0))),INDEX(CONFIGURACIÓN!$L$42:$L$56,MATCH($A10,CONFIGURACIÓN!$B$42:$B$56,0)),INDEX(CONFIGURACIÓN!$K$42:$K$56,MATCH($A10,CONFIGURACIÓN!$B$42:$B$56,0)))-WEEKDAY(MAX(IF(ISNUMBER(H10),H10,0),TODAY()-1),2),MAX(IF(ISNUMBER(H10),H10,0),TODAY()-1)+7-WEEKDAY(MAX(IF(ISNUMBER(H10),H10,0),TODAY()-1),2)+INDEX(CONFIGURACIÓN!$K$42:$K$56,MATCH($A10,CONFIGURACIÓN!$B$42:$B$56,0)))),"")</f>
        <v>46293</v>
      </c>
      <c r="S10" s="11"/>
    </row>
    <row r="11" customFormat="false" ht="23.25" hidden="false" customHeight="true" outlineLevel="0" collapsed="false">
      <c r="A11" s="10" t="s">
        <v>296</v>
      </c>
      <c r="B11" s="10" t="s">
        <v>287</v>
      </c>
      <c r="C11" s="18" t="str">
        <f aca="false">D11&amp;"–"&amp;E11</f>
        <v>3–8</v>
      </c>
      <c r="D11" s="20" t="n">
        <f aca="false">INDEX(CONFIGURACIÓN!$E$42:$E$56,MATCH($A11,CONFIGURACIÓN!$B$42:$B$56,0))</f>
        <v>3</v>
      </c>
      <c r="E11" s="20" t="n">
        <f aca="false">INDEX(CONFIGURACIÓN!$F$42:$F$56,MATCH($A11,CONFIGURACIÓN!$B$42:$B$56,0))</f>
        <v>8</v>
      </c>
      <c r="F11" s="20" t="n">
        <f aca="false">INDEX(CONFIGURACIÓN!$G$42:$G$56,MATCH($A11,CONFIGURACIÓN!$B$42:$B$56,0))</f>
        <v>3</v>
      </c>
      <c r="G11" s="25" t="n">
        <f aca="false">INDEX(CONFIGURACIÓN!$H$42:$H$56,MATCH($A11,CONFIGURACIÓN!$B$42:$B$56,0))</f>
        <v>2</v>
      </c>
      <c r="H11" s="28" t="str">
        <f aca="false">IF(_xlfn.MAXIFS(HISTORIAL!$B$5:$B$2004,HISTORIAL!$E$5:$E$2004,$A11,HISTORIAL!$F$5:$F$2004,"Trabajo")=0,"",_xlfn.MAXIFS(HISTORIAL!$B$5:$B$2004,HISTORIAL!$E$5:$E$2004,$A11,HISTORIAL!$F$5:$F$2004,"Trabajo"))</f>
        <v/>
      </c>
      <c r="I11" s="27" t="str">
        <f aca="false">IF(H11="","",_xlfn.MAXIFS(HISTORIAL!$J$5:$J$2004,HISTORIAL!$E$5:$E$2004,$A11,HISTORIAL!$F$5:$F$2004,"Trabajo",HISTORIAL!$B$5:$B$2004,H11))</f>
        <v/>
      </c>
      <c r="J11" s="26" t="str">
        <f aca="false">IF(H11="","",SUMIFS(HISTORIAL!$K$5:$K$2004,HISTORIAL!$E$5:$E$2004,$A11,HISTORIAL!$F$5:$F$2004,"Trabajo",HISTORIAL!$B$5:$B$2004,H11,HISTORIAL!$I$5:$I$2004,1))</f>
        <v/>
      </c>
      <c r="K11" s="26" t="str">
        <f aca="false">IF(H11="","",SUMIFS(HISTORIAL!$K$5:$K$2004,HISTORIAL!$E$5:$E$2004,$A11,HISTORIAL!$F$5:$F$2004,"Trabajo",HISTORIAL!$B$5:$B$2004,H11,HISTORIAL!$I$5:$I$2004,2))</f>
        <v/>
      </c>
      <c r="L11" s="26" t="str">
        <f aca="false">IF(H11="","",SUMIFS(HISTORIAL!$K$5:$K$2004,HISTORIAL!$E$5:$E$2004,$A11,HISTORIAL!$F$5:$F$2004,"Trabajo",HISTORIAL!$B$5:$B$2004,H11,HISTORIAL!$I$5:$I$2004,3))</f>
        <v/>
      </c>
      <c r="M11" s="26" t="str">
        <f aca="false">IF(H11="","",MIN(J11:L11))</f>
        <v/>
      </c>
      <c r="N11" s="18" t="str">
        <f aca="false">IF(H11="","CALIBRAR",IF(M11&gt;=E11,"SUBIR CARGA",IF(M11&lt;D11,"MANTENER · por debajo del rango","MANTENER · sumar repeticiones")))</f>
        <v>CALIBRAR</v>
      </c>
      <c r="O11" s="27" t="str">
        <f aca="false">IF(H11="","",IF(N11="SUBIR CARGA",IF(CONFIGURACIÓN!$C$9="ABAJO",INT((I11+MAX(G11,I11*CONFIGURACIÓN!$C$28))/(G11))*(G11),IF(CONFIGURACIÓN!$C$9="ARRIBA",-INT(-(I11+MAX(G11,I11*CONFIGURACIÓN!$C$28))/(G11))*(G11),ROUND((I11+MAX(G11,I11*CONFIGURACIÓN!$C$28))/(G11),0)*(G11))),I11))</f>
        <v/>
      </c>
      <c r="P11" s="13"/>
      <c r="Q11" s="18" t="str">
        <f aca="false">IF(H11="","Calibrar: carga que permita "&amp;D11&amp;"–"&amp;(D11+2)&amp;" reps @RIR 1–2 en la 1ª serie",IF(N11="SUBIR CARGA","Nueva carga: "&amp;F11&amp;"×"&amp;INDEX(CONFIGURACIÓN!$J$42:$J$56,MATCH($A11,CONFIGURACIÓN!$B$42:$B$56,0))&amp;" aprox.",IF(LEFT(N11,4)="PILA","Pila al máximo: proponer cambio a Remo unilateral con mancuerna","Superar "&amp;J11&amp;"/"&amp;K11&amp;"/"&amp;L11&amp;" con "&amp;I11&amp;" kg → +1 rep por serie hasta "&amp;F11&amp;"×"&amp;E11)))</f>
        <v>Calibrar: carga que permita 3–5 reps @RIR 1–2 en la 1ª serie</v>
      </c>
      <c r="R11" s="28" t="n">
        <f aca="true">IF(ISNUMBER(INDEX(CONFIGURACIÓN!$K$42:$K$56,MATCH($A11,CONFIGURACIÓN!$B$42:$B$56,0))),IF(WEEKDAY(MAX(IF(ISNUMBER(H11),H11,0),TODAY()-1),2)&lt;INDEX(CONFIGURACIÓN!$K$42:$K$56,MATCH($A11,CONFIGURACIÓN!$B$42:$B$56,0)),MAX(IF(ISNUMBER(H11),H11,0),TODAY()-1)+INDEX(CONFIGURACIÓN!$K$42:$K$56,MATCH($A11,CONFIGURACIÓN!$B$42:$B$56,0))-WEEKDAY(MAX(IF(ISNUMBER(H11),H11,0),TODAY()-1),2),IF(WEEKDAY(MAX(IF(ISNUMBER(H11),H11,0),TODAY()-1),2)&lt;IF(ISNUMBER(INDEX(CONFIGURACIÓN!$L$42:$L$56,MATCH($A11,CONFIGURACIÓN!$B$42:$B$56,0))),INDEX(CONFIGURACIÓN!$L$42:$L$56,MATCH($A11,CONFIGURACIÓN!$B$42:$B$56,0)),INDEX(CONFIGURACIÓN!$K$42:$K$56,MATCH($A11,CONFIGURACIÓN!$B$42:$B$56,0))),MAX(IF(ISNUMBER(H11),H11,0),TODAY()-1)+IF(ISNUMBER(INDEX(CONFIGURACIÓN!$L$42:$L$56,MATCH($A11,CONFIGURACIÓN!$B$42:$B$56,0))),INDEX(CONFIGURACIÓN!$L$42:$L$56,MATCH($A11,CONFIGURACIÓN!$B$42:$B$56,0)),INDEX(CONFIGURACIÓN!$K$42:$K$56,MATCH($A11,CONFIGURACIÓN!$B$42:$B$56,0)))-WEEKDAY(MAX(IF(ISNUMBER(H11),H11,0),TODAY()-1),2),MAX(IF(ISNUMBER(H11),H11,0),TODAY()-1)+7-WEEKDAY(MAX(IF(ISNUMBER(H11),H11,0),TODAY()-1),2)+INDEX(CONFIGURACIÓN!$K$42:$K$56,MATCH($A11,CONFIGURACIÓN!$B$42:$B$56,0)))),"")</f>
        <v>46293</v>
      </c>
      <c r="S11" s="11"/>
    </row>
    <row r="12" customFormat="false" ht="23.25" hidden="false" customHeight="true" outlineLevel="0" collapsed="false">
      <c r="A12" s="10" t="s">
        <v>297</v>
      </c>
      <c r="B12" s="10" t="s">
        <v>287</v>
      </c>
      <c r="C12" s="18" t="str">
        <f aca="false">D12&amp;"–"&amp;E12</f>
        <v>10–20</v>
      </c>
      <c r="D12" s="20" t="n">
        <f aca="false">INDEX(CONFIGURACIÓN!$E$42:$E$56,MATCH($A12,CONFIGURACIÓN!$B$42:$B$56,0))</f>
        <v>10</v>
      </c>
      <c r="E12" s="20" t="n">
        <f aca="false">INDEX(CONFIGURACIÓN!$F$42:$F$56,MATCH($A12,CONFIGURACIÓN!$B$42:$B$56,0))</f>
        <v>20</v>
      </c>
      <c r="F12" s="20" t="n">
        <f aca="false">INDEX(CONFIGURACIÓN!$G$42:$G$56,MATCH($A12,CONFIGURACIÓN!$B$42:$B$56,0))</f>
        <v>3</v>
      </c>
      <c r="G12" s="25" t="n">
        <f aca="false">INDEX(CONFIGURACIÓN!$H$42:$H$56,MATCH($A12,CONFIGURACIÓN!$B$42:$B$56,0))</f>
        <v>2</v>
      </c>
      <c r="H12" s="28" t="str">
        <f aca="false">IF(_xlfn.MAXIFS(HISTORIAL!$B$5:$B$2004,HISTORIAL!$E$5:$E$2004,$A12,HISTORIAL!$F$5:$F$2004,"Trabajo")=0,"",_xlfn.MAXIFS(HISTORIAL!$B$5:$B$2004,HISTORIAL!$E$5:$E$2004,$A12,HISTORIAL!$F$5:$F$2004,"Trabajo"))</f>
        <v/>
      </c>
      <c r="I12" s="27" t="str">
        <f aca="false">IF(H12="","",_xlfn.MAXIFS(HISTORIAL!$J$5:$J$2004,HISTORIAL!$E$5:$E$2004,$A12,HISTORIAL!$F$5:$F$2004,"Trabajo",HISTORIAL!$B$5:$B$2004,H12))</f>
        <v/>
      </c>
      <c r="J12" s="26" t="str">
        <f aca="false">IF(H12="","",SUMIFS(HISTORIAL!$K$5:$K$2004,HISTORIAL!$E$5:$E$2004,$A12,HISTORIAL!$F$5:$F$2004,"Trabajo",HISTORIAL!$B$5:$B$2004,H12,HISTORIAL!$I$5:$I$2004,1))</f>
        <v/>
      </c>
      <c r="K12" s="26" t="str">
        <f aca="false">IF(H12="","",SUMIFS(HISTORIAL!$K$5:$K$2004,HISTORIAL!$E$5:$E$2004,$A12,HISTORIAL!$F$5:$F$2004,"Trabajo",HISTORIAL!$B$5:$B$2004,H12,HISTORIAL!$I$5:$I$2004,2))</f>
        <v/>
      </c>
      <c r="L12" s="26" t="str">
        <f aca="false">IF(H12="","",SUMIFS(HISTORIAL!$K$5:$K$2004,HISTORIAL!$E$5:$E$2004,$A12,HISTORIAL!$F$5:$F$2004,"Trabajo",HISTORIAL!$B$5:$B$2004,H12,HISTORIAL!$I$5:$I$2004,3))</f>
        <v/>
      </c>
      <c r="M12" s="26" t="str">
        <f aca="false">IF(H12="","",MIN(J12:L12))</f>
        <v/>
      </c>
      <c r="N12" s="18" t="str">
        <f aca="false">IF(H12="","CALIBRAR",IF(M12&gt;=E12,"SUBIR CARGA",IF(M12&lt;D12,"MANTENER · por debajo del rango","MANTENER · sumar repeticiones")))</f>
        <v>CALIBRAR</v>
      </c>
      <c r="O12" s="27" t="str">
        <f aca="false">IF(H12="","",IF(N12="SUBIR CARGA",IF(CONFIGURACIÓN!$C$9="ABAJO",INT((I12+MAX(G12,I12*CONFIGURACIÓN!$C$28))/(G12))*(G12),IF(CONFIGURACIÓN!$C$9="ARRIBA",-INT(-(I12+MAX(G12,I12*CONFIGURACIÓN!$C$28))/(G12))*(G12),ROUND((I12+MAX(G12,I12*CONFIGURACIÓN!$C$28))/(G12),0)*(G12))),I12))</f>
        <v/>
      </c>
      <c r="P12" s="13"/>
      <c r="Q12" s="18" t="str">
        <f aca="false">IF(H12="","Calibrar: carga que permita "&amp;D12&amp;"–"&amp;(D12+2)&amp;" reps @RIR 1–2 en la 1ª serie",IF(N12="SUBIR CARGA","Nueva carga: "&amp;F12&amp;"×"&amp;INDEX(CONFIGURACIÓN!$J$42:$J$56,MATCH($A12,CONFIGURACIÓN!$B$42:$B$56,0))&amp;" aprox.",IF(LEFT(N12,4)="PILA","Pila al máximo: proponer cambio a Remo unilateral con mancuerna","Superar "&amp;J12&amp;"/"&amp;K12&amp;"/"&amp;L12&amp;" con "&amp;I12&amp;" kg → +1 rep por serie hasta "&amp;F12&amp;"×"&amp;E12)))</f>
        <v>Calibrar: carga que permita 10–12 reps @RIR 1–2 en la 1ª serie</v>
      </c>
      <c r="R12" s="28" t="n">
        <f aca="true">IF(ISNUMBER(INDEX(CONFIGURACIÓN!$K$42:$K$56,MATCH($A12,CONFIGURACIÓN!$B$42:$B$56,0))),IF(WEEKDAY(MAX(IF(ISNUMBER(H12),H12,0),TODAY()-1),2)&lt;INDEX(CONFIGURACIÓN!$K$42:$K$56,MATCH($A12,CONFIGURACIÓN!$B$42:$B$56,0)),MAX(IF(ISNUMBER(H12),H12,0),TODAY()-1)+INDEX(CONFIGURACIÓN!$K$42:$K$56,MATCH($A12,CONFIGURACIÓN!$B$42:$B$56,0))-WEEKDAY(MAX(IF(ISNUMBER(H12),H12,0),TODAY()-1),2),IF(WEEKDAY(MAX(IF(ISNUMBER(H12),H12,0),TODAY()-1),2)&lt;IF(ISNUMBER(INDEX(CONFIGURACIÓN!$L$42:$L$56,MATCH($A12,CONFIGURACIÓN!$B$42:$B$56,0))),INDEX(CONFIGURACIÓN!$L$42:$L$56,MATCH($A12,CONFIGURACIÓN!$B$42:$B$56,0)),INDEX(CONFIGURACIÓN!$K$42:$K$56,MATCH($A12,CONFIGURACIÓN!$B$42:$B$56,0))),MAX(IF(ISNUMBER(H12),H12,0),TODAY()-1)+IF(ISNUMBER(INDEX(CONFIGURACIÓN!$L$42:$L$56,MATCH($A12,CONFIGURACIÓN!$B$42:$B$56,0))),INDEX(CONFIGURACIÓN!$L$42:$L$56,MATCH($A12,CONFIGURACIÓN!$B$42:$B$56,0)),INDEX(CONFIGURACIÓN!$K$42:$K$56,MATCH($A12,CONFIGURACIÓN!$B$42:$B$56,0)))-WEEKDAY(MAX(IF(ISNUMBER(H12),H12,0),TODAY()-1),2),MAX(IF(ISNUMBER(H12),H12,0),TODAY()-1)+7-WEEKDAY(MAX(IF(ISNUMBER(H12),H12,0),TODAY()-1),2)+INDEX(CONFIGURACIÓN!$K$42:$K$56,MATCH($A12,CONFIGURACIÓN!$B$42:$B$56,0)))),"")</f>
        <v>46293</v>
      </c>
      <c r="S12" s="11"/>
    </row>
    <row r="13" customFormat="false" ht="23.25" hidden="false" customHeight="true" outlineLevel="0" collapsed="false">
      <c r="A13" s="10" t="s">
        <v>301</v>
      </c>
      <c r="B13" s="10" t="s">
        <v>287</v>
      </c>
      <c r="C13" s="18" t="str">
        <f aca="false">D13&amp;"–"&amp;E13</f>
        <v>8–15</v>
      </c>
      <c r="D13" s="20" t="n">
        <f aca="false">INDEX(CONFIGURACIÓN!$E$42:$E$56,MATCH($A13,CONFIGURACIÓN!$B$42:$B$56,0))</f>
        <v>8</v>
      </c>
      <c r="E13" s="20" t="n">
        <f aca="false">INDEX(CONFIGURACIÓN!$F$42:$F$56,MATCH($A13,CONFIGURACIÓN!$B$42:$B$56,0))</f>
        <v>15</v>
      </c>
      <c r="F13" s="20" t="n">
        <f aca="false">INDEX(CONFIGURACIÓN!$G$42:$G$56,MATCH($A13,CONFIGURACIÓN!$B$42:$B$56,0))</f>
        <v>3</v>
      </c>
      <c r="G13" s="25" t="n">
        <f aca="false">INDEX(CONFIGURACIÓN!$H$42:$H$56,MATCH($A13,CONFIGURACIÓN!$B$42:$B$56,0))</f>
        <v>2</v>
      </c>
      <c r="H13" s="28" t="str">
        <f aca="false">IF(_xlfn.MAXIFS(HISTORIAL!$B$5:$B$2004,HISTORIAL!$E$5:$E$2004,$A13,HISTORIAL!$F$5:$F$2004,"Trabajo")=0,"",_xlfn.MAXIFS(HISTORIAL!$B$5:$B$2004,HISTORIAL!$E$5:$E$2004,$A13,HISTORIAL!$F$5:$F$2004,"Trabajo"))</f>
        <v/>
      </c>
      <c r="I13" s="27" t="str">
        <f aca="false">IF(H13="","",_xlfn.MAXIFS(HISTORIAL!$J$5:$J$2004,HISTORIAL!$E$5:$E$2004,$A13,HISTORIAL!$F$5:$F$2004,"Trabajo",HISTORIAL!$B$5:$B$2004,H13))</f>
        <v/>
      </c>
      <c r="J13" s="26" t="str">
        <f aca="false">IF(H13="","",SUMIFS(HISTORIAL!$K$5:$K$2004,HISTORIAL!$E$5:$E$2004,$A13,HISTORIAL!$F$5:$F$2004,"Trabajo",HISTORIAL!$B$5:$B$2004,H13,HISTORIAL!$I$5:$I$2004,1))</f>
        <v/>
      </c>
      <c r="K13" s="26" t="str">
        <f aca="false">IF(H13="","",SUMIFS(HISTORIAL!$K$5:$K$2004,HISTORIAL!$E$5:$E$2004,$A13,HISTORIAL!$F$5:$F$2004,"Trabajo",HISTORIAL!$B$5:$B$2004,H13,HISTORIAL!$I$5:$I$2004,2))</f>
        <v/>
      </c>
      <c r="L13" s="26" t="str">
        <f aca="false">IF(H13="","",SUMIFS(HISTORIAL!$K$5:$K$2004,HISTORIAL!$E$5:$E$2004,$A13,HISTORIAL!$F$5:$F$2004,"Trabajo",HISTORIAL!$B$5:$B$2004,H13,HISTORIAL!$I$5:$I$2004,3))</f>
        <v/>
      </c>
      <c r="M13" s="26" t="str">
        <f aca="false">IF(H13="","",MIN(J13:L13))</f>
        <v/>
      </c>
      <c r="N13" s="18" t="str">
        <f aca="false">IF(H13="","CALIBRAR",IF(M13&gt;=E13,"SUBIR CARGA",IF(M13&lt;D13,"MANTENER · por debajo del rango","MANTENER · sumar repeticiones")))</f>
        <v>CALIBRAR</v>
      </c>
      <c r="O13" s="27" t="str">
        <f aca="false">IF(H13="","",IF(N13="SUBIR CARGA",IF(CONFIGURACIÓN!$C$9="ABAJO",INT((I13+MAX(G13,I13*CONFIGURACIÓN!$C$28))/(G13))*(G13),IF(CONFIGURACIÓN!$C$9="ARRIBA",-INT(-(I13+MAX(G13,I13*CONFIGURACIÓN!$C$28))/(G13))*(G13),ROUND((I13+MAX(G13,I13*CONFIGURACIÓN!$C$28))/(G13),0)*(G13))),I13))</f>
        <v/>
      </c>
      <c r="P13" s="13"/>
      <c r="Q13" s="18" t="str">
        <f aca="false">IF(H13="","Calibrar: carga que permita "&amp;D13&amp;"–"&amp;(D13+2)&amp;" reps @RIR 1–2 en la 1ª serie",IF(N13="SUBIR CARGA","Nueva carga: "&amp;F13&amp;"×"&amp;INDEX(CONFIGURACIÓN!$J$42:$J$56,MATCH($A13,CONFIGURACIÓN!$B$42:$B$56,0))&amp;" aprox.",IF(LEFT(N13,4)="PILA","Pila al máximo: proponer cambio a Remo unilateral con mancuerna","Superar "&amp;J13&amp;"/"&amp;K13&amp;"/"&amp;L13&amp;" con "&amp;I13&amp;" kg → +1 rep por serie hasta "&amp;F13&amp;"×"&amp;E13)))</f>
        <v>Calibrar: carga que permita 8–10 reps @RIR 1–2 en la 1ª serie</v>
      </c>
      <c r="R13" s="28" t="n">
        <f aca="true">IF(ISNUMBER(INDEX(CONFIGURACIÓN!$K$42:$K$56,MATCH($A13,CONFIGURACIÓN!$B$42:$B$56,0))),IF(WEEKDAY(MAX(IF(ISNUMBER(H13),H13,0),TODAY()-1),2)&lt;INDEX(CONFIGURACIÓN!$K$42:$K$56,MATCH($A13,CONFIGURACIÓN!$B$42:$B$56,0)),MAX(IF(ISNUMBER(H13),H13,0),TODAY()-1)+INDEX(CONFIGURACIÓN!$K$42:$K$56,MATCH($A13,CONFIGURACIÓN!$B$42:$B$56,0))-WEEKDAY(MAX(IF(ISNUMBER(H13),H13,0),TODAY()-1),2),IF(WEEKDAY(MAX(IF(ISNUMBER(H13),H13,0),TODAY()-1),2)&lt;IF(ISNUMBER(INDEX(CONFIGURACIÓN!$L$42:$L$56,MATCH($A13,CONFIGURACIÓN!$B$42:$B$56,0))),INDEX(CONFIGURACIÓN!$L$42:$L$56,MATCH($A13,CONFIGURACIÓN!$B$42:$B$56,0)),INDEX(CONFIGURACIÓN!$K$42:$K$56,MATCH($A13,CONFIGURACIÓN!$B$42:$B$56,0))),MAX(IF(ISNUMBER(H13),H13,0),TODAY()-1)+IF(ISNUMBER(INDEX(CONFIGURACIÓN!$L$42:$L$56,MATCH($A13,CONFIGURACIÓN!$B$42:$B$56,0))),INDEX(CONFIGURACIÓN!$L$42:$L$56,MATCH($A13,CONFIGURACIÓN!$B$42:$B$56,0)),INDEX(CONFIGURACIÓN!$K$42:$K$56,MATCH($A13,CONFIGURACIÓN!$B$42:$B$56,0)))-WEEKDAY(MAX(IF(ISNUMBER(H13),H13,0),TODAY()-1),2),MAX(IF(ISNUMBER(H13),H13,0),TODAY()-1)+7-WEEKDAY(MAX(IF(ISNUMBER(H13),H13,0),TODAY()-1),2)+INDEX(CONFIGURACIÓN!$K$42:$K$56,MATCH($A13,CONFIGURACIÓN!$B$42:$B$56,0)))),"")</f>
        <v>46296</v>
      </c>
      <c r="S13" s="11"/>
    </row>
    <row r="14" customFormat="false" ht="23.25" hidden="false" customHeight="true" outlineLevel="0" collapsed="false">
      <c r="A14" s="10" t="s">
        <v>243</v>
      </c>
      <c r="B14" s="10" t="s">
        <v>287</v>
      </c>
      <c r="C14" s="18" t="str">
        <f aca="false">D14&amp;"–"&amp;E14</f>
        <v>8–15</v>
      </c>
      <c r="D14" s="20" t="n">
        <f aca="false">INDEX(CONFIGURACIÓN!$E$42:$E$56,MATCH($A14,CONFIGURACIÓN!$B$42:$B$56,0))</f>
        <v>8</v>
      </c>
      <c r="E14" s="20" t="n">
        <f aca="false">INDEX(CONFIGURACIÓN!$F$42:$F$56,MATCH($A14,CONFIGURACIÓN!$B$42:$B$56,0))</f>
        <v>15</v>
      </c>
      <c r="F14" s="20" t="n">
        <f aca="false">INDEX(CONFIGURACIÓN!$G$42:$G$56,MATCH($A14,CONFIGURACIÓN!$B$42:$B$56,0))</f>
        <v>3</v>
      </c>
      <c r="G14" s="25" t="n">
        <f aca="false">INDEX(CONFIGURACIÓN!$H$42:$H$56,MATCH($A14,CONFIGURACIÓN!$B$42:$B$56,0))</f>
        <v>2</v>
      </c>
      <c r="H14" s="28" t="str">
        <f aca="false">IF(_xlfn.MAXIFS(HISTORIAL!$B$5:$B$2004,HISTORIAL!$E$5:$E$2004,$A14,HISTORIAL!$F$5:$F$2004,"Trabajo")=0,"",_xlfn.MAXIFS(HISTORIAL!$B$5:$B$2004,HISTORIAL!$E$5:$E$2004,$A14,HISTORIAL!$F$5:$F$2004,"Trabajo"))</f>
        <v/>
      </c>
      <c r="I14" s="27" t="str">
        <f aca="false">IF(H14="","",_xlfn.MAXIFS(HISTORIAL!$J$5:$J$2004,HISTORIAL!$E$5:$E$2004,$A14,HISTORIAL!$F$5:$F$2004,"Trabajo",HISTORIAL!$B$5:$B$2004,H14))</f>
        <v/>
      </c>
      <c r="J14" s="26" t="str">
        <f aca="false">IF(H14="","",SUMIFS(HISTORIAL!$K$5:$K$2004,HISTORIAL!$E$5:$E$2004,$A14,HISTORIAL!$F$5:$F$2004,"Trabajo",HISTORIAL!$B$5:$B$2004,H14,HISTORIAL!$I$5:$I$2004,1))</f>
        <v/>
      </c>
      <c r="K14" s="26" t="str">
        <f aca="false">IF(H14="","",SUMIFS(HISTORIAL!$K$5:$K$2004,HISTORIAL!$E$5:$E$2004,$A14,HISTORIAL!$F$5:$F$2004,"Trabajo",HISTORIAL!$B$5:$B$2004,H14,HISTORIAL!$I$5:$I$2004,2))</f>
        <v/>
      </c>
      <c r="L14" s="26" t="str">
        <f aca="false">IF(H14="","",SUMIFS(HISTORIAL!$K$5:$K$2004,HISTORIAL!$E$5:$E$2004,$A14,HISTORIAL!$F$5:$F$2004,"Trabajo",HISTORIAL!$B$5:$B$2004,H14,HISTORIAL!$I$5:$I$2004,3))</f>
        <v/>
      </c>
      <c r="M14" s="26" t="str">
        <f aca="false">IF(H14="","",MIN(J14:L14))</f>
        <v/>
      </c>
      <c r="N14" s="18" t="str">
        <f aca="false">IF(AND(IF(H14="","CALIBRAR",IF(M14&gt;=E14,"SUBIR CARGA",IF(M14&lt;D14,"MANTENER · por debajo del rango","MANTENER · sumar repeticiones")))="SUBIR CARGA",ISNUMBER(CONFIGURACIÓN!$C$30)),IF(I14+G14&gt;CONFIGURACIÓN!$C$30,"PILA AL MÁXIMO · valorar cambio a remo unilateral","SUBIR CARGA"),IF(H14="","CALIBRAR",IF(M14&gt;=E14,"SUBIR CARGA",IF(M14&lt;D14,"MANTENER · por debajo del rango","MANTENER · sumar repeticiones"))))</f>
        <v>CALIBRAR</v>
      </c>
      <c r="O14" s="27" t="str">
        <f aca="false">IF(H14="","",IF(N14="SUBIR CARGA",IF(CONFIGURACIÓN!$C$9="ABAJO",INT((I14+MAX(G14,I14*CONFIGURACIÓN!$C$28))/(G14))*(G14),IF(CONFIGURACIÓN!$C$9="ARRIBA",-INT(-(I14+MAX(G14,I14*CONFIGURACIÓN!$C$28))/(G14))*(G14),ROUND((I14+MAX(G14,I14*CONFIGURACIÓN!$C$28))/(G14),0)*(G14))),I14))</f>
        <v/>
      </c>
      <c r="P14" s="13"/>
      <c r="Q14" s="18" t="str">
        <f aca="false">IF(H14="","Calibrar: carga que permita "&amp;D14&amp;"–"&amp;(D14+2)&amp;" reps @RIR 1–2 en la 1ª serie",IF(N14="SUBIR CARGA","Nueva carga: "&amp;F14&amp;"×"&amp;INDEX(CONFIGURACIÓN!$J$42:$J$56,MATCH($A14,CONFIGURACIÓN!$B$42:$B$56,0))&amp;" aprox.",IF(LEFT(N14,4)="PILA","Pila al máximo: proponer cambio a Remo unilateral con mancuerna","Superar "&amp;J14&amp;"/"&amp;K14&amp;"/"&amp;L14&amp;" con "&amp;I14&amp;" kg → +1 rep por serie hasta "&amp;F14&amp;"×"&amp;E14)))</f>
        <v>Calibrar: carga que permita 8–10 reps @RIR 1–2 en la 1ª serie</v>
      </c>
      <c r="R14" s="28" t="n">
        <f aca="true">IF(ISNUMBER(INDEX(CONFIGURACIÓN!$K$42:$K$56,MATCH($A14,CONFIGURACIÓN!$B$42:$B$56,0))),IF(WEEKDAY(MAX(IF(ISNUMBER(H14),H14,0),TODAY()-1),2)&lt;INDEX(CONFIGURACIÓN!$K$42:$K$56,MATCH($A14,CONFIGURACIÓN!$B$42:$B$56,0)),MAX(IF(ISNUMBER(H14),H14,0),TODAY()-1)+INDEX(CONFIGURACIÓN!$K$42:$K$56,MATCH($A14,CONFIGURACIÓN!$B$42:$B$56,0))-WEEKDAY(MAX(IF(ISNUMBER(H14),H14,0),TODAY()-1),2),IF(WEEKDAY(MAX(IF(ISNUMBER(H14),H14,0),TODAY()-1),2)&lt;IF(ISNUMBER(INDEX(CONFIGURACIÓN!$L$42:$L$56,MATCH($A14,CONFIGURACIÓN!$B$42:$B$56,0))),INDEX(CONFIGURACIÓN!$L$42:$L$56,MATCH($A14,CONFIGURACIÓN!$B$42:$B$56,0)),INDEX(CONFIGURACIÓN!$K$42:$K$56,MATCH($A14,CONFIGURACIÓN!$B$42:$B$56,0))),MAX(IF(ISNUMBER(H14),H14,0),TODAY()-1)+IF(ISNUMBER(INDEX(CONFIGURACIÓN!$L$42:$L$56,MATCH($A14,CONFIGURACIÓN!$B$42:$B$56,0))),INDEX(CONFIGURACIÓN!$L$42:$L$56,MATCH($A14,CONFIGURACIÓN!$B$42:$B$56,0)),INDEX(CONFIGURACIÓN!$K$42:$K$56,MATCH($A14,CONFIGURACIÓN!$B$42:$B$56,0)))-WEEKDAY(MAX(IF(ISNUMBER(H14),H14,0),TODAY()-1),2),MAX(IF(ISNUMBER(H14),H14,0),TODAY()-1)+7-WEEKDAY(MAX(IF(ISNUMBER(H14),H14,0),TODAY()-1),2)+INDEX(CONFIGURACIÓN!$K$42:$K$56,MATCH($A14,CONFIGURACIÓN!$B$42:$B$56,0)))),"")</f>
        <v>46294</v>
      </c>
      <c r="S14" s="11"/>
    </row>
    <row r="15" customFormat="false" ht="23.25" hidden="false" customHeight="true" outlineLevel="0" collapsed="false">
      <c r="A15" s="10" t="s">
        <v>306</v>
      </c>
      <c r="B15" s="10" t="s">
        <v>287</v>
      </c>
      <c r="C15" s="18" t="str">
        <f aca="false">D15&amp;"–"&amp;E15</f>
        <v>8–15</v>
      </c>
      <c r="D15" s="20" t="n">
        <f aca="false">INDEX(CONFIGURACIÓN!$E$42:$E$56,MATCH($A15,CONFIGURACIÓN!$B$42:$B$56,0))</f>
        <v>8</v>
      </c>
      <c r="E15" s="20" t="n">
        <f aca="false">INDEX(CONFIGURACIÓN!$F$42:$F$56,MATCH($A15,CONFIGURACIÓN!$B$42:$B$56,0))</f>
        <v>15</v>
      </c>
      <c r="F15" s="20" t="n">
        <f aca="false">INDEX(CONFIGURACIÓN!$G$42:$G$56,MATCH($A15,CONFIGURACIÓN!$B$42:$B$56,0))</f>
        <v>3</v>
      </c>
      <c r="G15" s="25" t="n">
        <f aca="false">INDEX(CONFIGURACIÓN!$H$42:$H$56,MATCH($A15,CONFIGURACIÓN!$B$42:$B$56,0))</f>
        <v>2</v>
      </c>
      <c r="H15" s="28" t="str">
        <f aca="false">IF(_xlfn.MAXIFS(HISTORIAL!$B$5:$B$2004,HISTORIAL!$E$5:$E$2004,$A15,HISTORIAL!$F$5:$F$2004,"Trabajo")=0,"",_xlfn.MAXIFS(HISTORIAL!$B$5:$B$2004,HISTORIAL!$E$5:$E$2004,$A15,HISTORIAL!$F$5:$F$2004,"Trabajo"))</f>
        <v/>
      </c>
      <c r="I15" s="27" t="str">
        <f aca="false">IF(H15="","",_xlfn.MAXIFS(HISTORIAL!$J$5:$J$2004,HISTORIAL!$E$5:$E$2004,$A15,HISTORIAL!$F$5:$F$2004,"Trabajo",HISTORIAL!$B$5:$B$2004,H15))</f>
        <v/>
      </c>
      <c r="J15" s="26" t="str">
        <f aca="false">IF(H15="","",SUMIFS(HISTORIAL!$K$5:$K$2004,HISTORIAL!$E$5:$E$2004,$A15,HISTORIAL!$F$5:$F$2004,"Trabajo",HISTORIAL!$B$5:$B$2004,H15,HISTORIAL!$I$5:$I$2004,1))</f>
        <v/>
      </c>
      <c r="K15" s="26" t="str">
        <f aca="false">IF(H15="","",SUMIFS(HISTORIAL!$K$5:$K$2004,HISTORIAL!$E$5:$E$2004,$A15,HISTORIAL!$F$5:$F$2004,"Trabajo",HISTORIAL!$B$5:$B$2004,H15,HISTORIAL!$I$5:$I$2004,2))</f>
        <v/>
      </c>
      <c r="L15" s="26" t="str">
        <f aca="false">IF(H15="","",SUMIFS(HISTORIAL!$K$5:$K$2004,HISTORIAL!$E$5:$E$2004,$A15,HISTORIAL!$F$5:$F$2004,"Trabajo",HISTORIAL!$B$5:$B$2004,H15,HISTORIAL!$I$5:$I$2004,3))</f>
        <v/>
      </c>
      <c r="M15" s="26" t="str">
        <f aca="false">IF(H15="","",MIN(J15:L15))</f>
        <v/>
      </c>
      <c r="N15" s="18" t="str">
        <f aca="false">IF(H15="","CALIBRAR",IF(M15&gt;=E15,"SUBIR CARGA",IF(M15&lt;D15,"MANTENER · por debajo del rango","MANTENER · sumar repeticiones")))</f>
        <v>CALIBRAR</v>
      </c>
      <c r="O15" s="27" t="str">
        <f aca="false">IF(H15="","",IF(N15="SUBIR CARGA",IF(CONFIGURACIÓN!$C$9="ABAJO",INT((I15+MAX(G15,I15*CONFIGURACIÓN!$C$28))/(G15))*(G15),IF(CONFIGURACIÓN!$C$9="ARRIBA",-INT(-(I15+MAX(G15,I15*CONFIGURACIÓN!$C$28))/(G15))*(G15),ROUND((I15+MAX(G15,I15*CONFIGURACIÓN!$C$28))/(G15),0)*(G15))),I15))</f>
        <v/>
      </c>
      <c r="P15" s="13"/>
      <c r="Q15" s="18" t="str">
        <f aca="false">IF(H15="","Calibrar: carga que permita "&amp;D15&amp;"–"&amp;(D15+2)&amp;" reps @RIR 1–2 en la 1ª serie",IF(N15="SUBIR CARGA","Nueva carga: "&amp;F15&amp;"×"&amp;INDEX(CONFIGURACIÓN!$J$42:$J$56,MATCH($A15,CONFIGURACIÓN!$B$42:$B$56,0))&amp;" aprox.",IF(LEFT(N15,4)="PILA","Pila al máximo: proponer cambio a Remo unilateral con mancuerna","Superar "&amp;J15&amp;"/"&amp;K15&amp;"/"&amp;L15&amp;" con "&amp;I15&amp;" kg → +1 rep por serie hasta "&amp;F15&amp;"×"&amp;E15)))</f>
        <v>Calibrar: carga que permita 8–10 reps @RIR 1–2 en la 1ª serie</v>
      </c>
      <c r="R15" s="28" t="n">
        <f aca="true">IF(ISNUMBER(INDEX(CONFIGURACIÓN!$K$42:$K$56,MATCH($A15,CONFIGURACIÓN!$B$42:$B$56,0))),IF(WEEKDAY(MAX(IF(ISNUMBER(H15),H15,0),TODAY()-1),2)&lt;INDEX(CONFIGURACIÓN!$K$42:$K$56,MATCH($A15,CONFIGURACIÓN!$B$42:$B$56,0)),MAX(IF(ISNUMBER(H15),H15,0),TODAY()-1)+INDEX(CONFIGURACIÓN!$K$42:$K$56,MATCH($A15,CONFIGURACIÓN!$B$42:$B$56,0))-WEEKDAY(MAX(IF(ISNUMBER(H15),H15,0),TODAY()-1),2),IF(WEEKDAY(MAX(IF(ISNUMBER(H15),H15,0),TODAY()-1),2)&lt;IF(ISNUMBER(INDEX(CONFIGURACIÓN!$L$42:$L$56,MATCH($A15,CONFIGURACIÓN!$B$42:$B$56,0))),INDEX(CONFIGURACIÓN!$L$42:$L$56,MATCH($A15,CONFIGURACIÓN!$B$42:$B$56,0)),INDEX(CONFIGURACIÓN!$K$42:$K$56,MATCH($A15,CONFIGURACIÓN!$B$42:$B$56,0))),MAX(IF(ISNUMBER(H15),H15,0),TODAY()-1)+IF(ISNUMBER(INDEX(CONFIGURACIÓN!$L$42:$L$56,MATCH($A15,CONFIGURACIÓN!$B$42:$B$56,0))),INDEX(CONFIGURACIÓN!$L$42:$L$56,MATCH($A15,CONFIGURACIÓN!$B$42:$B$56,0)),INDEX(CONFIGURACIÓN!$K$42:$K$56,MATCH($A15,CONFIGURACIÓN!$B$42:$B$56,0)))-WEEKDAY(MAX(IF(ISNUMBER(H15),H15,0),TODAY()-1),2),MAX(IF(ISNUMBER(H15),H15,0),TODAY()-1)+7-WEEKDAY(MAX(IF(ISNUMBER(H15),H15,0),TODAY()-1),2)+INDEX(CONFIGURACIÓN!$K$42:$K$56,MATCH($A15,CONFIGURACIÓN!$B$42:$B$56,0)))),"")</f>
        <v>46294</v>
      </c>
      <c r="S15" s="11"/>
    </row>
    <row r="16" customFormat="false" ht="23.25" hidden="false" customHeight="true" outlineLevel="0" collapsed="false">
      <c r="A16" s="10" t="s">
        <v>308</v>
      </c>
      <c r="B16" s="10" t="s">
        <v>287</v>
      </c>
      <c r="C16" s="18" t="str">
        <f aca="false">D16&amp;"–"&amp;E16</f>
        <v>3–8</v>
      </c>
      <c r="D16" s="20" t="n">
        <f aca="false">INDEX(CONFIGURACIÓN!$E$42:$E$56,MATCH($A16,CONFIGURACIÓN!$B$42:$B$56,0))</f>
        <v>3</v>
      </c>
      <c r="E16" s="20" t="n">
        <f aca="false">INDEX(CONFIGURACIÓN!$F$42:$F$56,MATCH($A16,CONFIGURACIÓN!$B$42:$B$56,0))</f>
        <v>8</v>
      </c>
      <c r="F16" s="20" t="n">
        <f aca="false">INDEX(CONFIGURACIÓN!$G$42:$G$56,MATCH($A16,CONFIGURACIÓN!$B$42:$B$56,0))</f>
        <v>3</v>
      </c>
      <c r="G16" s="25" t="n">
        <f aca="false">INDEX(CONFIGURACIÓN!$H$42:$H$56,MATCH($A16,CONFIGURACIÓN!$B$42:$B$56,0))</f>
        <v>2</v>
      </c>
      <c r="H16" s="28" t="str">
        <f aca="false">IF(_xlfn.MAXIFS(HISTORIAL!$B$5:$B$2004,HISTORIAL!$E$5:$E$2004,$A16,HISTORIAL!$F$5:$F$2004,"Trabajo")=0,"",_xlfn.MAXIFS(HISTORIAL!$B$5:$B$2004,HISTORIAL!$E$5:$E$2004,$A16,HISTORIAL!$F$5:$F$2004,"Trabajo"))</f>
        <v/>
      </c>
      <c r="I16" s="27" t="str">
        <f aca="false">IF(H16="","",_xlfn.MAXIFS(HISTORIAL!$J$5:$J$2004,HISTORIAL!$E$5:$E$2004,$A16,HISTORIAL!$F$5:$F$2004,"Trabajo",HISTORIAL!$B$5:$B$2004,H16))</f>
        <v/>
      </c>
      <c r="J16" s="26" t="str">
        <f aca="false">IF(H16="","",SUMIFS(HISTORIAL!$K$5:$K$2004,HISTORIAL!$E$5:$E$2004,$A16,HISTORIAL!$F$5:$F$2004,"Trabajo",HISTORIAL!$B$5:$B$2004,H16,HISTORIAL!$I$5:$I$2004,1))</f>
        <v/>
      </c>
      <c r="K16" s="26" t="str">
        <f aca="false">IF(H16="","",SUMIFS(HISTORIAL!$K$5:$K$2004,HISTORIAL!$E$5:$E$2004,$A16,HISTORIAL!$F$5:$F$2004,"Trabajo",HISTORIAL!$B$5:$B$2004,H16,HISTORIAL!$I$5:$I$2004,2))</f>
        <v/>
      </c>
      <c r="L16" s="26" t="str">
        <f aca="false">IF(H16="","",SUMIFS(HISTORIAL!$K$5:$K$2004,HISTORIAL!$E$5:$E$2004,$A16,HISTORIAL!$F$5:$F$2004,"Trabajo",HISTORIAL!$B$5:$B$2004,H16,HISTORIAL!$I$5:$I$2004,3))</f>
        <v/>
      </c>
      <c r="M16" s="26" t="str">
        <f aca="false">IF(H16="","",MIN(J16:L16))</f>
        <v/>
      </c>
      <c r="N16" s="18" t="str">
        <f aca="false">IF(H16="","CALIBRAR",IF(M16&gt;=E16,"SUBIR CARGA",IF(M16&lt;D16,"MANTENER · por debajo del rango","MANTENER · sumar repeticiones")))</f>
        <v>CALIBRAR</v>
      </c>
      <c r="O16" s="27" t="str">
        <f aca="false">IF(H16="","",IF(N16="SUBIR CARGA",IF(CONFIGURACIÓN!$C$9="ABAJO",INT((I16+MAX(G16,I16*CONFIGURACIÓN!$C$28))/(G16))*(G16),IF(CONFIGURACIÓN!$C$9="ARRIBA",-INT(-(I16+MAX(G16,I16*CONFIGURACIÓN!$C$28))/(G16))*(G16),ROUND((I16+MAX(G16,I16*CONFIGURACIÓN!$C$28))/(G16),0)*(G16))),I16))</f>
        <v/>
      </c>
      <c r="P16" s="13"/>
      <c r="Q16" s="18" t="str">
        <f aca="false">IF(H16="","Calibrar: carga que permita "&amp;D16&amp;"–"&amp;(D16+2)&amp;" reps @RIR 1–2 en la 1ª serie",IF(N16="SUBIR CARGA","Nueva carga: "&amp;F16&amp;"×"&amp;INDEX(CONFIGURACIÓN!$J$42:$J$56,MATCH($A16,CONFIGURACIÓN!$B$42:$B$56,0))&amp;" aprox.",IF(LEFT(N16,4)="PILA","Pila al máximo: proponer cambio a Remo unilateral con mancuerna","Superar "&amp;J16&amp;"/"&amp;K16&amp;"/"&amp;L16&amp;" con "&amp;I16&amp;" kg → +1 rep por serie hasta "&amp;F16&amp;"×"&amp;E16)))</f>
        <v>Calibrar: carga que permita 3–5 reps @RIR 1–2 en la 1ª serie</v>
      </c>
      <c r="R16" s="28" t="n">
        <f aca="true">IF(ISNUMBER(INDEX(CONFIGURACIÓN!$K$42:$K$56,MATCH($A16,CONFIGURACIÓN!$B$42:$B$56,0))),IF(WEEKDAY(MAX(IF(ISNUMBER(H16),H16,0),TODAY()-1),2)&lt;INDEX(CONFIGURACIÓN!$K$42:$K$56,MATCH($A16,CONFIGURACIÓN!$B$42:$B$56,0)),MAX(IF(ISNUMBER(H16),H16,0),TODAY()-1)+INDEX(CONFIGURACIÓN!$K$42:$K$56,MATCH($A16,CONFIGURACIÓN!$B$42:$B$56,0))-WEEKDAY(MAX(IF(ISNUMBER(H16),H16,0),TODAY()-1),2),IF(WEEKDAY(MAX(IF(ISNUMBER(H16),H16,0),TODAY()-1),2)&lt;IF(ISNUMBER(INDEX(CONFIGURACIÓN!$L$42:$L$56,MATCH($A16,CONFIGURACIÓN!$B$42:$B$56,0))),INDEX(CONFIGURACIÓN!$L$42:$L$56,MATCH($A16,CONFIGURACIÓN!$B$42:$B$56,0)),INDEX(CONFIGURACIÓN!$K$42:$K$56,MATCH($A16,CONFIGURACIÓN!$B$42:$B$56,0))),MAX(IF(ISNUMBER(H16),H16,0),TODAY()-1)+IF(ISNUMBER(INDEX(CONFIGURACIÓN!$L$42:$L$56,MATCH($A16,CONFIGURACIÓN!$B$42:$B$56,0))),INDEX(CONFIGURACIÓN!$L$42:$L$56,MATCH($A16,CONFIGURACIÓN!$B$42:$B$56,0)),INDEX(CONFIGURACIÓN!$K$42:$K$56,MATCH($A16,CONFIGURACIÓN!$B$42:$B$56,0)))-WEEKDAY(MAX(IF(ISNUMBER(H16),H16,0),TODAY()-1),2),MAX(IF(ISNUMBER(H16),H16,0),TODAY()-1)+7-WEEKDAY(MAX(IF(ISNUMBER(H16),H16,0),TODAY()-1),2)+INDEX(CONFIGURACIÓN!$K$42:$K$56,MATCH($A16,CONFIGURACIÓN!$B$42:$B$56,0)))),"")</f>
        <v>46294</v>
      </c>
      <c r="S16" s="11"/>
    </row>
    <row r="17" customFormat="false" ht="23.25" hidden="false" customHeight="true" outlineLevel="0" collapsed="false">
      <c r="A17" s="10" t="s">
        <v>309</v>
      </c>
      <c r="B17" s="10" t="s">
        <v>310</v>
      </c>
      <c r="C17" s="18" t="str">
        <f aca="false">D17&amp;"–"&amp;E17</f>
        <v>3–3</v>
      </c>
      <c r="D17" s="20" t="n">
        <f aca="false">INDEX(CONFIGURACIÓN!$E$42:$E$56,MATCH($A17,CONFIGURACIÓN!$B$42:$B$56,0))</f>
        <v>3</v>
      </c>
      <c r="E17" s="20" t="n">
        <f aca="false">INDEX(CONFIGURACIÓN!$F$42:$F$56,MATCH($A17,CONFIGURACIÓN!$B$42:$B$56,0))</f>
        <v>3</v>
      </c>
      <c r="F17" s="20" t="n">
        <f aca="false">INDEX(CONFIGURACIÓN!$G$42:$G$56,MATCH($A17,CONFIGURACIÓN!$B$42:$B$56,0))</f>
        <v>4</v>
      </c>
      <c r="G17" s="25" t="n">
        <f aca="false">INDEX(CONFIGURACIÓN!$H$42:$H$56,MATCH($A17,CONFIGURACIÓN!$B$42:$B$56,0))</f>
        <v>0</v>
      </c>
      <c r="H17" s="28" t="str">
        <f aca="false">IF(_xlfn.MAXIFS(HISTORIAL!$B$5:$B$2004,HISTORIAL!$E$5:$E$2004,$A17,HISTORIAL!$F$5:$F$2004,"Potencia")=0,"",_xlfn.MAXIFS(HISTORIAL!$B$5:$B$2004,HISTORIAL!$E$5:$E$2004,$A17,HISTORIAL!$F$5:$F$2004,"Potencia"))</f>
        <v/>
      </c>
      <c r="I17" s="27" t="str">
        <f aca="false">IF(H17="","",_xlfn.MAXIFS(HISTORIAL!$J$5:$J$2004,HISTORIAL!$E$5:$E$2004,$A17,HISTORIAL!$F$5:$F$2004,"Potencia",HISTORIAL!$B$5:$B$2004,H17))</f>
        <v/>
      </c>
      <c r="J17" s="26" t="str">
        <f aca="false">IF(H17="","",SUMIFS(HISTORIAL!$K$5:$K$2004,HISTORIAL!$E$5:$E$2004,$A17,HISTORIAL!$F$5:$F$2004,"Potencia",HISTORIAL!$B$5:$B$2004,H17,HISTORIAL!$I$5:$I$2004,1))</f>
        <v/>
      </c>
      <c r="K17" s="26" t="str">
        <f aca="false">IF(H17="","",SUMIFS(HISTORIAL!$K$5:$K$2004,HISTORIAL!$E$5:$E$2004,$A17,HISTORIAL!$F$5:$F$2004,"Potencia",HISTORIAL!$B$5:$B$2004,H17,HISTORIAL!$I$5:$I$2004,2))</f>
        <v/>
      </c>
      <c r="L17" s="26" t="str">
        <f aca="false">IF(H17="","",SUMIFS(HISTORIAL!$K$5:$K$2004,HISTORIAL!$E$5:$E$2004,$A17,HISTORIAL!$F$5:$F$2004,"Potencia",HISTORIAL!$B$5:$B$2004,H17,HISTORIAL!$I$5:$I$2004,3))</f>
        <v/>
      </c>
      <c r="M17" s="26" t="str">
        <f aca="false">IF(H17="","",MIN(J17:L17))</f>
        <v/>
      </c>
      <c r="N17" s="18" t="str">
        <f aca="false">IF(H17="","CALIBRAR",IF(COUNTIFS(HISTORIAL!$E$5:$E$2004,$A17,HISTORIAL!$F$5:$F$2004,"Potencia",HISTORIAL!$B$5:$B$2004,H17,HISTORIAL!$P$5:$P$2004,"C")&gt;0,"BAJAR carga o volumen",IF(COUNTIFS(HISTORIAL!$E$5:$E$2004,$A17,HISTORIAL!$F$5:$F$2004,"Potencia",HISTORIAL!$B$5:$B$2004,H17,HISTORIAL!$P$5:$P$2004,"A")=COUNTIFS(HISTORIAL!$E$5:$E$2004,$A17,HISTORIAL!$F$5:$F$2004,"Potencia",HISTORIAL!$B$5:$B$2004,H17),"SUBIR ligeramente","MANTENER")))</f>
        <v>CALIBRAR</v>
      </c>
      <c r="O17" s="27" t="n">
        <v>0</v>
      </c>
      <c r="P17" s="13" t="n">
        <v>0</v>
      </c>
      <c r="Q17" s="18" t="str">
        <f aca="false">F17&amp;"×"&amp;D17&amp;" a máxima velocidad, técnica perfecta. Si la velocidad cae: bajar carga/volumen o terminar."</f>
        <v>4×3 a máxima velocidad, técnica perfecta. Si la velocidad cae: bajar carga/volumen o terminar.</v>
      </c>
      <c r="R17" s="28" t="n">
        <f aca="true">IF(ISNUMBER(INDEX(CONFIGURACIÓN!$K$42:$K$56,MATCH($A17,CONFIGURACIÓN!$B$42:$B$56,0))),IF(WEEKDAY(MAX(IF(ISNUMBER(H17),H17,0),TODAY()-1),2)&lt;INDEX(CONFIGURACIÓN!$K$42:$K$56,MATCH($A17,CONFIGURACIÓN!$B$42:$B$56,0)),MAX(IF(ISNUMBER(H17),H17,0),TODAY()-1)+INDEX(CONFIGURACIÓN!$K$42:$K$56,MATCH($A17,CONFIGURACIÓN!$B$42:$B$56,0))-WEEKDAY(MAX(IF(ISNUMBER(H17),H17,0),TODAY()-1),2),IF(WEEKDAY(MAX(IF(ISNUMBER(H17),H17,0),TODAY()-1),2)&lt;IF(ISNUMBER(INDEX(CONFIGURACIÓN!$L$42:$L$56,MATCH($A17,CONFIGURACIÓN!$B$42:$B$56,0))),INDEX(CONFIGURACIÓN!$L$42:$L$56,MATCH($A17,CONFIGURACIÓN!$B$42:$B$56,0)),INDEX(CONFIGURACIÓN!$K$42:$K$56,MATCH($A17,CONFIGURACIÓN!$B$42:$B$56,0))),MAX(IF(ISNUMBER(H17),H17,0),TODAY()-1)+IF(ISNUMBER(INDEX(CONFIGURACIÓN!$L$42:$L$56,MATCH($A17,CONFIGURACIÓN!$B$42:$B$56,0))),INDEX(CONFIGURACIÓN!$L$42:$L$56,MATCH($A17,CONFIGURACIÓN!$B$42:$B$56,0)),INDEX(CONFIGURACIÓN!$K$42:$K$56,MATCH($A17,CONFIGURACIÓN!$B$42:$B$56,0)))-WEEKDAY(MAX(IF(ISNUMBER(H17),H17,0),TODAY()-1),2),MAX(IF(ISNUMBER(H17),H17,0),TODAY()-1)+7-WEEKDAY(MAX(IF(ISNUMBER(H17),H17,0),TODAY()-1),2)+INDEX(CONFIGURACIÓN!$K$42:$K$56,MATCH($A17,CONFIGURACIÓN!$B$42:$B$56,0)))),"")</f>
        <v>46295</v>
      </c>
      <c r="S17" s="11" t="s">
        <v>489</v>
      </c>
    </row>
    <row r="18" customFormat="false" ht="23.25" hidden="false" customHeight="true" outlineLevel="0" collapsed="false">
      <c r="A18" s="10" t="s">
        <v>315</v>
      </c>
      <c r="B18" s="10" t="s">
        <v>310</v>
      </c>
      <c r="C18" s="18" t="str">
        <f aca="false">D18&amp;"–"&amp;E18</f>
        <v>3–3</v>
      </c>
      <c r="D18" s="20" t="n">
        <f aca="false">INDEX(CONFIGURACIÓN!$E$42:$E$56,MATCH($A18,CONFIGURACIÓN!$B$42:$B$56,0))</f>
        <v>3</v>
      </c>
      <c r="E18" s="20" t="n">
        <f aca="false">INDEX(CONFIGURACIÓN!$F$42:$F$56,MATCH($A18,CONFIGURACIÓN!$B$42:$B$56,0))</f>
        <v>3</v>
      </c>
      <c r="F18" s="20" t="n">
        <f aca="false">INDEX(CONFIGURACIÓN!$G$42:$G$56,MATCH($A18,CONFIGURACIÓN!$B$42:$B$56,0))</f>
        <v>5</v>
      </c>
      <c r="G18" s="25" t="n">
        <f aca="false">INDEX(CONFIGURACIÓN!$H$42:$H$56,MATCH($A18,CONFIGURACIÓN!$B$42:$B$56,0))</f>
        <v>2</v>
      </c>
      <c r="H18" s="28" t="str">
        <f aca="false">IF(_xlfn.MAXIFS(HISTORIAL!$B$5:$B$2004,HISTORIAL!$E$5:$E$2004,$A18,HISTORIAL!$F$5:$F$2004,"Potencia")=0,"",_xlfn.MAXIFS(HISTORIAL!$B$5:$B$2004,HISTORIAL!$E$5:$E$2004,$A18,HISTORIAL!$F$5:$F$2004,"Potencia"))</f>
        <v/>
      </c>
      <c r="I18" s="27" t="str">
        <f aca="false">IF(H18="","",_xlfn.MAXIFS(HISTORIAL!$J$5:$J$2004,HISTORIAL!$E$5:$E$2004,$A18,HISTORIAL!$F$5:$F$2004,"Potencia",HISTORIAL!$B$5:$B$2004,H18))</f>
        <v/>
      </c>
      <c r="J18" s="26" t="str">
        <f aca="false">IF(H18="","",SUMIFS(HISTORIAL!$K$5:$K$2004,HISTORIAL!$E$5:$E$2004,$A18,HISTORIAL!$F$5:$F$2004,"Potencia",HISTORIAL!$B$5:$B$2004,H18,HISTORIAL!$I$5:$I$2004,1))</f>
        <v/>
      </c>
      <c r="K18" s="26" t="str">
        <f aca="false">IF(H18="","",SUMIFS(HISTORIAL!$K$5:$K$2004,HISTORIAL!$E$5:$E$2004,$A18,HISTORIAL!$F$5:$F$2004,"Potencia",HISTORIAL!$B$5:$B$2004,H18,HISTORIAL!$I$5:$I$2004,2))</f>
        <v/>
      </c>
      <c r="L18" s="26" t="str">
        <f aca="false">IF(H18="","",SUMIFS(HISTORIAL!$K$5:$K$2004,HISTORIAL!$E$5:$E$2004,$A18,HISTORIAL!$F$5:$F$2004,"Potencia",HISTORIAL!$B$5:$B$2004,H18,HISTORIAL!$I$5:$I$2004,3))</f>
        <v/>
      </c>
      <c r="M18" s="26" t="str">
        <f aca="false">IF(H18="","",MIN(J18:L18))</f>
        <v/>
      </c>
      <c r="N18" s="18" t="str">
        <f aca="false">IF(H18="","CALIBRAR",IF(COUNTIFS(HISTORIAL!$E$5:$E$2004,$A18,HISTORIAL!$F$5:$F$2004,"Potencia",HISTORIAL!$B$5:$B$2004,H18,HISTORIAL!$P$5:$P$2004,"C")&gt;0,"BAJAR carga o volumen",IF(COUNTIFS(HISTORIAL!$E$5:$E$2004,$A18,HISTORIAL!$F$5:$F$2004,"Potencia",HISTORIAL!$B$5:$B$2004,H18,HISTORIAL!$P$5:$P$2004,"A")=COUNTIFS(HISTORIAL!$E$5:$E$2004,$A18,HISTORIAL!$F$5:$F$2004,"Potencia",HISTORIAL!$B$5:$B$2004,H18),"SUBIR ligeramente","MANTENER")))</f>
        <v>CALIBRAR</v>
      </c>
      <c r="O18" s="27" t="str">
        <f aca="false">IF(H18="",IF(ISNUMBER('ESTADO ACTUAL'!$O$6),INT(('ESTADO ACTUAL'!$O$6*CONFIGURACIÓN!$C$35)/(G18))*(G18),""),IF(N18="SUBIR ligeramente",I18+G18,IF(N18="BAJAR carga o volumen",MAX(0,I18-2*G18),I18)))</f>
        <v/>
      </c>
      <c r="P18" s="13"/>
      <c r="Q18" s="18" t="str">
        <f aca="false">F18&amp;"×"&amp;D18&amp;" a máxima velocidad, técnica perfecta. Si la velocidad cae: bajar carga/volumen o terminar."</f>
        <v>5×3 a máxima velocidad, técnica perfecta. Si la velocidad cae: bajar carga/volumen o terminar.</v>
      </c>
      <c r="R18" s="28" t="n">
        <f aca="true">IF(ISNUMBER(INDEX(CONFIGURACIÓN!$K$42:$K$56,MATCH($A18,CONFIGURACIÓN!$B$42:$B$56,0))),IF(WEEKDAY(MAX(IF(ISNUMBER(H18),H18,0),TODAY()-1),2)&lt;INDEX(CONFIGURACIÓN!$K$42:$K$56,MATCH($A18,CONFIGURACIÓN!$B$42:$B$56,0)),MAX(IF(ISNUMBER(H18),H18,0),TODAY()-1)+INDEX(CONFIGURACIÓN!$K$42:$K$56,MATCH($A18,CONFIGURACIÓN!$B$42:$B$56,0))-WEEKDAY(MAX(IF(ISNUMBER(H18),H18,0),TODAY()-1),2),IF(WEEKDAY(MAX(IF(ISNUMBER(H18),H18,0),TODAY()-1),2)&lt;IF(ISNUMBER(INDEX(CONFIGURACIÓN!$L$42:$L$56,MATCH($A18,CONFIGURACIÓN!$B$42:$B$56,0))),INDEX(CONFIGURACIÓN!$L$42:$L$56,MATCH($A18,CONFIGURACIÓN!$B$42:$B$56,0)),INDEX(CONFIGURACIÓN!$K$42:$K$56,MATCH($A18,CONFIGURACIÓN!$B$42:$B$56,0))),MAX(IF(ISNUMBER(H18),H18,0),TODAY()-1)+IF(ISNUMBER(INDEX(CONFIGURACIÓN!$L$42:$L$56,MATCH($A18,CONFIGURACIÓN!$B$42:$B$56,0))),INDEX(CONFIGURACIÓN!$L$42:$L$56,MATCH($A18,CONFIGURACIÓN!$B$42:$B$56,0)),INDEX(CONFIGURACIÓN!$K$42:$K$56,MATCH($A18,CONFIGURACIÓN!$B$42:$B$56,0)))-WEEKDAY(MAX(IF(ISNUMBER(H18),H18,0),TODAY()-1),2),MAX(IF(ISNUMBER(H18),H18,0),TODAY()-1)+7-WEEKDAY(MAX(IF(ISNUMBER(H18),H18,0),TODAY()-1),2)+INDEX(CONFIGURACIÓN!$K$42:$K$56,MATCH($A18,CONFIGURACIÓN!$B$42:$B$56,0)))),"")</f>
        <v>46295</v>
      </c>
      <c r="S18" s="11"/>
    </row>
    <row r="19" customFormat="false" ht="23.25" hidden="false" customHeight="true" outlineLevel="0" collapsed="false">
      <c r="A19" s="10" t="s">
        <v>318</v>
      </c>
      <c r="B19" s="10" t="s">
        <v>310</v>
      </c>
      <c r="C19" s="18" t="str">
        <f aca="false">D19&amp;"–"&amp;E19</f>
        <v>2–2</v>
      </c>
      <c r="D19" s="20" t="n">
        <f aca="false">INDEX(CONFIGURACIÓN!$E$42:$E$56,MATCH($A19,CONFIGURACIÓN!$B$42:$B$56,0))</f>
        <v>2</v>
      </c>
      <c r="E19" s="20" t="n">
        <f aca="false">INDEX(CONFIGURACIÓN!$F$42:$F$56,MATCH($A19,CONFIGURACIÓN!$B$42:$B$56,0))</f>
        <v>2</v>
      </c>
      <c r="F19" s="20" t="n">
        <f aca="false">INDEX(CONFIGURACIÓN!$G$42:$G$56,MATCH($A19,CONFIGURACIÓN!$B$42:$B$56,0))</f>
        <v>5</v>
      </c>
      <c r="G19" s="25" t="n">
        <f aca="false">INDEX(CONFIGURACIÓN!$H$42:$H$56,MATCH($A19,CONFIGURACIÓN!$B$42:$B$56,0))</f>
        <v>2</v>
      </c>
      <c r="H19" s="28" t="str">
        <f aca="false">IF(_xlfn.MAXIFS(HISTORIAL!$B$5:$B$2004,HISTORIAL!$E$5:$E$2004,$A19,HISTORIAL!$F$5:$F$2004,"Potencia")=0,"",_xlfn.MAXIFS(HISTORIAL!$B$5:$B$2004,HISTORIAL!$E$5:$E$2004,$A19,HISTORIAL!$F$5:$F$2004,"Potencia"))</f>
        <v/>
      </c>
      <c r="I19" s="27" t="str">
        <f aca="false">IF(H19="","",_xlfn.MAXIFS(HISTORIAL!$J$5:$J$2004,HISTORIAL!$E$5:$E$2004,$A19,HISTORIAL!$F$5:$F$2004,"Potencia",HISTORIAL!$B$5:$B$2004,H19))</f>
        <v/>
      </c>
      <c r="J19" s="26" t="str">
        <f aca="false">IF(H19="","",SUMIFS(HISTORIAL!$K$5:$K$2004,HISTORIAL!$E$5:$E$2004,$A19,HISTORIAL!$F$5:$F$2004,"Potencia",HISTORIAL!$B$5:$B$2004,H19,HISTORIAL!$I$5:$I$2004,1))</f>
        <v/>
      </c>
      <c r="K19" s="26" t="str">
        <f aca="false">IF(H19="","",SUMIFS(HISTORIAL!$K$5:$K$2004,HISTORIAL!$E$5:$E$2004,$A19,HISTORIAL!$F$5:$F$2004,"Potencia",HISTORIAL!$B$5:$B$2004,H19,HISTORIAL!$I$5:$I$2004,2))</f>
        <v/>
      </c>
      <c r="L19" s="26" t="str">
        <f aca="false">IF(H19="","",SUMIFS(HISTORIAL!$K$5:$K$2004,HISTORIAL!$E$5:$E$2004,$A19,HISTORIAL!$F$5:$F$2004,"Potencia",HISTORIAL!$B$5:$B$2004,H19,HISTORIAL!$I$5:$I$2004,3))</f>
        <v/>
      </c>
      <c r="M19" s="26" t="str">
        <f aca="false">IF(H19="","",MIN(J19:L19))</f>
        <v/>
      </c>
      <c r="N19" s="18" t="str">
        <f aca="false">IF(H19="","CALIBRAR",IF(COUNTIFS(HISTORIAL!$E$5:$E$2004,$A19,HISTORIAL!$F$5:$F$2004,"Potencia",HISTORIAL!$B$5:$B$2004,H19,HISTORIAL!$P$5:$P$2004,"C")&gt;0,"BAJAR carga o volumen",IF(COUNTIFS(HISTORIAL!$E$5:$E$2004,$A19,HISTORIAL!$F$5:$F$2004,"Potencia",HISTORIAL!$B$5:$B$2004,H19,HISTORIAL!$P$5:$P$2004,"A")=COUNTIFS(HISTORIAL!$E$5:$E$2004,$A19,HISTORIAL!$F$5:$F$2004,"Potencia",HISTORIAL!$B$5:$B$2004,H19),"SUBIR ligeramente","MANTENER")))</f>
        <v>CALIBRAR</v>
      </c>
      <c r="O19" s="27" t="str">
        <f aca="false">IF(H19="",IF(ISNUMBER($P$9),INT(($P$9*CONFIGURACIÓN!$C$36)/(G19))*(G19),""),IF(N19="SUBIR ligeramente",I19+G19,IF(N19="BAJAR carga o volumen",MAX(0,I19-2*G19),I19)))</f>
        <v/>
      </c>
      <c r="P19" s="13"/>
      <c r="Q19" s="18" t="str">
        <f aca="false">F19&amp;"×"&amp;D19&amp;" a máxima velocidad, técnica perfecta. Si la velocidad cae: bajar carga/volumen o terminar."</f>
        <v>5×2 a máxima velocidad, técnica perfecta. Si la velocidad cae: bajar carga/volumen o terminar.</v>
      </c>
      <c r="R19" s="28" t="n">
        <f aca="true">IF(ISNUMBER(INDEX(CONFIGURACIÓN!$K$42:$K$56,MATCH($A19,CONFIGURACIÓN!$B$42:$B$56,0))),IF(WEEKDAY(MAX(IF(ISNUMBER(H19),H19,0),TODAY()-1),2)&lt;INDEX(CONFIGURACIÓN!$K$42:$K$56,MATCH($A19,CONFIGURACIÓN!$B$42:$B$56,0)),MAX(IF(ISNUMBER(H19),H19,0),TODAY()-1)+INDEX(CONFIGURACIÓN!$K$42:$K$56,MATCH($A19,CONFIGURACIÓN!$B$42:$B$56,0))-WEEKDAY(MAX(IF(ISNUMBER(H19),H19,0),TODAY()-1),2),IF(WEEKDAY(MAX(IF(ISNUMBER(H19),H19,0),TODAY()-1),2)&lt;IF(ISNUMBER(INDEX(CONFIGURACIÓN!$L$42:$L$56,MATCH($A19,CONFIGURACIÓN!$B$42:$B$56,0))),INDEX(CONFIGURACIÓN!$L$42:$L$56,MATCH($A19,CONFIGURACIÓN!$B$42:$B$56,0)),INDEX(CONFIGURACIÓN!$K$42:$K$56,MATCH($A19,CONFIGURACIÓN!$B$42:$B$56,0))),MAX(IF(ISNUMBER(H19),H19,0),TODAY()-1)+IF(ISNUMBER(INDEX(CONFIGURACIÓN!$L$42:$L$56,MATCH($A19,CONFIGURACIÓN!$B$42:$B$56,0))),INDEX(CONFIGURACIÓN!$L$42:$L$56,MATCH($A19,CONFIGURACIÓN!$B$42:$B$56,0)),INDEX(CONFIGURACIÓN!$K$42:$K$56,MATCH($A19,CONFIGURACIÓN!$B$42:$B$56,0)))-WEEKDAY(MAX(IF(ISNUMBER(H19),H19,0),TODAY()-1),2),MAX(IF(ISNUMBER(H19),H19,0),TODAY()-1)+7-WEEKDAY(MAX(IF(ISNUMBER(H19),H19,0),TODAY()-1),2)+INDEX(CONFIGURACIÓN!$K$42:$K$56,MATCH($A19,CONFIGURACIÓN!$B$42:$B$56,0)))),"")</f>
        <v>46295</v>
      </c>
      <c r="S19" s="11"/>
    </row>
    <row r="21" customFormat="false" ht="15" hidden="false" customHeight="true" outlineLevel="0" collapsed="false">
      <c r="A21" s="33" t="s">
        <v>490</v>
      </c>
    </row>
    <row r="22" customFormat="false" ht="15" hidden="false" customHeight="true" outlineLevel="0" collapsed="false">
      <c r="A22" s="4" t="s">
        <v>491</v>
      </c>
    </row>
    <row r="23" customFormat="false" ht="15" hidden="false" customHeight="true" outlineLevel="0" collapsed="false">
      <c r="A23" s="4" t="s">
        <v>492</v>
      </c>
    </row>
    <row r="24" customFormat="false" ht="15" hidden="false" customHeight="true" outlineLevel="0" collapsed="false">
      <c r="A24" s="4" t="s">
        <v>493</v>
      </c>
    </row>
    <row r="25" customFormat="false" ht="15" hidden="false" customHeight="true" outlineLevel="0" collapsed="false">
      <c r="A25" s="4" t="s">
        <v>494</v>
      </c>
    </row>
    <row r="26" customFormat="false" ht="15" hidden="false" customHeight="true" outlineLevel="0" collapsed="false">
      <c r="A26" s="4" t="s">
        <v>495</v>
      </c>
    </row>
    <row r="27" customFormat="false" ht="15" hidden="false" customHeight="true" outlineLevel="0" collapsed="false">
      <c r="A27" s="4" t="s">
        <v>496</v>
      </c>
    </row>
    <row r="28" customFormat="false" ht="15" hidden="false" customHeight="true" outlineLevel="0" collapsed="false">
      <c r="A28" s="4" t="s">
        <v>497</v>
      </c>
    </row>
    <row r="29" customFormat="false" ht="15" hidden="false" customHeight="true" outlineLevel="0" collapsed="false">
      <c r="A29" s="4" t="s">
        <v>498</v>
      </c>
    </row>
  </sheetData>
  <conditionalFormatting sqref="N6:N19">
    <cfRule type="expression" priority="2" aboveAverage="0" equalAverage="0" bottom="0" percent="0" rank="0" text="" dxfId="8">
      <formula>LEFT(N6,5)="SUBIR"</formula>
    </cfRule>
    <cfRule type="expression" priority="3" aboveAverage="0" equalAverage="0" bottom="0" percent="0" rank="0" text="" dxfId="6">
      <formula>OR(LEFT(N6,5)="BAJAR",LEFT(N6,4)="PILA")</formula>
    </cfRule>
    <cfRule type="expression" priority="4" aboveAverage="0" equalAverage="0" bottom="0" percent="0" rank="0" text="" dxfId="7">
      <formula>LEFT(N6,8)="CALIBRAR"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3" min="3" style="1" width="12"/>
    <col collapsed="false" customWidth="true" hidden="false" outlineLevel="0" max="5" min="4" style="1" width="14"/>
    <col collapsed="false" customWidth="true" hidden="false" outlineLevel="0" max="6" min="6" style="1" width="13"/>
    <col collapsed="false" customWidth="true" hidden="false" outlineLevel="0" max="7" min="7" style="1" width="7"/>
    <col collapsed="false" customWidth="true" hidden="false" outlineLevel="0" max="8" min="8" style="1" width="36"/>
    <col collapsed="false" customWidth="true" hidden="false" outlineLevel="0" max="9" min="9" style="1" width="12"/>
    <col collapsed="false" customWidth="true" hidden="false" outlineLevel="0" max="10" min="10" style="1" width="18"/>
    <col collapsed="false" customWidth="true" hidden="false" outlineLevel="0" max="11" min="11" style="1" width="38"/>
    <col collapsed="false" customWidth="true" hidden="false" outlineLevel="0" max="12" min="12" style="1" width="34"/>
    <col collapsed="false" customWidth="true" hidden="false" outlineLevel="0" max="13" min="13" style="1" width="30"/>
  </cols>
  <sheetData>
    <row r="1" customFormat="false" ht="27.75" hidden="false" customHeight="true" outlineLevel="0" collapsed="false">
      <c r="A1" s="2" t="s">
        <v>499</v>
      </c>
      <c r="B1" s="3"/>
      <c r="C1" s="3"/>
      <c r="D1" s="3"/>
      <c r="E1" s="3"/>
      <c r="F1" s="3"/>
      <c r="G1" s="3"/>
      <c r="H1" s="3"/>
      <c r="I1" s="3"/>
      <c r="J1" s="3"/>
      <c r="K1" s="3"/>
      <c r="L1" s="3"/>
      <c r="M1" s="3"/>
    </row>
    <row r="2" customFormat="false" ht="15" hidden="false" customHeight="true" outlineLevel="0" collapsed="false">
      <c r="A2" s="4" t="s">
        <v>500</v>
      </c>
    </row>
    <row r="3" customFormat="false" ht="15" hidden="false" customHeight="true" outlineLevel="0" collapsed="false">
      <c r="A3" s="4" t="s">
        <v>191</v>
      </c>
    </row>
    <row r="5" customFormat="false" ht="15" hidden="false" customHeight="true" outlineLevel="0" collapsed="false">
      <c r="A5" s="34" t="s">
        <v>501</v>
      </c>
      <c r="B5" s="34"/>
      <c r="C5" s="35" t="n">
        <f aca="true">IF(WEEKDAY(TODAY(),2)&gt;5,TODAY()+8-WEEKDAY(TODAY(),2),TODAY())</f>
        <v>46293</v>
      </c>
      <c r="D5" s="35"/>
      <c r="E5" s="35"/>
      <c r="F5" s="35"/>
      <c r="G5" s="35"/>
      <c r="H5" s="35"/>
    </row>
    <row r="6" customFormat="false" ht="15" hidden="false" customHeight="true" outlineLevel="0" collapsed="false">
      <c r="A6" s="34" t="s">
        <v>502</v>
      </c>
      <c r="B6" s="34"/>
      <c r="C6" s="18" t="str">
        <f aca="false">CHOOSE(WEEKDAY(C5,2),"LUNES","MARTES","MIÉRCOLES","JUEVES","VIERNES","SÁBADO","DOMINGO")</f>
        <v>LUNES</v>
      </c>
      <c r="D6" s="18"/>
      <c r="E6" s="18"/>
      <c r="F6" s="18"/>
      <c r="G6" s="18"/>
      <c r="H6" s="18"/>
    </row>
    <row r="7" customFormat="false" ht="15" hidden="false" customHeight="true" outlineLevel="0" collapsed="false">
      <c r="A7" s="34" t="s">
        <v>503</v>
      </c>
      <c r="B7" s="34"/>
      <c r="C7" s="11"/>
      <c r="D7" s="11"/>
      <c r="E7" s="11"/>
      <c r="F7" s="11"/>
      <c r="G7" s="11"/>
      <c r="H7" s="11"/>
    </row>
    <row r="8" customFormat="false" ht="15" hidden="false" customHeight="true" outlineLevel="0" collapsed="false">
      <c r="A8" s="34" t="s">
        <v>504</v>
      </c>
      <c r="B8" s="34"/>
      <c r="C8" s="18" t="str">
        <f aca="false">IF(C7&lt;&gt;"",C7,C6)</f>
        <v>LUNES</v>
      </c>
      <c r="D8" s="18"/>
      <c r="E8" s="18"/>
      <c r="F8" s="18"/>
      <c r="G8" s="18"/>
      <c r="H8" s="18"/>
    </row>
    <row r="9" customFormat="false" ht="15" hidden="false" customHeight="true" outlineLevel="0" collapsed="false">
      <c r="A9" s="34" t="s">
        <v>336</v>
      </c>
      <c r="B9" s="34"/>
      <c r="C9" s="18" t="str">
        <f aca="false">IFERROR(INDEX('PLAN SEMANAL'!$D$5:$D$32,MATCH(C8&amp;"|1",'PLAN SEMANAL'!$A$5:$A$32,0)),"DESCANSO (fin de semana)")</f>
        <v>EMPUJE</v>
      </c>
      <c r="D9" s="18"/>
      <c r="E9" s="18"/>
      <c r="F9" s="18"/>
      <c r="G9" s="18"/>
      <c r="H9" s="18"/>
    </row>
    <row r="10" customFormat="false" ht="30" hidden="false" customHeight="true" outlineLevel="0" collapsed="false">
      <c r="A10" s="34" t="s">
        <v>505</v>
      </c>
      <c r="B10" s="34"/>
      <c r="C10" s="20" t="str">
        <f aca="false">IF(C8="MIÉRCOLES",CONFIGURACIÓN!$C$38,CONFIGURACIÓN!$C$37)</f>
        <v>Cuello y hombros (círculos, dislocaciones con palo/banda) · rotaciones torácicas · círculos de cadera y 90/90 · tobillo a pared · muñecas</v>
      </c>
      <c r="D10" s="20"/>
      <c r="E10" s="20"/>
      <c r="F10" s="20"/>
      <c r="G10" s="20"/>
      <c r="H10" s="20"/>
    </row>
    <row r="12" customFormat="false" ht="30" hidden="false" customHeight="true" outlineLevel="0" collapsed="false">
      <c r="A12" s="5" t="s">
        <v>335</v>
      </c>
      <c r="B12" s="5" t="s">
        <v>261</v>
      </c>
      <c r="C12" s="5" t="s">
        <v>474</v>
      </c>
      <c r="D12" s="5" t="s">
        <v>506</v>
      </c>
      <c r="E12" s="5" t="s">
        <v>507</v>
      </c>
      <c r="F12" s="5" t="s">
        <v>508</v>
      </c>
      <c r="G12" s="5" t="s">
        <v>266</v>
      </c>
      <c r="H12" s="5" t="s">
        <v>509</v>
      </c>
      <c r="I12" s="5" t="s">
        <v>339</v>
      </c>
      <c r="J12" s="5" t="s">
        <v>272</v>
      </c>
      <c r="K12" s="5" t="s">
        <v>510</v>
      </c>
      <c r="L12" s="5" t="s">
        <v>273</v>
      </c>
      <c r="M12" s="5" t="s">
        <v>511</v>
      </c>
    </row>
    <row r="13" customFormat="false" ht="43.5" hidden="false" customHeight="true" outlineLevel="0" collapsed="false">
      <c r="A13" s="18" t="n">
        <f aca="false">IFERROR(IF(INDEX('PLAN SEMANAL'!$C$5:$C$32,MATCH($C$8&amp;"|"&amp;1,'PLAN SEMANAL'!$A$5:$A$32,0))=0,"",INDEX('PLAN SEMANAL'!$C$5:$C$32,MATCH($C$8&amp;"|"&amp;1,'PLAN SEMANAL'!$A$5:$A$32,0))),"")</f>
        <v>1</v>
      </c>
      <c r="B13" s="18" t="str">
        <f aca="false">IFERROR(INDEX('PLAN SEMANAL'!$E$5:$E$32,MATCH($C$8&amp;"|"&amp;1,'PLAN SEMANAL'!$A$5:$A$32,0))&amp;"","")</f>
        <v>Press banca</v>
      </c>
      <c r="C13" s="18" t="str">
        <f aca="false">IFERROR(INDEX('PLAN SEMANAL'!$F$5:$F$32,MATCH($C$8&amp;"|"&amp;1,'PLAN SEMANAL'!$A$5:$A$32,0))&amp;"","")</f>
        <v>Bilbo</v>
      </c>
      <c r="D13" s="18" t="str">
        <f aca="false">IF(B13="","",IF(IFERROR(INDEX('PLAN SEMANAL'!$K$5:$K$32,MATCH($C$8&amp;"|"&amp;1,'PLAN SEMANAL'!$A$5:$A$32,0)),"No")&lt;&gt;"Sí","—",IF(ISNUMBER(F13),MAX(IF(LEFT(INDEX(CONFIGURACIÓN!$D$42:$D$56,MATCH(B13,CONFIGURACIÓN!$B$42:$B$56,0)),5)="Barra",CONFIGURACIÓN!$C$10,0),INT((F13*CONFIGURACIÓN!$C$31)/(INDEX(CONFIGURACIÓN!$H$42:$H$56,MATCH(B13,CONFIGURACIÓN!$B$42:$B$56,0))))*(INDEX(CONFIGURACIÓN!$H$42:$H$56,MATCH(B13,CONFIGURACIÓN!$B$42:$B$56,0))))&amp;" kg × "&amp;CONFIGURACIÓN!$C$32,"Progresiva ×"&amp;CONFIGURACIÓN!$C$32&amp;" (calibración)")))</f>
        <v>Progresiva ×8 (calibración)</v>
      </c>
      <c r="E13" s="18" t="str">
        <f aca="false">IF(B13="","",IF(IFERROR(INDEX('PLAN SEMANAL'!$K$5:$K$32,MATCH($C$8&amp;"|"&amp;1,'PLAN SEMANAL'!$A$5:$A$32,0)),"No")&lt;&gt;"Sí","—",IF(ISNUMBER(F13),MAX(IF(LEFT(INDEX(CONFIGURACIÓN!$D$42:$D$56,MATCH(B13,CONFIGURACIÓN!$B$42:$B$56,0)),5)="Barra",CONFIGURACIÓN!$C$10,0),INT((F13*CONFIGURACIÓN!$C$33)/(INDEX(CONFIGURACIÓN!$H$42:$H$56,MATCH(B13,CONFIGURACIÓN!$B$42:$B$56,0))))*(INDEX(CONFIGURACIÓN!$H$42:$H$56,MATCH(B13,CONFIGURACIÓN!$B$42:$B$56,0))))&amp;" kg × "&amp;CONFIGURACIÓN!$C$34,"Progresiva ×"&amp;CONFIGURACIÓN!$C$34&amp;" (calibración)")))</f>
        <v>Progresiva ×5 (calibración)</v>
      </c>
      <c r="F13" s="27" t="str">
        <f aca="false">IF(B13="","",IFERROR(IF(C13="Bilbo",IF(ISNUMBER(INDEX('ESTADO ACTUAL'!$O$6:$O$8,MATCH(B13,'ESTADO ACTUAL'!$A$6:$A$8,0))),INDEX('ESTADO ACTUAL'!$O$6:$O$8,MATCH(B13,'ESTADO ACTUAL'!$A$6:$A$8,0)),"CALIBRAR (§21)"),IF(C13="Post-Bilbo",IF(ISNUMBER(INDEX('ESTADO ACTUAL'!$AF$6:$AF$8,MATCH(B13,'ESTADO ACTUAL'!$A$6:$A$8,0))),INDEX('ESTADO ACTUAL'!$AF$6:$AF$8,MATCH(B13,'ESTADO ACTUAL'!$A$6:$A$8,0)),"Bilbo × (1+"&amp;ROUND(CONFIGURACIÓN!$C$23*100,1)&amp;"%)"),IF(C13="Movilidad","—",IF(LEFT(INDEX(CONFIGURACIÓN!$D$42:$D$56,MATCH(B13,CONFIGURACIÓN!$B$42:$B$56,0)),4)="Peso","Peso corporal",IF(ISNUMBER(INDEX(PROGRESIONES!$P$6:$P$19,MATCH(B13,PROGRESIONES!$A$6:$A$19,0))),IF(INDEX(PROGRESIONES!$P$6:$P$19,MATCH(B13,PROGRESIONES!$A$6:$A$19,0))=0,"CALIBRAR",INDEX(PROGRESIONES!$P$6:$P$19,MATCH(B13,PROGRESIONES!$A$6:$A$19,0))),"CALIBRAR"))))),"—"))</f>
        <v>CALIBRAR (§21)</v>
      </c>
      <c r="G13" s="18" t="str">
        <f aca="false">IFERROR(INDEX('PLAN SEMANAL'!$G$5:$G$32,MATCH($C$8&amp;"|"&amp;1,'PLAN SEMANAL'!$A$5:$A$32,0))&amp;"","")</f>
        <v>1</v>
      </c>
      <c r="H13" s="18" t="str">
        <f aca="false">IF(B13="","",IF(C13="Bilbo","Máx. explosivas, sin fallo absoluto · esperadas ≈ "&amp;IF(INDEX('ESTADO ACTUAL'!$R$6:$R$8,MATCH(B13,'ESTADO ACTUAL'!$A$6:$A$8,0))="","30–40 (calibración)",INDEX('ESTADO ACTUAL'!$R$6:$R$8,MATCH(B13,'ESTADO ACTUAL'!$A$6:$A$8,0))),IF(C13="Trabajo",IFERROR(INDEX(PROGRESIONES!$Q$6:$Q$19,MATCH(B13,PROGRESIONES!$A$6:$A$19,0)),INDEX('PLAN SEMANAL'!$H$5:$H$32,MATCH($C$8&amp;"|"&amp;1,'PLAN SEMANAL'!$A$5:$A$32,0))),INDEX('PLAN SEMANAL'!$H$5:$H$32,MATCH($C$8&amp;"|"&amp;1,'PLAN SEMANAL'!$A$5:$A$32,0)))))</f>
        <v>Máx. explosivas, sin fallo absoluto · esperadas ≈ 30–40 (calibración)</v>
      </c>
      <c r="I13" s="18" t="str">
        <f aca="false">IFERROR(INDEX('PLAN SEMANAL'!$I$5:$I$32,MATCH($C$8&amp;"|"&amp;1,'PLAN SEMANAL'!$A$5:$A$32,0))&amp;"","")</f>
        <v>No se pide</v>
      </c>
      <c r="J13" s="18" t="str">
        <f aca="false">IFERROR(INDEX('PLAN SEMANAL'!$J$5:$J$32,MATCH($C$8&amp;"|"&amp;1,'PLAN SEMANAL'!$A$5:$A$32,0))&amp;"","")</f>
        <v>3–5 min antes de las post</v>
      </c>
      <c r="K13" s="18" t="str">
        <f aca="false">IF(B13="","",IF(C13="Bilbo",INDEX('ESTADO ACTUAL'!$E$6:$E$8,MATCH(B13,'ESTADO ACTUAL'!$A$6:$A$8,0))&amp;" · "&amp;INDEX('ESTADO ACTUAL'!$S$6:$S$8,MATCH(B13,'ESTADO ACTUAL'!$A$6:$A$8,0)),IF(C13="Post-Bilbo","% post "&amp;ROUND(INDEX('ESTADO ACTUAL'!$AE$6:$AE$8,MATCH(B13,'ESTADO ACTUAL'!$A$6:$A$8,0))*100,1)&amp;"% sobre el peso Bilbo · 3×8–12 @RIR1",IFERROR(INDEX(PROGRESIONES!$N$6:$N$19,MATCH(B13,PROGRESIONES!$A$6:$A$19,0)),""))))</f>
        <v>Ciclo 1 · sesión 1 · SIN DATOS · sesión de calibración</v>
      </c>
      <c r="L13" s="18" t="str">
        <f aca="false">IFERROR(INDEX('PLAN SEMANAL'!$L$5:$L$32,MATCH($C$8&amp;"|"&amp;1,'PLAN SEMANAL'!$A$5:$A$32,0))&amp;"","")</f>
        <v>Serie protagonista.</v>
      </c>
      <c r="M13" s="11"/>
    </row>
    <row r="14" customFormat="false" ht="43.5" hidden="false" customHeight="true" outlineLevel="0" collapsed="false">
      <c r="A14" s="18" t="n">
        <f aca="false">IFERROR(IF(INDEX('PLAN SEMANAL'!$C$5:$C$32,MATCH($C$8&amp;"|"&amp;2,'PLAN SEMANAL'!$A$5:$A$32,0))=0,"",INDEX('PLAN SEMANAL'!$C$5:$C$32,MATCH($C$8&amp;"|"&amp;2,'PLAN SEMANAL'!$A$5:$A$32,0))),"")</f>
        <v>2</v>
      </c>
      <c r="B14" s="18" t="str">
        <f aca="false">IFERROR(INDEX('PLAN SEMANAL'!$E$5:$E$32,MATCH($C$8&amp;"|"&amp;2,'PLAN SEMANAL'!$A$5:$A$32,0))&amp;"","")</f>
        <v>Press banca</v>
      </c>
      <c r="C14" s="18" t="str">
        <f aca="false">IFERROR(INDEX('PLAN SEMANAL'!$F$5:$F$32,MATCH($C$8&amp;"|"&amp;2,'PLAN SEMANAL'!$A$5:$A$32,0))&amp;"","")</f>
        <v>Post-Bilbo</v>
      </c>
      <c r="D14" s="18" t="str">
        <f aca="false">IF(B14="","",IF(IFERROR(INDEX('PLAN SEMANAL'!$K$5:$K$32,MATCH($C$8&amp;"|"&amp;2,'PLAN SEMANAL'!$A$5:$A$32,0)),"No")&lt;&gt;"Sí","—",IF(ISNUMBER(F14),MAX(IF(LEFT(INDEX(CONFIGURACIÓN!$D$42:$D$56,MATCH(B14,CONFIGURACIÓN!$B$42:$B$56,0)),5)="Barra",CONFIGURACIÓN!$C$10,0),INT((F14*CONFIGURACIÓN!$C$31)/(INDEX(CONFIGURACIÓN!$H$42:$H$56,MATCH(B14,CONFIGURACIÓN!$B$42:$B$56,0))))*(INDEX(CONFIGURACIÓN!$H$42:$H$56,MATCH(B14,CONFIGURACIÓN!$B$42:$B$56,0))))&amp;" kg × "&amp;CONFIGURACIÓN!$C$32,"Progresiva ×"&amp;CONFIGURACIÓN!$C$32&amp;" (calibración)")))</f>
        <v>—</v>
      </c>
      <c r="E14" s="18" t="str">
        <f aca="false">IF(B14="","",IF(IFERROR(INDEX('PLAN SEMANAL'!$K$5:$K$32,MATCH($C$8&amp;"|"&amp;2,'PLAN SEMANAL'!$A$5:$A$32,0)),"No")&lt;&gt;"Sí","—",IF(ISNUMBER(F14),MAX(IF(LEFT(INDEX(CONFIGURACIÓN!$D$42:$D$56,MATCH(B14,CONFIGURACIÓN!$B$42:$B$56,0)),5)="Barra",CONFIGURACIÓN!$C$10,0),INT((F14*CONFIGURACIÓN!$C$33)/(INDEX(CONFIGURACIÓN!$H$42:$H$56,MATCH(B14,CONFIGURACIÓN!$B$42:$B$56,0))))*(INDEX(CONFIGURACIÓN!$H$42:$H$56,MATCH(B14,CONFIGURACIÓN!$B$42:$B$56,0))))&amp;" kg × "&amp;CONFIGURACIÓN!$C$34,"Progresiva ×"&amp;CONFIGURACIÓN!$C$34&amp;" (calibración)")))</f>
        <v>—</v>
      </c>
      <c r="F14" s="27" t="str">
        <f aca="false">IF(B14="","",IFERROR(IF(C14="Bilbo",IF(ISNUMBER(INDEX('ESTADO ACTUAL'!$O$6:$O$8,MATCH(B14,'ESTADO ACTUAL'!$A$6:$A$8,0))),INDEX('ESTADO ACTUAL'!$O$6:$O$8,MATCH(B14,'ESTADO ACTUAL'!$A$6:$A$8,0)),"CALIBRAR (§21)"),IF(C14="Post-Bilbo",IF(ISNUMBER(INDEX('ESTADO ACTUAL'!$AF$6:$AF$8,MATCH(B14,'ESTADO ACTUAL'!$A$6:$A$8,0))),INDEX('ESTADO ACTUAL'!$AF$6:$AF$8,MATCH(B14,'ESTADO ACTUAL'!$A$6:$A$8,0)),"Bilbo × (1+"&amp;ROUND(CONFIGURACIÓN!$C$23*100,1)&amp;"%)"),IF(C14="Movilidad","—",IF(LEFT(INDEX(CONFIGURACIÓN!$D$42:$D$56,MATCH(B14,CONFIGURACIÓN!$B$42:$B$56,0)),4)="Peso","Peso corporal",IF(ISNUMBER(INDEX(PROGRESIONES!$P$6:$P$19,MATCH(B14,PROGRESIONES!$A$6:$A$19,0))),IF(INDEX(PROGRESIONES!$P$6:$P$19,MATCH(B14,PROGRESIONES!$A$6:$A$19,0))=0,"CALIBRAR",INDEX(PROGRESIONES!$P$6:$P$19,MATCH(B14,PROGRESIONES!$A$6:$A$19,0))),"CALIBRAR"))))),"—"))</f>
        <v>Bilbo × (1+15%)</v>
      </c>
      <c r="G14" s="18" t="str">
        <f aca="false">IFERROR(INDEX('PLAN SEMANAL'!$G$5:$G$32,MATCH($C$8&amp;"|"&amp;2,'PLAN SEMANAL'!$A$5:$A$32,0))&amp;"","")</f>
        <v>3</v>
      </c>
      <c r="H14" s="18" t="str">
        <f aca="false">IF(B14="","",IF(C14="Bilbo","Máx. explosivas, sin fallo absoluto · esperadas ≈ "&amp;IF(INDEX('ESTADO ACTUAL'!$R$6:$R$8,MATCH(B14,'ESTADO ACTUAL'!$A$6:$A$8,0))="","30–40 (calibración)",INDEX('ESTADO ACTUAL'!$R$6:$R$8,MATCH(B14,'ESTADO ACTUAL'!$A$6:$A$8,0))),IF(C14="Trabajo",IFERROR(INDEX(PROGRESIONES!$Q$6:$Q$19,MATCH(B14,PROGRESIONES!$A$6:$A$19,0)),INDEX('PLAN SEMANAL'!$H$5:$H$32,MATCH($C$8&amp;"|"&amp;2,'PLAN SEMANAL'!$A$5:$A$32,0))),INDEX('PLAN SEMANAL'!$H$5:$H$32,MATCH($C$8&amp;"|"&amp;2,'PLAN SEMANAL'!$A$5:$A$32,0)))))</f>
        <v>8–12</v>
      </c>
      <c r="I14" s="18" t="str">
        <f aca="false">IFERROR(INDEX('PLAN SEMANAL'!$I$5:$I$32,MATCH($C$8&amp;"|"&amp;2,'PLAN SEMANAL'!$A$5:$A$32,0))&amp;"","")</f>
        <v>1</v>
      </c>
      <c r="J14" s="18" t="str">
        <f aca="false">IFERROR(INDEX('PLAN SEMANAL'!$J$5:$J$32,MATCH($C$8&amp;"|"&amp;2,'PLAN SEMANAL'!$A$5:$A$32,0))&amp;"","")</f>
        <v>2–4 min</v>
      </c>
      <c r="K14" s="18" t="str">
        <f aca="false">IF(B14="","",IF(C14="Bilbo",INDEX('ESTADO ACTUAL'!$E$6:$E$8,MATCH(B14,'ESTADO ACTUAL'!$A$6:$A$8,0))&amp;" · "&amp;INDEX('ESTADO ACTUAL'!$S$6:$S$8,MATCH(B14,'ESTADO ACTUAL'!$A$6:$A$8,0)),IF(C14="Post-Bilbo","% post "&amp;ROUND(INDEX('ESTADO ACTUAL'!$AE$6:$AE$8,MATCH(B14,'ESTADO ACTUAL'!$A$6:$A$8,0))*100,1)&amp;"% sobre el peso Bilbo · 3×8–12 @RIR1",IFERROR(INDEX(PROGRESIONES!$N$6:$N$19,MATCH(B14,PROGRESIONES!$A$6:$A$19,0)),""))))</f>
        <v>% post 15% sobre el peso Bilbo · 3×8–12 @RIR1</v>
      </c>
      <c r="L14" s="18" t="str">
        <f aca="false">IFERROR(INDEX('PLAN SEMANAL'!$L$5:$L$32,MATCH($C$8&amp;"|"&amp;2,'PLAN SEMANAL'!$A$5:$A$32,0))&amp;"","")</f>
        <v>Peso = Bilbo × (1+%).</v>
      </c>
      <c r="M14" s="11"/>
    </row>
    <row r="15" customFormat="false" ht="43.5" hidden="false" customHeight="true" outlineLevel="0" collapsed="false">
      <c r="A15" s="18" t="n">
        <f aca="false">IFERROR(IF(INDEX('PLAN SEMANAL'!$C$5:$C$32,MATCH($C$8&amp;"|"&amp;3,'PLAN SEMANAL'!$A$5:$A$32,0))=0,"",INDEX('PLAN SEMANAL'!$C$5:$C$32,MATCH($C$8&amp;"|"&amp;3,'PLAN SEMANAL'!$A$5:$A$32,0))),"")</f>
        <v>3</v>
      </c>
      <c r="B15" s="18" t="str">
        <f aca="false">IFERROR(INDEX('PLAN SEMANAL'!$E$5:$E$32,MATCH($C$8&amp;"|"&amp;3,'PLAN SEMANAL'!$A$5:$A$32,0))&amp;"","")</f>
        <v>Press militar</v>
      </c>
      <c r="C15" s="18" t="str">
        <f aca="false">IFERROR(INDEX('PLAN SEMANAL'!$F$5:$F$32,MATCH($C$8&amp;"|"&amp;3,'PLAN SEMANAL'!$A$5:$A$32,0))&amp;"","")</f>
        <v>Bilbo</v>
      </c>
      <c r="D15" s="18" t="str">
        <f aca="false">IF(B15="","",IF(IFERROR(INDEX('PLAN SEMANAL'!$K$5:$K$32,MATCH($C$8&amp;"|"&amp;3,'PLAN SEMANAL'!$A$5:$A$32,0)),"No")&lt;&gt;"Sí","—",IF(ISNUMBER(F15),MAX(IF(LEFT(INDEX(CONFIGURACIÓN!$D$42:$D$56,MATCH(B15,CONFIGURACIÓN!$B$42:$B$56,0)),5)="Barra",CONFIGURACIÓN!$C$10,0),INT((F15*CONFIGURACIÓN!$C$31)/(INDEX(CONFIGURACIÓN!$H$42:$H$56,MATCH(B15,CONFIGURACIÓN!$B$42:$B$56,0))))*(INDEX(CONFIGURACIÓN!$H$42:$H$56,MATCH(B15,CONFIGURACIÓN!$B$42:$B$56,0))))&amp;" kg × "&amp;CONFIGURACIÓN!$C$32,"Progresiva ×"&amp;CONFIGURACIÓN!$C$32&amp;" (calibración)")))</f>
        <v>Progresiva ×8 (calibración)</v>
      </c>
      <c r="E15" s="18" t="str">
        <f aca="false">IF(B15="","",IF(IFERROR(INDEX('PLAN SEMANAL'!$K$5:$K$32,MATCH($C$8&amp;"|"&amp;3,'PLAN SEMANAL'!$A$5:$A$32,0)),"No")&lt;&gt;"Sí","—",IF(ISNUMBER(F15),MAX(IF(LEFT(INDEX(CONFIGURACIÓN!$D$42:$D$56,MATCH(B15,CONFIGURACIÓN!$B$42:$B$56,0)),5)="Barra",CONFIGURACIÓN!$C$10,0),INT((F15*CONFIGURACIÓN!$C$33)/(INDEX(CONFIGURACIÓN!$H$42:$H$56,MATCH(B15,CONFIGURACIÓN!$B$42:$B$56,0))))*(INDEX(CONFIGURACIÓN!$H$42:$H$56,MATCH(B15,CONFIGURACIÓN!$B$42:$B$56,0))))&amp;" kg × "&amp;CONFIGURACIÓN!$C$34,"Progresiva ×"&amp;CONFIGURACIÓN!$C$34&amp;" (calibración)")))</f>
        <v>Progresiva ×5 (calibración)</v>
      </c>
      <c r="F15" s="27" t="str">
        <f aca="false">IF(B15="","",IFERROR(IF(C15="Bilbo",IF(ISNUMBER(INDEX('ESTADO ACTUAL'!$O$6:$O$8,MATCH(B15,'ESTADO ACTUAL'!$A$6:$A$8,0))),INDEX('ESTADO ACTUAL'!$O$6:$O$8,MATCH(B15,'ESTADO ACTUAL'!$A$6:$A$8,0)),"CALIBRAR (§21)"),IF(C15="Post-Bilbo",IF(ISNUMBER(INDEX('ESTADO ACTUAL'!$AF$6:$AF$8,MATCH(B15,'ESTADO ACTUAL'!$A$6:$A$8,0))),INDEX('ESTADO ACTUAL'!$AF$6:$AF$8,MATCH(B15,'ESTADO ACTUAL'!$A$6:$A$8,0)),"Bilbo × (1+"&amp;ROUND(CONFIGURACIÓN!$C$23*100,1)&amp;"%)"),IF(C15="Movilidad","—",IF(LEFT(INDEX(CONFIGURACIÓN!$D$42:$D$56,MATCH(B15,CONFIGURACIÓN!$B$42:$B$56,0)),4)="Peso","Peso corporal",IF(ISNUMBER(INDEX(PROGRESIONES!$P$6:$P$19,MATCH(B15,PROGRESIONES!$A$6:$A$19,0))),IF(INDEX(PROGRESIONES!$P$6:$P$19,MATCH(B15,PROGRESIONES!$A$6:$A$19,0))=0,"CALIBRAR",INDEX(PROGRESIONES!$P$6:$P$19,MATCH(B15,PROGRESIONES!$A$6:$A$19,0))),"CALIBRAR"))))),"—"))</f>
        <v>CALIBRAR (§21)</v>
      </c>
      <c r="G15" s="18" t="str">
        <f aca="false">IFERROR(INDEX('PLAN SEMANAL'!$G$5:$G$32,MATCH($C$8&amp;"|"&amp;3,'PLAN SEMANAL'!$A$5:$A$32,0))&amp;"","")</f>
        <v>1</v>
      </c>
      <c r="H15" s="18" t="str">
        <f aca="false">IF(B15="","",IF(C15="Bilbo","Máx. explosivas, sin fallo absoluto · esperadas ≈ "&amp;IF(INDEX('ESTADO ACTUAL'!$R$6:$R$8,MATCH(B15,'ESTADO ACTUAL'!$A$6:$A$8,0))="","30–40 (calibración)",INDEX('ESTADO ACTUAL'!$R$6:$R$8,MATCH(B15,'ESTADO ACTUAL'!$A$6:$A$8,0))),IF(C15="Trabajo",IFERROR(INDEX(PROGRESIONES!$Q$6:$Q$19,MATCH(B15,PROGRESIONES!$A$6:$A$19,0)),INDEX('PLAN SEMANAL'!$H$5:$H$32,MATCH($C$8&amp;"|"&amp;3,'PLAN SEMANAL'!$A$5:$A$32,0))),INDEX('PLAN SEMANAL'!$H$5:$H$32,MATCH($C$8&amp;"|"&amp;3,'PLAN SEMANAL'!$A$5:$A$32,0)))))</f>
        <v>Máx. explosivas, sin fallo absoluto · esperadas ≈ 30–40 (calibración)</v>
      </c>
      <c r="I15" s="18" t="str">
        <f aca="false">IFERROR(INDEX('PLAN SEMANAL'!$I$5:$I$32,MATCH($C$8&amp;"|"&amp;3,'PLAN SEMANAL'!$A$5:$A$32,0))&amp;"","")</f>
        <v>No se pide</v>
      </c>
      <c r="J15" s="18" t="str">
        <f aca="false">IFERROR(INDEX('PLAN SEMANAL'!$J$5:$J$32,MATCH($C$8&amp;"|"&amp;3,'PLAN SEMANAL'!$A$5:$A$32,0))&amp;"","")</f>
        <v>3–5 min antes de las post</v>
      </c>
      <c r="K15" s="18" t="str">
        <f aca="false">IF(B15="","",IF(C15="Bilbo",INDEX('ESTADO ACTUAL'!$E$6:$E$8,MATCH(B15,'ESTADO ACTUAL'!$A$6:$A$8,0))&amp;" · "&amp;INDEX('ESTADO ACTUAL'!$S$6:$S$8,MATCH(B15,'ESTADO ACTUAL'!$A$6:$A$8,0)),IF(C15="Post-Bilbo","% post "&amp;ROUND(INDEX('ESTADO ACTUAL'!$AE$6:$AE$8,MATCH(B15,'ESTADO ACTUAL'!$A$6:$A$8,0))*100,1)&amp;"% sobre el peso Bilbo · 3×8–12 @RIR1",IFERROR(INDEX(PROGRESIONES!$N$6:$N$19,MATCH(B15,PROGRESIONES!$A$6:$A$19,0)),""))))</f>
        <v>Ciclo 1 · sesión 1 · SIN DATOS · sesión de calibración</v>
      </c>
      <c r="L15" s="18" t="str">
        <f aca="false">IFERROR(INDEX('PLAN SEMANAL'!$L$5:$L$32,MATCH($C$8&amp;"|"&amp;3,'PLAN SEMANAL'!$A$5:$A$32,0))&amp;"","")</f>
        <v/>
      </c>
      <c r="M15" s="11"/>
    </row>
    <row r="16" customFormat="false" ht="43.5" hidden="false" customHeight="true" outlineLevel="0" collapsed="false">
      <c r="A16" s="18" t="n">
        <f aca="false">IFERROR(IF(INDEX('PLAN SEMANAL'!$C$5:$C$32,MATCH($C$8&amp;"|"&amp;4,'PLAN SEMANAL'!$A$5:$A$32,0))=0,"",INDEX('PLAN SEMANAL'!$C$5:$C$32,MATCH($C$8&amp;"|"&amp;4,'PLAN SEMANAL'!$A$5:$A$32,0))),"")</f>
        <v>4</v>
      </c>
      <c r="B16" s="18" t="str">
        <f aca="false">IFERROR(INDEX('PLAN SEMANAL'!$E$5:$E$32,MATCH($C$8&amp;"|"&amp;4,'PLAN SEMANAL'!$A$5:$A$32,0))&amp;"","")</f>
        <v>Press militar</v>
      </c>
      <c r="C16" s="18" t="str">
        <f aca="false">IFERROR(INDEX('PLAN SEMANAL'!$F$5:$F$32,MATCH($C$8&amp;"|"&amp;4,'PLAN SEMANAL'!$A$5:$A$32,0))&amp;"","")</f>
        <v>Post-Bilbo</v>
      </c>
      <c r="D16" s="18" t="str">
        <f aca="false">IF(B16="","",IF(IFERROR(INDEX('PLAN SEMANAL'!$K$5:$K$32,MATCH($C$8&amp;"|"&amp;4,'PLAN SEMANAL'!$A$5:$A$32,0)),"No")&lt;&gt;"Sí","—",IF(ISNUMBER(F16),MAX(IF(LEFT(INDEX(CONFIGURACIÓN!$D$42:$D$56,MATCH(B16,CONFIGURACIÓN!$B$42:$B$56,0)),5)="Barra",CONFIGURACIÓN!$C$10,0),INT((F16*CONFIGURACIÓN!$C$31)/(INDEX(CONFIGURACIÓN!$H$42:$H$56,MATCH(B16,CONFIGURACIÓN!$B$42:$B$56,0))))*(INDEX(CONFIGURACIÓN!$H$42:$H$56,MATCH(B16,CONFIGURACIÓN!$B$42:$B$56,0))))&amp;" kg × "&amp;CONFIGURACIÓN!$C$32,"Progresiva ×"&amp;CONFIGURACIÓN!$C$32&amp;" (calibración)")))</f>
        <v>—</v>
      </c>
      <c r="E16" s="18" t="str">
        <f aca="false">IF(B16="","",IF(IFERROR(INDEX('PLAN SEMANAL'!$K$5:$K$32,MATCH($C$8&amp;"|"&amp;4,'PLAN SEMANAL'!$A$5:$A$32,0)),"No")&lt;&gt;"Sí","—",IF(ISNUMBER(F16),MAX(IF(LEFT(INDEX(CONFIGURACIÓN!$D$42:$D$56,MATCH(B16,CONFIGURACIÓN!$B$42:$B$56,0)),5)="Barra",CONFIGURACIÓN!$C$10,0),INT((F16*CONFIGURACIÓN!$C$33)/(INDEX(CONFIGURACIÓN!$H$42:$H$56,MATCH(B16,CONFIGURACIÓN!$B$42:$B$56,0))))*(INDEX(CONFIGURACIÓN!$H$42:$H$56,MATCH(B16,CONFIGURACIÓN!$B$42:$B$56,0))))&amp;" kg × "&amp;CONFIGURACIÓN!$C$34,"Progresiva ×"&amp;CONFIGURACIÓN!$C$34&amp;" (calibración)")))</f>
        <v>—</v>
      </c>
      <c r="F16" s="27" t="str">
        <f aca="false">IF(B16="","",IFERROR(IF(C16="Bilbo",IF(ISNUMBER(INDEX('ESTADO ACTUAL'!$O$6:$O$8,MATCH(B16,'ESTADO ACTUAL'!$A$6:$A$8,0))),INDEX('ESTADO ACTUAL'!$O$6:$O$8,MATCH(B16,'ESTADO ACTUAL'!$A$6:$A$8,0)),"CALIBRAR (§21)"),IF(C16="Post-Bilbo",IF(ISNUMBER(INDEX('ESTADO ACTUAL'!$AF$6:$AF$8,MATCH(B16,'ESTADO ACTUAL'!$A$6:$A$8,0))),INDEX('ESTADO ACTUAL'!$AF$6:$AF$8,MATCH(B16,'ESTADO ACTUAL'!$A$6:$A$8,0)),"Bilbo × (1+"&amp;ROUND(CONFIGURACIÓN!$C$23*100,1)&amp;"%)"),IF(C16="Movilidad","—",IF(LEFT(INDEX(CONFIGURACIÓN!$D$42:$D$56,MATCH(B16,CONFIGURACIÓN!$B$42:$B$56,0)),4)="Peso","Peso corporal",IF(ISNUMBER(INDEX(PROGRESIONES!$P$6:$P$19,MATCH(B16,PROGRESIONES!$A$6:$A$19,0))),IF(INDEX(PROGRESIONES!$P$6:$P$19,MATCH(B16,PROGRESIONES!$A$6:$A$19,0))=0,"CALIBRAR",INDEX(PROGRESIONES!$P$6:$P$19,MATCH(B16,PROGRESIONES!$A$6:$A$19,0))),"CALIBRAR"))))),"—"))</f>
        <v>Bilbo × (1+15%)</v>
      </c>
      <c r="G16" s="18" t="str">
        <f aca="false">IFERROR(INDEX('PLAN SEMANAL'!$G$5:$G$32,MATCH($C$8&amp;"|"&amp;4,'PLAN SEMANAL'!$A$5:$A$32,0))&amp;"","")</f>
        <v>3</v>
      </c>
      <c r="H16" s="18" t="str">
        <f aca="false">IF(B16="","",IF(C16="Bilbo","Máx. explosivas, sin fallo absoluto · esperadas ≈ "&amp;IF(INDEX('ESTADO ACTUAL'!$R$6:$R$8,MATCH(B16,'ESTADO ACTUAL'!$A$6:$A$8,0))="","30–40 (calibración)",INDEX('ESTADO ACTUAL'!$R$6:$R$8,MATCH(B16,'ESTADO ACTUAL'!$A$6:$A$8,0))),IF(C16="Trabajo",IFERROR(INDEX(PROGRESIONES!$Q$6:$Q$19,MATCH(B16,PROGRESIONES!$A$6:$A$19,0)),INDEX('PLAN SEMANAL'!$H$5:$H$32,MATCH($C$8&amp;"|"&amp;4,'PLAN SEMANAL'!$A$5:$A$32,0))),INDEX('PLAN SEMANAL'!$H$5:$H$32,MATCH($C$8&amp;"|"&amp;4,'PLAN SEMANAL'!$A$5:$A$32,0)))))</f>
        <v>8–12</v>
      </c>
      <c r="I16" s="18" t="str">
        <f aca="false">IFERROR(INDEX('PLAN SEMANAL'!$I$5:$I$32,MATCH($C$8&amp;"|"&amp;4,'PLAN SEMANAL'!$A$5:$A$32,0))&amp;"","")</f>
        <v>1</v>
      </c>
      <c r="J16" s="18" t="str">
        <f aca="false">IFERROR(INDEX('PLAN SEMANAL'!$J$5:$J$32,MATCH($C$8&amp;"|"&amp;4,'PLAN SEMANAL'!$A$5:$A$32,0))&amp;"","")</f>
        <v>2–4 min</v>
      </c>
      <c r="K16" s="18" t="str">
        <f aca="false">IF(B16="","",IF(C16="Bilbo",INDEX('ESTADO ACTUAL'!$E$6:$E$8,MATCH(B16,'ESTADO ACTUAL'!$A$6:$A$8,0))&amp;" · "&amp;INDEX('ESTADO ACTUAL'!$S$6:$S$8,MATCH(B16,'ESTADO ACTUAL'!$A$6:$A$8,0)),IF(C16="Post-Bilbo","% post "&amp;ROUND(INDEX('ESTADO ACTUAL'!$AE$6:$AE$8,MATCH(B16,'ESTADO ACTUAL'!$A$6:$A$8,0))*100,1)&amp;"% sobre el peso Bilbo · 3×8–12 @RIR1",IFERROR(INDEX(PROGRESIONES!$N$6:$N$19,MATCH(B16,PROGRESIONES!$A$6:$A$19,0)),""))))</f>
        <v>% post 15% sobre el peso Bilbo · 3×8–12 @RIR1</v>
      </c>
      <c r="L16" s="18" t="str">
        <f aca="false">IFERROR(INDEX('PLAN SEMANAL'!$L$5:$L$32,MATCH($C$8&amp;"|"&amp;4,'PLAN SEMANAL'!$A$5:$A$32,0))&amp;"","")</f>
        <v/>
      </c>
      <c r="M16" s="11"/>
    </row>
    <row r="17" customFormat="false" ht="43.5" hidden="false" customHeight="true" outlineLevel="0" collapsed="false">
      <c r="A17" s="18" t="n">
        <f aca="false">IFERROR(IF(INDEX('PLAN SEMANAL'!$C$5:$C$32,MATCH($C$8&amp;"|"&amp;5,'PLAN SEMANAL'!$A$5:$A$32,0))=0,"",INDEX('PLAN SEMANAL'!$C$5:$C$32,MATCH($C$8&amp;"|"&amp;5,'PLAN SEMANAL'!$A$5:$A$32,0))),"")</f>
        <v>5</v>
      </c>
      <c r="B17" s="18" t="str">
        <f aca="false">IFERROR(INDEX('PLAN SEMANAL'!$E$5:$E$32,MATCH($C$8&amp;"|"&amp;5,'PLAN SEMANAL'!$A$5:$A$32,0))&amp;"","")</f>
        <v>Press inclinado con mancuernas</v>
      </c>
      <c r="C17" s="18" t="str">
        <f aca="false">IFERROR(INDEX('PLAN SEMANAL'!$F$5:$F$32,MATCH($C$8&amp;"|"&amp;5,'PLAN SEMANAL'!$A$5:$A$32,0))&amp;"","")</f>
        <v>Trabajo</v>
      </c>
      <c r="D17" s="18" t="str">
        <f aca="false">IF(B17="","",IF(IFERROR(INDEX('PLAN SEMANAL'!$K$5:$K$32,MATCH($C$8&amp;"|"&amp;5,'PLAN SEMANAL'!$A$5:$A$32,0)),"No")&lt;&gt;"Sí","—",IF(ISNUMBER(F17),MAX(IF(LEFT(INDEX(CONFIGURACIÓN!$D$42:$D$56,MATCH(B17,CONFIGURACIÓN!$B$42:$B$56,0)),5)="Barra",CONFIGURACIÓN!$C$10,0),INT((F17*CONFIGURACIÓN!$C$31)/(INDEX(CONFIGURACIÓN!$H$42:$H$56,MATCH(B17,CONFIGURACIÓN!$B$42:$B$56,0))))*(INDEX(CONFIGURACIÓN!$H$42:$H$56,MATCH(B17,CONFIGURACIÓN!$B$42:$B$56,0))))&amp;" kg × "&amp;CONFIGURACIÓN!$C$32,"Progresiva ×"&amp;CONFIGURACIÓN!$C$32&amp;" (calibración)")))</f>
        <v>—</v>
      </c>
      <c r="E17" s="18" t="str">
        <f aca="false">IF(B17="","",IF(IFERROR(INDEX('PLAN SEMANAL'!$K$5:$K$32,MATCH($C$8&amp;"|"&amp;5,'PLAN SEMANAL'!$A$5:$A$32,0)),"No")&lt;&gt;"Sí","—",IF(ISNUMBER(F17),MAX(IF(LEFT(INDEX(CONFIGURACIÓN!$D$42:$D$56,MATCH(B17,CONFIGURACIÓN!$B$42:$B$56,0)),5)="Barra",CONFIGURACIÓN!$C$10,0),INT((F17*CONFIGURACIÓN!$C$33)/(INDEX(CONFIGURACIÓN!$H$42:$H$56,MATCH(B17,CONFIGURACIÓN!$B$42:$B$56,0))))*(INDEX(CONFIGURACIÓN!$H$42:$H$56,MATCH(B17,CONFIGURACIÓN!$B$42:$B$56,0))))&amp;" kg × "&amp;CONFIGURACIÓN!$C$34,"Progresiva ×"&amp;CONFIGURACIÓN!$C$34&amp;" (calibración)")))</f>
        <v>—</v>
      </c>
      <c r="F17" s="27" t="str">
        <f aca="false">IF(B17="","",IFERROR(IF(C17="Bilbo",IF(ISNUMBER(INDEX('ESTADO ACTUAL'!$O$6:$O$8,MATCH(B17,'ESTADO ACTUAL'!$A$6:$A$8,0))),INDEX('ESTADO ACTUAL'!$O$6:$O$8,MATCH(B17,'ESTADO ACTUAL'!$A$6:$A$8,0)),"CALIBRAR (§21)"),IF(C17="Post-Bilbo",IF(ISNUMBER(INDEX('ESTADO ACTUAL'!$AF$6:$AF$8,MATCH(B17,'ESTADO ACTUAL'!$A$6:$A$8,0))),INDEX('ESTADO ACTUAL'!$AF$6:$AF$8,MATCH(B17,'ESTADO ACTUAL'!$A$6:$A$8,0)),"Bilbo × (1+"&amp;ROUND(CONFIGURACIÓN!$C$23*100,1)&amp;"%)"),IF(C17="Movilidad","—",IF(LEFT(INDEX(CONFIGURACIÓN!$D$42:$D$56,MATCH(B17,CONFIGURACIÓN!$B$42:$B$56,0)),4)="Peso","Peso corporal",IF(ISNUMBER(INDEX(PROGRESIONES!$P$6:$P$19,MATCH(B17,PROGRESIONES!$A$6:$A$19,0))),IF(INDEX(PROGRESIONES!$P$6:$P$19,MATCH(B17,PROGRESIONES!$A$6:$A$19,0))=0,"CALIBRAR",INDEX(PROGRESIONES!$P$6:$P$19,MATCH(B17,PROGRESIONES!$A$6:$A$19,0))),"CALIBRAR"))))),"—"))</f>
        <v>CALIBRAR</v>
      </c>
      <c r="G17" s="18" t="str">
        <f aca="false">IFERROR(INDEX('PLAN SEMANAL'!$G$5:$G$32,MATCH($C$8&amp;"|"&amp;5,'PLAN SEMANAL'!$A$5:$A$32,0))&amp;"","")</f>
        <v>3</v>
      </c>
      <c r="H17" s="18" t="str">
        <f aca="false">IF(B17="","",IF(C17="Bilbo","Máx. explosivas, sin fallo absoluto · esperadas ≈ "&amp;IF(INDEX('ESTADO ACTUAL'!$R$6:$R$8,MATCH(B17,'ESTADO ACTUAL'!$A$6:$A$8,0))="","30–40 (calibración)",INDEX('ESTADO ACTUAL'!$R$6:$R$8,MATCH(B17,'ESTADO ACTUAL'!$A$6:$A$8,0))),IF(C17="Trabajo",IFERROR(INDEX(PROGRESIONES!$Q$6:$Q$19,MATCH(B17,PROGRESIONES!$A$6:$A$19,0)),INDEX('PLAN SEMANAL'!$H$5:$H$32,MATCH($C$8&amp;"|"&amp;5,'PLAN SEMANAL'!$A$5:$A$32,0))),INDEX('PLAN SEMANAL'!$H$5:$H$32,MATCH($C$8&amp;"|"&amp;5,'PLAN SEMANAL'!$A$5:$A$32,0)))))</f>
        <v>Calibrar: carga que permita 6–8 reps @RIR 1–2 en la 1ª serie</v>
      </c>
      <c r="I17" s="18" t="str">
        <f aca="false">IFERROR(INDEX('PLAN SEMANAL'!$I$5:$I$32,MATCH($C$8&amp;"|"&amp;5,'PLAN SEMANAL'!$A$5:$A$32,0))&amp;"","")</f>
        <v>1</v>
      </c>
      <c r="J17" s="18" t="str">
        <f aca="false">IFERROR(INDEX('PLAN SEMANAL'!$J$5:$J$32,MATCH($C$8&amp;"|"&amp;5,'PLAN SEMANAL'!$A$5:$A$32,0))&amp;"","")</f>
        <v>2–3 min</v>
      </c>
      <c r="K17" s="18" t="str">
        <f aca="false">IF(B17="","",IF(C17="Bilbo",INDEX('ESTADO ACTUAL'!$E$6:$E$8,MATCH(B17,'ESTADO ACTUAL'!$A$6:$A$8,0))&amp;" · "&amp;INDEX('ESTADO ACTUAL'!$S$6:$S$8,MATCH(B17,'ESTADO ACTUAL'!$A$6:$A$8,0)),IF(C17="Post-Bilbo","% post "&amp;ROUND(INDEX('ESTADO ACTUAL'!$AE$6:$AE$8,MATCH(B17,'ESTADO ACTUAL'!$A$6:$A$8,0))*100,1)&amp;"% sobre el peso Bilbo · 3×8–12 @RIR1",IFERROR(INDEX(PROGRESIONES!$N$6:$N$19,MATCH(B17,PROGRESIONES!$A$6:$A$19,0)),""))))</f>
        <v>CALIBRAR</v>
      </c>
      <c r="L17" s="18" t="str">
        <f aca="false">IFERROR(INDEX('PLAN SEMANAL'!$L$5:$L$32,MATCH($C$8&amp;"|"&amp;5,'PLAN SEMANAL'!$A$5:$A$32,0))&amp;"","")</f>
        <v>Doble progresión.</v>
      </c>
      <c r="M17" s="11"/>
    </row>
    <row r="18" customFormat="false" ht="43.5" hidden="false" customHeight="true" outlineLevel="0" collapsed="false">
      <c r="A18" s="18" t="n">
        <f aca="false">IFERROR(IF(INDEX('PLAN SEMANAL'!$C$5:$C$32,MATCH($C$8&amp;"|"&amp;6,'PLAN SEMANAL'!$A$5:$A$32,0))=0,"",INDEX('PLAN SEMANAL'!$C$5:$C$32,MATCH($C$8&amp;"|"&amp;6,'PLAN SEMANAL'!$A$5:$A$32,0))),"")</f>
        <v>6</v>
      </c>
      <c r="B18" s="18" t="str">
        <f aca="false">IFERROR(INDEX('PLAN SEMANAL'!$E$5:$E$32,MATCH($C$8&amp;"|"&amp;6,'PLAN SEMANAL'!$A$5:$A$32,0))&amp;"","")</f>
        <v>Tríceps en polea alta</v>
      </c>
      <c r="C18" s="18" t="str">
        <f aca="false">IFERROR(INDEX('PLAN SEMANAL'!$F$5:$F$32,MATCH($C$8&amp;"|"&amp;6,'PLAN SEMANAL'!$A$5:$A$32,0))&amp;"","")</f>
        <v>Trabajo</v>
      </c>
      <c r="D18" s="18" t="str">
        <f aca="false">IF(B18="","",IF(IFERROR(INDEX('PLAN SEMANAL'!$K$5:$K$32,MATCH($C$8&amp;"|"&amp;6,'PLAN SEMANAL'!$A$5:$A$32,0)),"No")&lt;&gt;"Sí","—",IF(ISNUMBER(F18),MAX(IF(LEFT(INDEX(CONFIGURACIÓN!$D$42:$D$56,MATCH(B18,CONFIGURACIÓN!$B$42:$B$56,0)),5)="Barra",CONFIGURACIÓN!$C$10,0),INT((F18*CONFIGURACIÓN!$C$31)/(INDEX(CONFIGURACIÓN!$H$42:$H$56,MATCH(B18,CONFIGURACIÓN!$B$42:$B$56,0))))*(INDEX(CONFIGURACIÓN!$H$42:$H$56,MATCH(B18,CONFIGURACIÓN!$B$42:$B$56,0))))&amp;" kg × "&amp;CONFIGURACIÓN!$C$32,"Progresiva ×"&amp;CONFIGURACIÓN!$C$32&amp;" (calibración)")))</f>
        <v>—</v>
      </c>
      <c r="E18" s="18" t="str">
        <f aca="false">IF(B18="","",IF(IFERROR(INDEX('PLAN SEMANAL'!$K$5:$K$32,MATCH($C$8&amp;"|"&amp;6,'PLAN SEMANAL'!$A$5:$A$32,0)),"No")&lt;&gt;"Sí","—",IF(ISNUMBER(F18),MAX(IF(LEFT(INDEX(CONFIGURACIÓN!$D$42:$D$56,MATCH(B18,CONFIGURACIÓN!$B$42:$B$56,0)),5)="Barra",CONFIGURACIÓN!$C$10,0),INT((F18*CONFIGURACIÓN!$C$33)/(INDEX(CONFIGURACIÓN!$H$42:$H$56,MATCH(B18,CONFIGURACIÓN!$B$42:$B$56,0))))*(INDEX(CONFIGURACIÓN!$H$42:$H$56,MATCH(B18,CONFIGURACIÓN!$B$42:$B$56,0))))&amp;" kg × "&amp;CONFIGURACIÓN!$C$34,"Progresiva ×"&amp;CONFIGURACIÓN!$C$34&amp;" (calibración)")))</f>
        <v>—</v>
      </c>
      <c r="F18" s="27" t="str">
        <f aca="false">IF(B18="","",IFERROR(IF(C18="Bilbo",IF(ISNUMBER(INDEX('ESTADO ACTUAL'!$O$6:$O$8,MATCH(B18,'ESTADO ACTUAL'!$A$6:$A$8,0))),INDEX('ESTADO ACTUAL'!$O$6:$O$8,MATCH(B18,'ESTADO ACTUAL'!$A$6:$A$8,0)),"CALIBRAR (§21)"),IF(C18="Post-Bilbo",IF(ISNUMBER(INDEX('ESTADO ACTUAL'!$AF$6:$AF$8,MATCH(B18,'ESTADO ACTUAL'!$A$6:$A$8,0))),INDEX('ESTADO ACTUAL'!$AF$6:$AF$8,MATCH(B18,'ESTADO ACTUAL'!$A$6:$A$8,0)),"Bilbo × (1+"&amp;ROUND(CONFIGURACIÓN!$C$23*100,1)&amp;"%)"),IF(C18="Movilidad","—",IF(LEFT(INDEX(CONFIGURACIÓN!$D$42:$D$56,MATCH(B18,CONFIGURACIÓN!$B$42:$B$56,0)),4)="Peso","Peso corporal",IF(ISNUMBER(INDEX(PROGRESIONES!$P$6:$P$19,MATCH(B18,PROGRESIONES!$A$6:$A$19,0))),IF(INDEX(PROGRESIONES!$P$6:$P$19,MATCH(B18,PROGRESIONES!$A$6:$A$19,0))=0,"CALIBRAR",INDEX(PROGRESIONES!$P$6:$P$19,MATCH(B18,PROGRESIONES!$A$6:$A$19,0))),"CALIBRAR"))))),"—"))</f>
        <v>CALIBRAR</v>
      </c>
      <c r="G18" s="18" t="str">
        <f aca="false">IFERROR(INDEX('PLAN SEMANAL'!$G$5:$G$32,MATCH($C$8&amp;"|"&amp;6,'PLAN SEMANAL'!$A$5:$A$32,0))&amp;"","")</f>
        <v>3</v>
      </c>
      <c r="H18" s="18" t="str">
        <f aca="false">IF(B18="","",IF(C18="Bilbo","Máx. explosivas, sin fallo absoluto · esperadas ≈ "&amp;IF(INDEX('ESTADO ACTUAL'!$R$6:$R$8,MATCH(B18,'ESTADO ACTUAL'!$A$6:$A$8,0))="","30–40 (calibración)",INDEX('ESTADO ACTUAL'!$R$6:$R$8,MATCH(B18,'ESTADO ACTUAL'!$A$6:$A$8,0))),IF(C18="Trabajo",IFERROR(INDEX(PROGRESIONES!$Q$6:$Q$19,MATCH(B18,PROGRESIONES!$A$6:$A$19,0)),INDEX('PLAN SEMANAL'!$H$5:$H$32,MATCH($C$8&amp;"|"&amp;6,'PLAN SEMANAL'!$A$5:$A$32,0))),INDEX('PLAN SEMANAL'!$H$5:$H$32,MATCH($C$8&amp;"|"&amp;6,'PLAN SEMANAL'!$A$5:$A$32,0)))))</f>
        <v>Calibrar: carga que permita 3–5 reps @RIR 1–2 en la 1ª serie</v>
      </c>
      <c r="I18" s="18" t="str">
        <f aca="false">IFERROR(INDEX('PLAN SEMANAL'!$I$5:$I$32,MATCH($C$8&amp;"|"&amp;6,'PLAN SEMANAL'!$A$5:$A$32,0))&amp;"","")</f>
        <v>1</v>
      </c>
      <c r="J18" s="18" t="str">
        <f aca="false">IFERROR(INDEX('PLAN SEMANAL'!$J$5:$J$32,MATCH($C$8&amp;"|"&amp;6,'PLAN SEMANAL'!$A$5:$A$32,0))&amp;"","")</f>
        <v>2–3 min</v>
      </c>
      <c r="K18" s="18" t="str">
        <f aca="false">IF(B18="","",IF(C18="Bilbo",INDEX('ESTADO ACTUAL'!$E$6:$E$8,MATCH(B18,'ESTADO ACTUAL'!$A$6:$A$8,0))&amp;" · "&amp;INDEX('ESTADO ACTUAL'!$S$6:$S$8,MATCH(B18,'ESTADO ACTUAL'!$A$6:$A$8,0)),IF(C18="Post-Bilbo","% post "&amp;ROUND(INDEX('ESTADO ACTUAL'!$AE$6:$AE$8,MATCH(B18,'ESTADO ACTUAL'!$A$6:$A$8,0))*100,1)&amp;"% sobre el peso Bilbo · 3×8–12 @RIR1",IFERROR(INDEX(PROGRESIONES!$N$6:$N$19,MATCH(B18,PROGRESIONES!$A$6:$A$19,0)),""))))</f>
        <v>CALIBRAR</v>
      </c>
      <c r="L18" s="18" t="str">
        <f aca="false">IFERROR(INDEX('PLAN SEMANAL'!$L$5:$L$32,MATCH($C$8&amp;"|"&amp;6,'PLAN SEMANAL'!$A$5:$A$32,0))&amp;"","")</f>
        <v>Doble progresión.</v>
      </c>
      <c r="M18" s="11"/>
    </row>
    <row r="19" customFormat="false" ht="43.5" hidden="false" customHeight="true" outlineLevel="0" collapsed="false">
      <c r="A19" s="18" t="n">
        <f aca="false">IFERROR(IF(INDEX('PLAN SEMANAL'!$C$5:$C$32,MATCH($C$8&amp;"|"&amp;7,'PLAN SEMANAL'!$A$5:$A$32,0))=0,"",INDEX('PLAN SEMANAL'!$C$5:$C$32,MATCH($C$8&amp;"|"&amp;7,'PLAN SEMANAL'!$A$5:$A$32,0))),"")</f>
        <v>7</v>
      </c>
      <c r="B19" s="18" t="str">
        <f aca="false">IFERROR(INDEX('PLAN SEMANAL'!$E$5:$E$32,MATCH($C$8&amp;"|"&amp;7,'PLAN SEMANAL'!$A$5:$A$32,0))&amp;"","")</f>
        <v>Elevaciones laterales</v>
      </c>
      <c r="C19" s="18" t="str">
        <f aca="false">IFERROR(INDEX('PLAN SEMANAL'!$F$5:$F$32,MATCH($C$8&amp;"|"&amp;7,'PLAN SEMANAL'!$A$5:$A$32,0))&amp;"","")</f>
        <v>Trabajo</v>
      </c>
      <c r="D19" s="18" t="str">
        <f aca="false">IF(B19="","",IF(IFERROR(INDEX('PLAN SEMANAL'!$K$5:$K$32,MATCH($C$8&amp;"|"&amp;7,'PLAN SEMANAL'!$A$5:$A$32,0)),"No")&lt;&gt;"Sí","—",IF(ISNUMBER(F19),MAX(IF(LEFT(INDEX(CONFIGURACIÓN!$D$42:$D$56,MATCH(B19,CONFIGURACIÓN!$B$42:$B$56,0)),5)="Barra",CONFIGURACIÓN!$C$10,0),INT((F19*CONFIGURACIÓN!$C$31)/(INDEX(CONFIGURACIÓN!$H$42:$H$56,MATCH(B19,CONFIGURACIÓN!$B$42:$B$56,0))))*(INDEX(CONFIGURACIÓN!$H$42:$H$56,MATCH(B19,CONFIGURACIÓN!$B$42:$B$56,0))))&amp;" kg × "&amp;CONFIGURACIÓN!$C$32,"Progresiva ×"&amp;CONFIGURACIÓN!$C$32&amp;" (calibración)")))</f>
        <v>—</v>
      </c>
      <c r="E19" s="18" t="str">
        <f aca="false">IF(B19="","",IF(IFERROR(INDEX('PLAN SEMANAL'!$K$5:$K$32,MATCH($C$8&amp;"|"&amp;7,'PLAN SEMANAL'!$A$5:$A$32,0)),"No")&lt;&gt;"Sí","—",IF(ISNUMBER(F19),MAX(IF(LEFT(INDEX(CONFIGURACIÓN!$D$42:$D$56,MATCH(B19,CONFIGURACIÓN!$B$42:$B$56,0)),5)="Barra",CONFIGURACIÓN!$C$10,0),INT((F19*CONFIGURACIÓN!$C$33)/(INDEX(CONFIGURACIÓN!$H$42:$H$56,MATCH(B19,CONFIGURACIÓN!$B$42:$B$56,0))))*(INDEX(CONFIGURACIÓN!$H$42:$H$56,MATCH(B19,CONFIGURACIÓN!$B$42:$B$56,0))))&amp;" kg × "&amp;CONFIGURACIÓN!$C$34,"Progresiva ×"&amp;CONFIGURACIÓN!$C$34&amp;" (calibración)")))</f>
        <v>—</v>
      </c>
      <c r="F19" s="27" t="str">
        <f aca="false">IF(B19="","",IFERROR(IF(C19="Bilbo",IF(ISNUMBER(INDEX('ESTADO ACTUAL'!$O$6:$O$8,MATCH(B19,'ESTADO ACTUAL'!$A$6:$A$8,0))),INDEX('ESTADO ACTUAL'!$O$6:$O$8,MATCH(B19,'ESTADO ACTUAL'!$A$6:$A$8,0)),"CALIBRAR (§21)"),IF(C19="Post-Bilbo",IF(ISNUMBER(INDEX('ESTADO ACTUAL'!$AF$6:$AF$8,MATCH(B19,'ESTADO ACTUAL'!$A$6:$A$8,0))),INDEX('ESTADO ACTUAL'!$AF$6:$AF$8,MATCH(B19,'ESTADO ACTUAL'!$A$6:$A$8,0)),"Bilbo × (1+"&amp;ROUND(CONFIGURACIÓN!$C$23*100,1)&amp;"%)"),IF(C19="Movilidad","—",IF(LEFT(INDEX(CONFIGURACIÓN!$D$42:$D$56,MATCH(B19,CONFIGURACIÓN!$B$42:$B$56,0)),4)="Peso","Peso corporal",IF(ISNUMBER(INDEX(PROGRESIONES!$P$6:$P$19,MATCH(B19,PROGRESIONES!$A$6:$A$19,0))),IF(INDEX(PROGRESIONES!$P$6:$P$19,MATCH(B19,PROGRESIONES!$A$6:$A$19,0))=0,"CALIBRAR",INDEX(PROGRESIONES!$P$6:$P$19,MATCH(B19,PROGRESIONES!$A$6:$A$19,0))),"CALIBRAR"))))),"—"))</f>
        <v>CALIBRAR</v>
      </c>
      <c r="G19" s="18" t="str">
        <f aca="false">IFERROR(INDEX('PLAN SEMANAL'!$G$5:$G$32,MATCH($C$8&amp;"|"&amp;7,'PLAN SEMANAL'!$A$5:$A$32,0))&amp;"","")</f>
        <v>3</v>
      </c>
      <c r="H19" s="18" t="str">
        <f aca="false">IF(B19="","",IF(C19="Bilbo","Máx. explosivas, sin fallo absoluto · esperadas ≈ "&amp;IF(INDEX('ESTADO ACTUAL'!$R$6:$R$8,MATCH(B19,'ESTADO ACTUAL'!$A$6:$A$8,0))="","30–40 (calibración)",INDEX('ESTADO ACTUAL'!$R$6:$R$8,MATCH(B19,'ESTADO ACTUAL'!$A$6:$A$8,0))),IF(C19="Trabajo",IFERROR(INDEX(PROGRESIONES!$Q$6:$Q$19,MATCH(B19,PROGRESIONES!$A$6:$A$19,0)),INDEX('PLAN SEMANAL'!$H$5:$H$32,MATCH($C$8&amp;"|"&amp;7,'PLAN SEMANAL'!$A$5:$A$32,0))),INDEX('PLAN SEMANAL'!$H$5:$H$32,MATCH($C$8&amp;"|"&amp;7,'PLAN SEMANAL'!$A$5:$A$32,0)))))</f>
        <v>Calibrar: carga que permita 10–12 reps @RIR 1–2 en la 1ª serie</v>
      </c>
      <c r="I19" s="18" t="str">
        <f aca="false">IFERROR(INDEX('PLAN SEMANAL'!$I$5:$I$32,MATCH($C$8&amp;"|"&amp;7,'PLAN SEMANAL'!$A$5:$A$32,0))&amp;"","")</f>
        <v>1</v>
      </c>
      <c r="J19" s="18" t="str">
        <f aca="false">IFERROR(INDEX('PLAN SEMANAL'!$J$5:$J$32,MATCH($C$8&amp;"|"&amp;7,'PLAN SEMANAL'!$A$5:$A$32,0))&amp;"","")</f>
        <v>1,5–2 min</v>
      </c>
      <c r="K19" s="18" t="str">
        <f aca="false">IF(B19="","",IF(C19="Bilbo",INDEX('ESTADO ACTUAL'!$E$6:$E$8,MATCH(B19,'ESTADO ACTUAL'!$A$6:$A$8,0))&amp;" · "&amp;INDEX('ESTADO ACTUAL'!$S$6:$S$8,MATCH(B19,'ESTADO ACTUAL'!$A$6:$A$8,0)),IF(C19="Post-Bilbo","% post "&amp;ROUND(INDEX('ESTADO ACTUAL'!$AE$6:$AE$8,MATCH(B19,'ESTADO ACTUAL'!$A$6:$A$8,0))*100,1)&amp;"% sobre el peso Bilbo · 3×8–12 @RIR1",IFERROR(INDEX(PROGRESIONES!$N$6:$N$19,MATCH(B19,PROGRESIONES!$A$6:$A$19,0)),""))))</f>
        <v>CALIBRAR</v>
      </c>
      <c r="L19" s="18" t="str">
        <f aca="false">IFERROR(INDEX('PLAN SEMANAL'!$L$5:$L$32,MATCH($C$8&amp;"|"&amp;7,'PLAN SEMANAL'!$A$5:$A$32,0))&amp;"","")</f>
        <v>Doble progresión.</v>
      </c>
      <c r="M19" s="11"/>
    </row>
    <row r="21" customFormat="false" ht="15" hidden="false" customHeight="true" outlineLevel="0" collapsed="false">
      <c r="A21" s="33" t="s">
        <v>512</v>
      </c>
    </row>
    <row r="22" customFormat="false" ht="15" hidden="false" customHeight="true" outlineLevel="0" collapsed="false">
      <c r="A22" s="4" t="s">
        <v>513</v>
      </c>
    </row>
    <row r="23" customFormat="false" ht="15" hidden="false" customHeight="true" outlineLevel="0" collapsed="false">
      <c r="A23" s="4" t="s">
        <v>514</v>
      </c>
    </row>
    <row r="24" customFormat="false" ht="15" hidden="false" customHeight="true" outlineLevel="0" collapsed="false">
      <c r="A24" s="4" t="s">
        <v>515</v>
      </c>
    </row>
    <row r="25" customFormat="false" ht="15" hidden="false" customHeight="true" outlineLevel="0" collapsed="false">
      <c r="A25" s="4" t="s">
        <v>516</v>
      </c>
    </row>
    <row r="26" customFormat="false" ht="15" hidden="false" customHeight="true" outlineLevel="0" collapsed="false">
      <c r="A26" s="4" t="s">
        <v>517</v>
      </c>
    </row>
  </sheetData>
  <mergeCells count="12">
    <mergeCell ref="A5:B5"/>
    <mergeCell ref="C5:H5"/>
    <mergeCell ref="A6:B6"/>
    <mergeCell ref="C6:H6"/>
    <mergeCell ref="A7:B7"/>
    <mergeCell ref="C7:H7"/>
    <mergeCell ref="A8:B8"/>
    <mergeCell ref="C8:H8"/>
    <mergeCell ref="A9:B9"/>
    <mergeCell ref="C9:H9"/>
    <mergeCell ref="A10:B10"/>
    <mergeCell ref="C10:H10"/>
  </mergeCells>
  <dataValidations count="1">
    <dataValidation allowBlank="true" errorStyle="stop" operator="between" showDropDown="false" showErrorMessage="false" showInputMessage="false" sqref="C7" type="list">
      <formula1>"LUNES,MARTES,MIÉRCOLES,JUEVES,VIERNES"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M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4" min="2" style="1" width="26"/>
    <col collapsed="false" customWidth="true" hidden="false" outlineLevel="0" max="8" min="5" style="1" width="12"/>
    <col collapsed="false" customWidth="true" hidden="false" outlineLevel="0" max="9" min="9" style="1" width="30"/>
    <col collapsed="false" customWidth="true" hidden="false" outlineLevel="0" max="13" min="10" style="1" width="12"/>
  </cols>
  <sheetData>
    <row r="1" customFormat="false" ht="27.75" hidden="false" customHeight="true" outlineLevel="0" collapsed="false">
      <c r="A1" s="2" t="s">
        <v>518</v>
      </c>
      <c r="B1" s="3"/>
      <c r="C1" s="3"/>
      <c r="D1" s="3"/>
      <c r="E1" s="3"/>
      <c r="F1" s="3"/>
      <c r="G1" s="3"/>
      <c r="H1" s="3"/>
      <c r="I1" s="3"/>
      <c r="J1" s="3"/>
      <c r="K1" s="3"/>
      <c r="L1" s="3"/>
      <c r="M1" s="3"/>
    </row>
    <row r="2" customFormat="false" ht="15" hidden="false" customHeight="true" outlineLevel="0" collapsed="false">
      <c r="A2" s="4" t="s">
        <v>519</v>
      </c>
    </row>
    <row r="4" customFormat="false" ht="15" hidden="false" customHeight="true" outlineLevel="0" collapsed="false">
      <c r="A4" s="33" t="s">
        <v>520</v>
      </c>
    </row>
    <row r="5" customFormat="false" ht="30" hidden="false" customHeight="true" outlineLevel="0" collapsed="false">
      <c r="A5" s="5" t="s">
        <v>261</v>
      </c>
      <c r="B5" s="5" t="s">
        <v>521</v>
      </c>
      <c r="C5" s="5" t="s">
        <v>522</v>
      </c>
      <c r="D5" s="5" t="s">
        <v>523</v>
      </c>
      <c r="E5" s="5" t="s">
        <v>524</v>
      </c>
      <c r="F5" s="5" t="s">
        <v>525</v>
      </c>
      <c r="G5" s="5" t="s">
        <v>526</v>
      </c>
      <c r="H5" s="5" t="s">
        <v>527</v>
      </c>
      <c r="I5" s="5" t="s">
        <v>425</v>
      </c>
      <c r="J5" s="5" t="s">
        <v>528</v>
      </c>
      <c r="K5" s="5" t="s">
        <v>529</v>
      </c>
      <c r="L5" s="5" t="s">
        <v>530</v>
      </c>
      <c r="M5" s="5" t="s">
        <v>531</v>
      </c>
    </row>
    <row r="6" customFormat="false" ht="30" hidden="false" customHeight="true" outlineLevel="0" collapsed="false">
      <c r="A6" s="10" t="s">
        <v>274</v>
      </c>
      <c r="B6" s="31" t="n">
        <f aca="false">'ESTADO ACTUAL'!$C$6</f>
        <v>1</v>
      </c>
      <c r="C6" s="20" t="str">
        <f aca="false">'ESTADO ACTUAL'!$E$6</f>
        <v>Ciclo 1 · sesión 1</v>
      </c>
      <c r="D6" s="20" t="str">
        <f aca="false">IF('ESTADO ACTUAL'!$I$6="","—",'ESTADO ACTUAL'!$I$6&amp;" × "&amp;'ESTADO ACTUAL'!$J$6)</f>
        <v>—</v>
      </c>
      <c r="E6" s="20" t="str">
        <f aca="false">IF('ESTADO ACTUAL'!$O$6="","CALIBRAR",'ESTADO ACTUAL'!$O$6)</f>
        <v>CALIBRAR</v>
      </c>
      <c r="F6" s="20" t="str">
        <f aca="false">'ESTADO ACTUAL'!$R$6</f>
        <v/>
      </c>
      <c r="G6" s="36" t="n">
        <f aca="false">'ESTADO ACTUAL'!$AE$6</f>
        <v>0.15</v>
      </c>
      <c r="H6" s="20" t="str">
        <f aca="false">'ESTADO ACTUAL'!$AF$6</f>
        <v/>
      </c>
      <c r="I6" s="20" t="str">
        <f aca="false">'ESTADO ACTUAL'!$S$6</f>
        <v>SIN DATOS · sesión de calibración</v>
      </c>
      <c r="J6" s="20" t="str">
        <f aca="false">'MEJORES MARCAS'!B5</f>
        <v/>
      </c>
      <c r="K6" s="20" t="str">
        <f aca="false">'MEJORES MARCAS'!C5</f>
        <v/>
      </c>
      <c r="L6" s="20" t="str">
        <f aca="false">'MEJORES MARCAS'!E5</f>
        <v/>
      </c>
      <c r="M6" s="20" t="str">
        <f aca="false">'MEJORES MARCAS'!G5</f>
        <v/>
      </c>
    </row>
    <row r="7" customFormat="false" ht="30" hidden="false" customHeight="true" outlineLevel="0" collapsed="false">
      <c r="A7" s="10" t="s">
        <v>282</v>
      </c>
      <c r="B7" s="31" t="n">
        <f aca="false">'ESTADO ACTUAL'!$C$7</f>
        <v>1</v>
      </c>
      <c r="C7" s="20" t="str">
        <f aca="false">'ESTADO ACTUAL'!$E$7</f>
        <v>Ciclo 1 · sesión 1</v>
      </c>
      <c r="D7" s="20" t="str">
        <f aca="false">IF('ESTADO ACTUAL'!$I$7="","—",'ESTADO ACTUAL'!$I$7&amp;" × "&amp;'ESTADO ACTUAL'!$J$7)</f>
        <v>—</v>
      </c>
      <c r="E7" s="20" t="str">
        <f aca="false">IF('ESTADO ACTUAL'!$O$7="","CALIBRAR",'ESTADO ACTUAL'!$O$7)</f>
        <v>CALIBRAR</v>
      </c>
      <c r="F7" s="20" t="str">
        <f aca="false">'ESTADO ACTUAL'!$R$7</f>
        <v/>
      </c>
      <c r="G7" s="36" t="n">
        <f aca="false">'ESTADO ACTUAL'!$AE$7</f>
        <v>0.15</v>
      </c>
      <c r="H7" s="20" t="str">
        <f aca="false">'ESTADO ACTUAL'!$AF$7</f>
        <v/>
      </c>
      <c r="I7" s="20" t="str">
        <f aca="false">'ESTADO ACTUAL'!$S$7</f>
        <v>SIN DATOS · sesión de calibración</v>
      </c>
      <c r="J7" s="20" t="str">
        <f aca="false">'MEJORES MARCAS'!B6</f>
        <v/>
      </c>
      <c r="K7" s="20" t="str">
        <f aca="false">'MEJORES MARCAS'!C6</f>
        <v/>
      </c>
      <c r="L7" s="20" t="str">
        <f aca="false">'MEJORES MARCAS'!E6</f>
        <v/>
      </c>
      <c r="M7" s="20" t="str">
        <f aca="false">'MEJORES MARCAS'!G6</f>
        <v/>
      </c>
    </row>
    <row r="8" customFormat="false" ht="30" hidden="false" customHeight="true" outlineLevel="0" collapsed="false">
      <c r="A8" s="10" t="s">
        <v>283</v>
      </c>
      <c r="B8" s="31" t="n">
        <f aca="false">'ESTADO ACTUAL'!$C$8</f>
        <v>1</v>
      </c>
      <c r="C8" s="20" t="str">
        <f aca="false">'ESTADO ACTUAL'!$E$8</f>
        <v>Ciclo 1 · sesión 1</v>
      </c>
      <c r="D8" s="20" t="str">
        <f aca="false">IF('ESTADO ACTUAL'!$I$8="","—",'ESTADO ACTUAL'!$I$8&amp;" × "&amp;'ESTADO ACTUAL'!$J$8)</f>
        <v>—</v>
      </c>
      <c r="E8" s="20" t="str">
        <f aca="false">IF('ESTADO ACTUAL'!$O$8="","CALIBRAR",'ESTADO ACTUAL'!$O$8)</f>
        <v>CALIBRAR</v>
      </c>
      <c r="F8" s="20" t="str">
        <f aca="false">'ESTADO ACTUAL'!$R$8</f>
        <v/>
      </c>
      <c r="G8" s="36" t="n">
        <f aca="false">'ESTADO ACTUAL'!$AE$8</f>
        <v>0.15</v>
      </c>
      <c r="H8" s="20" t="str">
        <f aca="false">'ESTADO ACTUAL'!$AF$8</f>
        <v/>
      </c>
      <c r="I8" s="20" t="str">
        <f aca="false">'ESTADO ACTUAL'!$S$8</f>
        <v>SIN DATOS · sesión de calibración</v>
      </c>
      <c r="J8" s="20" t="str">
        <f aca="false">'MEJORES MARCAS'!B7</f>
        <v/>
      </c>
      <c r="K8" s="20" t="str">
        <f aca="false">'MEJORES MARCAS'!C7</f>
        <v/>
      </c>
      <c r="L8" s="20" t="str">
        <f aca="false">'MEJORES MARCAS'!E7</f>
        <v/>
      </c>
      <c r="M8" s="20" t="str">
        <f aca="false">'MEJORES MARCAS'!G7</f>
        <v/>
      </c>
    </row>
    <row r="10" customFormat="false" ht="15" hidden="false" customHeight="true" outlineLevel="0" collapsed="false">
      <c r="A10" s="33" t="s">
        <v>532</v>
      </c>
    </row>
    <row r="11" customFormat="false" ht="15" hidden="false" customHeight="true" outlineLevel="0" collapsed="false">
      <c r="A11" s="5" t="s">
        <v>521</v>
      </c>
      <c r="B11" s="5" t="s">
        <v>274</v>
      </c>
      <c r="C11" s="5" t="s">
        <v>282</v>
      </c>
      <c r="D11" s="5" t="s">
        <v>283</v>
      </c>
    </row>
    <row r="12" customFormat="false" ht="15" hidden="false" customHeight="true" outlineLevel="0" collapsed="false">
      <c r="A12" s="10" t="n">
        <v>1</v>
      </c>
      <c r="B12" s="18" t="str">
        <f aca="false">IF(COUNTIFS('CICLOS BILBO'!$A$6:$A$105,"Press banca",'CICLOS BILBO'!$B$6:$B$105,1)=0,"",IF(SUMIFS('CICLOS BILBO'!$J$6:$J$105,'CICLOS BILBO'!$A$6:$A$105,"Press banca",'CICLOS BILBO'!$B$6:$B$105,1)=0,"abierto, sin sesiones",SUMIFS('CICLOS BILBO'!$E$6:$E$105,'CICLOS BILBO'!$A$6:$A$105,"Press banca",'CICLOS BILBO'!$B$6:$B$105,1)&amp;"×"&amp;SUMIFS('CICLOS BILBO'!$F$6:$F$105,'CICLOS BILBO'!$A$6:$A$105,"Press banca",'CICLOS BILBO'!$B$6:$B$105,1)&amp;" → "&amp;SUMIFS('CICLOS BILBO'!$H$6:$H$105,'CICLOS BILBO'!$A$6:$A$105,"Press banca",'CICLOS BILBO'!$B$6:$B$105,1)&amp;"×"&amp;SUMIFS('CICLOS BILBO'!$I$6:$I$105,'CICLOS BILBO'!$A$6:$A$105,"Press banca",'CICLOS BILBO'!$B$6:$B$105,1)&amp;" ("&amp;SUMIFS('CICLOS BILBO'!$J$6:$J$105,'CICLOS BILBO'!$A$6:$A$105,"Press banca",'CICLOS BILBO'!$B$6:$B$105,1)&amp;" ses.)"))</f>
        <v>abierto, sin sesiones</v>
      </c>
      <c r="C12" s="18" t="str">
        <f aca="false">IF(COUNTIFS('CICLOS BILBO'!$A$6:$A$105,"Press militar",'CICLOS BILBO'!$B$6:$B$105,1)=0,"",IF(SUMIFS('CICLOS BILBO'!$J$6:$J$105,'CICLOS BILBO'!$A$6:$A$105,"Press militar",'CICLOS BILBO'!$B$6:$B$105,1)=0,"abierto, sin sesiones",SUMIFS('CICLOS BILBO'!$E$6:$E$105,'CICLOS BILBO'!$A$6:$A$105,"Press militar",'CICLOS BILBO'!$B$6:$B$105,1)&amp;"×"&amp;SUMIFS('CICLOS BILBO'!$F$6:$F$105,'CICLOS BILBO'!$A$6:$A$105,"Press militar",'CICLOS BILBO'!$B$6:$B$105,1)&amp;" → "&amp;SUMIFS('CICLOS BILBO'!$H$6:$H$105,'CICLOS BILBO'!$A$6:$A$105,"Press militar",'CICLOS BILBO'!$B$6:$B$105,1)&amp;"×"&amp;SUMIFS('CICLOS BILBO'!$I$6:$I$105,'CICLOS BILBO'!$A$6:$A$105,"Press militar",'CICLOS BILBO'!$B$6:$B$105,1)&amp;" ("&amp;SUMIFS('CICLOS BILBO'!$J$6:$J$105,'CICLOS BILBO'!$A$6:$A$105,"Press militar",'CICLOS BILBO'!$B$6:$B$105,1)&amp;" ses.)"))</f>
        <v>abierto, sin sesiones</v>
      </c>
      <c r="D12" s="18" t="str">
        <f aca="false">IF(COUNTIFS('CICLOS BILBO'!$A$6:$A$105,"Remo bajo en polea",'CICLOS BILBO'!$B$6:$B$105,1)=0,"",IF(SUMIFS('CICLOS BILBO'!$J$6:$J$105,'CICLOS BILBO'!$A$6:$A$105,"Remo bajo en polea",'CICLOS BILBO'!$B$6:$B$105,1)=0,"abierto, sin sesiones",SUMIFS('CICLOS BILBO'!$E$6:$E$105,'CICLOS BILBO'!$A$6:$A$105,"Remo bajo en polea",'CICLOS BILBO'!$B$6:$B$105,1)&amp;"×"&amp;SUMIFS('CICLOS BILBO'!$F$6:$F$105,'CICLOS BILBO'!$A$6:$A$105,"Remo bajo en polea",'CICLOS BILBO'!$B$6:$B$105,1)&amp;" → "&amp;SUMIFS('CICLOS BILBO'!$H$6:$H$105,'CICLOS BILBO'!$A$6:$A$105,"Remo bajo en polea",'CICLOS BILBO'!$B$6:$B$105,1)&amp;"×"&amp;SUMIFS('CICLOS BILBO'!$I$6:$I$105,'CICLOS BILBO'!$A$6:$A$105,"Remo bajo en polea",'CICLOS BILBO'!$B$6:$B$105,1)&amp;" ("&amp;SUMIFS('CICLOS BILBO'!$J$6:$J$105,'CICLOS BILBO'!$A$6:$A$105,"Remo bajo en polea",'CICLOS BILBO'!$B$6:$B$105,1)&amp;" ses.)"))</f>
        <v>abierto, sin sesiones</v>
      </c>
    </row>
    <row r="13" customFormat="false" ht="15" hidden="false" customHeight="true" outlineLevel="0" collapsed="false">
      <c r="A13" s="10" t="n">
        <v>2</v>
      </c>
      <c r="B13" s="18" t="str">
        <f aca="false">IF(COUNTIFS('CICLOS BILBO'!$A$6:$A$105,"Press banca",'CICLOS BILBO'!$B$6:$B$105,2)=0,"",IF(SUMIFS('CICLOS BILBO'!$J$6:$J$105,'CICLOS BILBO'!$A$6:$A$105,"Press banca",'CICLOS BILBO'!$B$6:$B$105,2)=0,"abierto, sin sesiones",SUMIFS('CICLOS BILBO'!$E$6:$E$105,'CICLOS BILBO'!$A$6:$A$105,"Press banca",'CICLOS BILBO'!$B$6:$B$105,2)&amp;"×"&amp;SUMIFS('CICLOS BILBO'!$F$6:$F$105,'CICLOS BILBO'!$A$6:$A$105,"Press banca",'CICLOS BILBO'!$B$6:$B$105,2)&amp;" → "&amp;SUMIFS('CICLOS BILBO'!$H$6:$H$105,'CICLOS BILBO'!$A$6:$A$105,"Press banca",'CICLOS BILBO'!$B$6:$B$105,2)&amp;"×"&amp;SUMIFS('CICLOS BILBO'!$I$6:$I$105,'CICLOS BILBO'!$A$6:$A$105,"Press banca",'CICLOS BILBO'!$B$6:$B$105,2)&amp;" ("&amp;SUMIFS('CICLOS BILBO'!$J$6:$J$105,'CICLOS BILBO'!$A$6:$A$105,"Press banca",'CICLOS BILBO'!$B$6:$B$105,2)&amp;" ses.)"))</f>
        <v/>
      </c>
      <c r="C13" s="18" t="str">
        <f aca="false">IF(COUNTIFS('CICLOS BILBO'!$A$6:$A$105,"Press militar",'CICLOS BILBO'!$B$6:$B$105,2)=0,"",IF(SUMIFS('CICLOS BILBO'!$J$6:$J$105,'CICLOS BILBO'!$A$6:$A$105,"Press militar",'CICLOS BILBO'!$B$6:$B$105,2)=0,"abierto, sin sesiones",SUMIFS('CICLOS BILBO'!$E$6:$E$105,'CICLOS BILBO'!$A$6:$A$105,"Press militar",'CICLOS BILBO'!$B$6:$B$105,2)&amp;"×"&amp;SUMIFS('CICLOS BILBO'!$F$6:$F$105,'CICLOS BILBO'!$A$6:$A$105,"Press militar",'CICLOS BILBO'!$B$6:$B$105,2)&amp;" → "&amp;SUMIFS('CICLOS BILBO'!$H$6:$H$105,'CICLOS BILBO'!$A$6:$A$105,"Press militar",'CICLOS BILBO'!$B$6:$B$105,2)&amp;"×"&amp;SUMIFS('CICLOS BILBO'!$I$6:$I$105,'CICLOS BILBO'!$A$6:$A$105,"Press militar",'CICLOS BILBO'!$B$6:$B$105,2)&amp;" ("&amp;SUMIFS('CICLOS BILBO'!$J$6:$J$105,'CICLOS BILBO'!$A$6:$A$105,"Press militar",'CICLOS BILBO'!$B$6:$B$105,2)&amp;" ses.)"))</f>
        <v/>
      </c>
      <c r="D13" s="18" t="str">
        <f aca="false">IF(COUNTIFS('CICLOS BILBO'!$A$6:$A$105,"Remo bajo en polea",'CICLOS BILBO'!$B$6:$B$105,2)=0,"",IF(SUMIFS('CICLOS BILBO'!$J$6:$J$105,'CICLOS BILBO'!$A$6:$A$105,"Remo bajo en polea",'CICLOS BILBO'!$B$6:$B$105,2)=0,"abierto, sin sesiones",SUMIFS('CICLOS BILBO'!$E$6:$E$105,'CICLOS BILBO'!$A$6:$A$105,"Remo bajo en polea",'CICLOS BILBO'!$B$6:$B$105,2)&amp;"×"&amp;SUMIFS('CICLOS BILBO'!$F$6:$F$105,'CICLOS BILBO'!$A$6:$A$105,"Remo bajo en polea",'CICLOS BILBO'!$B$6:$B$105,2)&amp;" → "&amp;SUMIFS('CICLOS BILBO'!$H$6:$H$105,'CICLOS BILBO'!$A$6:$A$105,"Remo bajo en polea",'CICLOS BILBO'!$B$6:$B$105,2)&amp;"×"&amp;SUMIFS('CICLOS BILBO'!$I$6:$I$105,'CICLOS BILBO'!$A$6:$A$105,"Remo bajo en polea",'CICLOS BILBO'!$B$6:$B$105,2)&amp;" ("&amp;SUMIFS('CICLOS BILBO'!$J$6:$J$105,'CICLOS BILBO'!$A$6:$A$105,"Remo bajo en polea",'CICLOS BILBO'!$B$6:$B$105,2)&amp;" ses.)"))</f>
        <v/>
      </c>
    </row>
    <row r="14" customFormat="false" ht="15" hidden="false" customHeight="true" outlineLevel="0" collapsed="false">
      <c r="A14" s="10" t="n">
        <v>3</v>
      </c>
      <c r="B14" s="18" t="str">
        <f aca="false">IF(COUNTIFS('CICLOS BILBO'!$A$6:$A$105,"Press banca",'CICLOS BILBO'!$B$6:$B$105,3)=0,"",IF(SUMIFS('CICLOS BILBO'!$J$6:$J$105,'CICLOS BILBO'!$A$6:$A$105,"Press banca",'CICLOS BILBO'!$B$6:$B$105,3)=0,"abierto, sin sesiones",SUMIFS('CICLOS BILBO'!$E$6:$E$105,'CICLOS BILBO'!$A$6:$A$105,"Press banca",'CICLOS BILBO'!$B$6:$B$105,3)&amp;"×"&amp;SUMIFS('CICLOS BILBO'!$F$6:$F$105,'CICLOS BILBO'!$A$6:$A$105,"Press banca",'CICLOS BILBO'!$B$6:$B$105,3)&amp;" → "&amp;SUMIFS('CICLOS BILBO'!$H$6:$H$105,'CICLOS BILBO'!$A$6:$A$105,"Press banca",'CICLOS BILBO'!$B$6:$B$105,3)&amp;"×"&amp;SUMIFS('CICLOS BILBO'!$I$6:$I$105,'CICLOS BILBO'!$A$6:$A$105,"Press banca",'CICLOS BILBO'!$B$6:$B$105,3)&amp;" ("&amp;SUMIFS('CICLOS BILBO'!$J$6:$J$105,'CICLOS BILBO'!$A$6:$A$105,"Press banca",'CICLOS BILBO'!$B$6:$B$105,3)&amp;" ses.)"))</f>
        <v/>
      </c>
      <c r="C14" s="18" t="str">
        <f aca="false">IF(COUNTIFS('CICLOS BILBO'!$A$6:$A$105,"Press militar",'CICLOS BILBO'!$B$6:$B$105,3)=0,"",IF(SUMIFS('CICLOS BILBO'!$J$6:$J$105,'CICLOS BILBO'!$A$6:$A$105,"Press militar",'CICLOS BILBO'!$B$6:$B$105,3)=0,"abierto, sin sesiones",SUMIFS('CICLOS BILBO'!$E$6:$E$105,'CICLOS BILBO'!$A$6:$A$105,"Press militar",'CICLOS BILBO'!$B$6:$B$105,3)&amp;"×"&amp;SUMIFS('CICLOS BILBO'!$F$6:$F$105,'CICLOS BILBO'!$A$6:$A$105,"Press militar",'CICLOS BILBO'!$B$6:$B$105,3)&amp;" → "&amp;SUMIFS('CICLOS BILBO'!$H$6:$H$105,'CICLOS BILBO'!$A$6:$A$105,"Press militar",'CICLOS BILBO'!$B$6:$B$105,3)&amp;"×"&amp;SUMIFS('CICLOS BILBO'!$I$6:$I$105,'CICLOS BILBO'!$A$6:$A$105,"Press militar",'CICLOS BILBO'!$B$6:$B$105,3)&amp;" ("&amp;SUMIFS('CICLOS BILBO'!$J$6:$J$105,'CICLOS BILBO'!$A$6:$A$105,"Press militar",'CICLOS BILBO'!$B$6:$B$105,3)&amp;" ses.)"))</f>
        <v/>
      </c>
      <c r="D14" s="18" t="str">
        <f aca="false">IF(COUNTIFS('CICLOS BILBO'!$A$6:$A$105,"Remo bajo en polea",'CICLOS BILBO'!$B$6:$B$105,3)=0,"",IF(SUMIFS('CICLOS BILBO'!$J$6:$J$105,'CICLOS BILBO'!$A$6:$A$105,"Remo bajo en polea",'CICLOS BILBO'!$B$6:$B$105,3)=0,"abierto, sin sesiones",SUMIFS('CICLOS BILBO'!$E$6:$E$105,'CICLOS BILBO'!$A$6:$A$105,"Remo bajo en polea",'CICLOS BILBO'!$B$6:$B$105,3)&amp;"×"&amp;SUMIFS('CICLOS BILBO'!$F$6:$F$105,'CICLOS BILBO'!$A$6:$A$105,"Remo bajo en polea",'CICLOS BILBO'!$B$6:$B$105,3)&amp;" → "&amp;SUMIFS('CICLOS BILBO'!$H$6:$H$105,'CICLOS BILBO'!$A$6:$A$105,"Remo bajo en polea",'CICLOS BILBO'!$B$6:$B$105,3)&amp;"×"&amp;SUMIFS('CICLOS BILBO'!$I$6:$I$105,'CICLOS BILBO'!$A$6:$A$105,"Remo bajo en polea",'CICLOS BILBO'!$B$6:$B$105,3)&amp;" ("&amp;SUMIFS('CICLOS BILBO'!$J$6:$J$105,'CICLOS BILBO'!$A$6:$A$105,"Remo bajo en polea",'CICLOS BILBO'!$B$6:$B$105,3)&amp;" ses.)"))</f>
        <v/>
      </c>
    </row>
    <row r="15" customFormat="false" ht="15" hidden="false" customHeight="true" outlineLevel="0" collapsed="false">
      <c r="A15" s="10" t="n">
        <v>4</v>
      </c>
      <c r="B15" s="18" t="str">
        <f aca="false">IF(COUNTIFS('CICLOS BILBO'!$A$6:$A$105,"Press banca",'CICLOS BILBO'!$B$6:$B$105,4)=0,"",IF(SUMIFS('CICLOS BILBO'!$J$6:$J$105,'CICLOS BILBO'!$A$6:$A$105,"Press banca",'CICLOS BILBO'!$B$6:$B$105,4)=0,"abierto, sin sesiones",SUMIFS('CICLOS BILBO'!$E$6:$E$105,'CICLOS BILBO'!$A$6:$A$105,"Press banca",'CICLOS BILBO'!$B$6:$B$105,4)&amp;"×"&amp;SUMIFS('CICLOS BILBO'!$F$6:$F$105,'CICLOS BILBO'!$A$6:$A$105,"Press banca",'CICLOS BILBO'!$B$6:$B$105,4)&amp;" → "&amp;SUMIFS('CICLOS BILBO'!$H$6:$H$105,'CICLOS BILBO'!$A$6:$A$105,"Press banca",'CICLOS BILBO'!$B$6:$B$105,4)&amp;"×"&amp;SUMIFS('CICLOS BILBO'!$I$6:$I$105,'CICLOS BILBO'!$A$6:$A$105,"Press banca",'CICLOS BILBO'!$B$6:$B$105,4)&amp;" ("&amp;SUMIFS('CICLOS BILBO'!$J$6:$J$105,'CICLOS BILBO'!$A$6:$A$105,"Press banca",'CICLOS BILBO'!$B$6:$B$105,4)&amp;" ses.)"))</f>
        <v/>
      </c>
      <c r="C15" s="18" t="str">
        <f aca="false">IF(COUNTIFS('CICLOS BILBO'!$A$6:$A$105,"Press militar",'CICLOS BILBO'!$B$6:$B$105,4)=0,"",IF(SUMIFS('CICLOS BILBO'!$J$6:$J$105,'CICLOS BILBO'!$A$6:$A$105,"Press militar",'CICLOS BILBO'!$B$6:$B$105,4)=0,"abierto, sin sesiones",SUMIFS('CICLOS BILBO'!$E$6:$E$105,'CICLOS BILBO'!$A$6:$A$105,"Press militar",'CICLOS BILBO'!$B$6:$B$105,4)&amp;"×"&amp;SUMIFS('CICLOS BILBO'!$F$6:$F$105,'CICLOS BILBO'!$A$6:$A$105,"Press militar",'CICLOS BILBO'!$B$6:$B$105,4)&amp;" → "&amp;SUMIFS('CICLOS BILBO'!$H$6:$H$105,'CICLOS BILBO'!$A$6:$A$105,"Press militar",'CICLOS BILBO'!$B$6:$B$105,4)&amp;"×"&amp;SUMIFS('CICLOS BILBO'!$I$6:$I$105,'CICLOS BILBO'!$A$6:$A$105,"Press militar",'CICLOS BILBO'!$B$6:$B$105,4)&amp;" ("&amp;SUMIFS('CICLOS BILBO'!$J$6:$J$105,'CICLOS BILBO'!$A$6:$A$105,"Press militar",'CICLOS BILBO'!$B$6:$B$105,4)&amp;" ses.)"))</f>
        <v/>
      </c>
      <c r="D15" s="18" t="str">
        <f aca="false">IF(COUNTIFS('CICLOS BILBO'!$A$6:$A$105,"Remo bajo en polea",'CICLOS BILBO'!$B$6:$B$105,4)=0,"",IF(SUMIFS('CICLOS BILBO'!$J$6:$J$105,'CICLOS BILBO'!$A$6:$A$105,"Remo bajo en polea",'CICLOS BILBO'!$B$6:$B$105,4)=0,"abierto, sin sesiones",SUMIFS('CICLOS BILBO'!$E$6:$E$105,'CICLOS BILBO'!$A$6:$A$105,"Remo bajo en polea",'CICLOS BILBO'!$B$6:$B$105,4)&amp;"×"&amp;SUMIFS('CICLOS BILBO'!$F$6:$F$105,'CICLOS BILBO'!$A$6:$A$105,"Remo bajo en polea",'CICLOS BILBO'!$B$6:$B$105,4)&amp;" → "&amp;SUMIFS('CICLOS BILBO'!$H$6:$H$105,'CICLOS BILBO'!$A$6:$A$105,"Remo bajo en polea",'CICLOS BILBO'!$B$6:$B$105,4)&amp;"×"&amp;SUMIFS('CICLOS BILBO'!$I$6:$I$105,'CICLOS BILBO'!$A$6:$A$105,"Remo bajo en polea",'CICLOS BILBO'!$B$6:$B$105,4)&amp;" ("&amp;SUMIFS('CICLOS BILBO'!$J$6:$J$105,'CICLOS BILBO'!$A$6:$A$105,"Remo bajo en polea",'CICLOS BILBO'!$B$6:$B$105,4)&amp;" ses.)"))</f>
        <v/>
      </c>
    </row>
    <row r="16" customFormat="false" ht="15" hidden="false" customHeight="true" outlineLevel="0" collapsed="false">
      <c r="A16" s="10" t="n">
        <v>5</v>
      </c>
      <c r="B16" s="18" t="str">
        <f aca="false">IF(COUNTIFS('CICLOS BILBO'!$A$6:$A$105,"Press banca",'CICLOS BILBO'!$B$6:$B$105,5)=0,"",IF(SUMIFS('CICLOS BILBO'!$J$6:$J$105,'CICLOS BILBO'!$A$6:$A$105,"Press banca",'CICLOS BILBO'!$B$6:$B$105,5)=0,"abierto, sin sesiones",SUMIFS('CICLOS BILBO'!$E$6:$E$105,'CICLOS BILBO'!$A$6:$A$105,"Press banca",'CICLOS BILBO'!$B$6:$B$105,5)&amp;"×"&amp;SUMIFS('CICLOS BILBO'!$F$6:$F$105,'CICLOS BILBO'!$A$6:$A$105,"Press banca",'CICLOS BILBO'!$B$6:$B$105,5)&amp;" → "&amp;SUMIFS('CICLOS BILBO'!$H$6:$H$105,'CICLOS BILBO'!$A$6:$A$105,"Press banca",'CICLOS BILBO'!$B$6:$B$105,5)&amp;"×"&amp;SUMIFS('CICLOS BILBO'!$I$6:$I$105,'CICLOS BILBO'!$A$6:$A$105,"Press banca",'CICLOS BILBO'!$B$6:$B$105,5)&amp;" ("&amp;SUMIFS('CICLOS BILBO'!$J$6:$J$105,'CICLOS BILBO'!$A$6:$A$105,"Press banca",'CICLOS BILBO'!$B$6:$B$105,5)&amp;" ses.)"))</f>
        <v/>
      </c>
      <c r="C16" s="18" t="str">
        <f aca="false">IF(COUNTIFS('CICLOS BILBO'!$A$6:$A$105,"Press militar",'CICLOS BILBO'!$B$6:$B$105,5)=0,"",IF(SUMIFS('CICLOS BILBO'!$J$6:$J$105,'CICLOS BILBO'!$A$6:$A$105,"Press militar",'CICLOS BILBO'!$B$6:$B$105,5)=0,"abierto, sin sesiones",SUMIFS('CICLOS BILBO'!$E$6:$E$105,'CICLOS BILBO'!$A$6:$A$105,"Press militar",'CICLOS BILBO'!$B$6:$B$105,5)&amp;"×"&amp;SUMIFS('CICLOS BILBO'!$F$6:$F$105,'CICLOS BILBO'!$A$6:$A$105,"Press militar",'CICLOS BILBO'!$B$6:$B$105,5)&amp;" → "&amp;SUMIFS('CICLOS BILBO'!$H$6:$H$105,'CICLOS BILBO'!$A$6:$A$105,"Press militar",'CICLOS BILBO'!$B$6:$B$105,5)&amp;"×"&amp;SUMIFS('CICLOS BILBO'!$I$6:$I$105,'CICLOS BILBO'!$A$6:$A$105,"Press militar",'CICLOS BILBO'!$B$6:$B$105,5)&amp;" ("&amp;SUMIFS('CICLOS BILBO'!$J$6:$J$105,'CICLOS BILBO'!$A$6:$A$105,"Press militar",'CICLOS BILBO'!$B$6:$B$105,5)&amp;" ses.)"))</f>
        <v/>
      </c>
      <c r="D16" s="18" t="str">
        <f aca="false">IF(COUNTIFS('CICLOS BILBO'!$A$6:$A$105,"Remo bajo en polea",'CICLOS BILBO'!$B$6:$B$105,5)=0,"",IF(SUMIFS('CICLOS BILBO'!$J$6:$J$105,'CICLOS BILBO'!$A$6:$A$105,"Remo bajo en polea",'CICLOS BILBO'!$B$6:$B$105,5)=0,"abierto, sin sesiones",SUMIFS('CICLOS BILBO'!$E$6:$E$105,'CICLOS BILBO'!$A$6:$A$105,"Remo bajo en polea",'CICLOS BILBO'!$B$6:$B$105,5)&amp;"×"&amp;SUMIFS('CICLOS BILBO'!$F$6:$F$105,'CICLOS BILBO'!$A$6:$A$105,"Remo bajo en polea",'CICLOS BILBO'!$B$6:$B$105,5)&amp;" → "&amp;SUMIFS('CICLOS BILBO'!$H$6:$H$105,'CICLOS BILBO'!$A$6:$A$105,"Remo bajo en polea",'CICLOS BILBO'!$B$6:$B$105,5)&amp;"×"&amp;SUMIFS('CICLOS BILBO'!$I$6:$I$105,'CICLOS BILBO'!$A$6:$A$105,"Remo bajo en polea",'CICLOS BILBO'!$B$6:$B$105,5)&amp;" ("&amp;SUMIFS('CICLOS BILBO'!$J$6:$J$105,'CICLOS BILBO'!$A$6:$A$105,"Remo bajo en polea",'CICLOS BILBO'!$B$6:$B$105,5)&amp;" ses.)"))</f>
        <v/>
      </c>
    </row>
    <row r="17" customFormat="false" ht="15" hidden="false" customHeight="true" outlineLevel="0" collapsed="false">
      <c r="A17" s="10" t="n">
        <v>6</v>
      </c>
      <c r="B17" s="18" t="str">
        <f aca="false">IF(COUNTIFS('CICLOS BILBO'!$A$6:$A$105,"Press banca",'CICLOS BILBO'!$B$6:$B$105,6)=0,"",IF(SUMIFS('CICLOS BILBO'!$J$6:$J$105,'CICLOS BILBO'!$A$6:$A$105,"Press banca",'CICLOS BILBO'!$B$6:$B$105,6)=0,"abierto, sin sesiones",SUMIFS('CICLOS BILBO'!$E$6:$E$105,'CICLOS BILBO'!$A$6:$A$105,"Press banca",'CICLOS BILBO'!$B$6:$B$105,6)&amp;"×"&amp;SUMIFS('CICLOS BILBO'!$F$6:$F$105,'CICLOS BILBO'!$A$6:$A$105,"Press banca",'CICLOS BILBO'!$B$6:$B$105,6)&amp;" → "&amp;SUMIFS('CICLOS BILBO'!$H$6:$H$105,'CICLOS BILBO'!$A$6:$A$105,"Press banca",'CICLOS BILBO'!$B$6:$B$105,6)&amp;"×"&amp;SUMIFS('CICLOS BILBO'!$I$6:$I$105,'CICLOS BILBO'!$A$6:$A$105,"Press banca",'CICLOS BILBO'!$B$6:$B$105,6)&amp;" ("&amp;SUMIFS('CICLOS BILBO'!$J$6:$J$105,'CICLOS BILBO'!$A$6:$A$105,"Press banca",'CICLOS BILBO'!$B$6:$B$105,6)&amp;" ses.)"))</f>
        <v/>
      </c>
      <c r="C17" s="18" t="str">
        <f aca="false">IF(COUNTIFS('CICLOS BILBO'!$A$6:$A$105,"Press militar",'CICLOS BILBO'!$B$6:$B$105,6)=0,"",IF(SUMIFS('CICLOS BILBO'!$J$6:$J$105,'CICLOS BILBO'!$A$6:$A$105,"Press militar",'CICLOS BILBO'!$B$6:$B$105,6)=0,"abierto, sin sesiones",SUMIFS('CICLOS BILBO'!$E$6:$E$105,'CICLOS BILBO'!$A$6:$A$105,"Press militar",'CICLOS BILBO'!$B$6:$B$105,6)&amp;"×"&amp;SUMIFS('CICLOS BILBO'!$F$6:$F$105,'CICLOS BILBO'!$A$6:$A$105,"Press militar",'CICLOS BILBO'!$B$6:$B$105,6)&amp;" → "&amp;SUMIFS('CICLOS BILBO'!$H$6:$H$105,'CICLOS BILBO'!$A$6:$A$105,"Press militar",'CICLOS BILBO'!$B$6:$B$105,6)&amp;"×"&amp;SUMIFS('CICLOS BILBO'!$I$6:$I$105,'CICLOS BILBO'!$A$6:$A$105,"Press militar",'CICLOS BILBO'!$B$6:$B$105,6)&amp;" ("&amp;SUMIFS('CICLOS BILBO'!$J$6:$J$105,'CICLOS BILBO'!$A$6:$A$105,"Press militar",'CICLOS BILBO'!$B$6:$B$105,6)&amp;" ses.)"))</f>
        <v/>
      </c>
      <c r="D17" s="18" t="str">
        <f aca="false">IF(COUNTIFS('CICLOS BILBO'!$A$6:$A$105,"Remo bajo en polea",'CICLOS BILBO'!$B$6:$B$105,6)=0,"",IF(SUMIFS('CICLOS BILBO'!$J$6:$J$105,'CICLOS BILBO'!$A$6:$A$105,"Remo bajo en polea",'CICLOS BILBO'!$B$6:$B$105,6)=0,"abierto, sin sesiones",SUMIFS('CICLOS BILBO'!$E$6:$E$105,'CICLOS BILBO'!$A$6:$A$105,"Remo bajo en polea",'CICLOS BILBO'!$B$6:$B$105,6)&amp;"×"&amp;SUMIFS('CICLOS BILBO'!$F$6:$F$105,'CICLOS BILBO'!$A$6:$A$105,"Remo bajo en polea",'CICLOS BILBO'!$B$6:$B$105,6)&amp;" → "&amp;SUMIFS('CICLOS BILBO'!$H$6:$H$105,'CICLOS BILBO'!$A$6:$A$105,"Remo bajo en polea",'CICLOS BILBO'!$B$6:$B$105,6)&amp;"×"&amp;SUMIFS('CICLOS BILBO'!$I$6:$I$105,'CICLOS BILBO'!$A$6:$A$105,"Remo bajo en polea",'CICLOS BILBO'!$B$6:$B$105,6)&amp;" ("&amp;SUMIFS('CICLOS BILBO'!$J$6:$J$105,'CICLOS BILBO'!$A$6:$A$105,"Remo bajo en polea",'CICLOS BILBO'!$B$6:$B$105,6)&amp;" ses.)"))</f>
        <v/>
      </c>
    </row>
    <row r="18" customFormat="false" ht="15" hidden="false" customHeight="true" outlineLevel="0" collapsed="false">
      <c r="A18" s="10" t="n">
        <v>7</v>
      </c>
      <c r="B18" s="18" t="str">
        <f aca="false">IF(COUNTIFS('CICLOS BILBO'!$A$6:$A$105,"Press banca",'CICLOS BILBO'!$B$6:$B$105,7)=0,"",IF(SUMIFS('CICLOS BILBO'!$J$6:$J$105,'CICLOS BILBO'!$A$6:$A$105,"Press banca",'CICLOS BILBO'!$B$6:$B$105,7)=0,"abierto, sin sesiones",SUMIFS('CICLOS BILBO'!$E$6:$E$105,'CICLOS BILBO'!$A$6:$A$105,"Press banca",'CICLOS BILBO'!$B$6:$B$105,7)&amp;"×"&amp;SUMIFS('CICLOS BILBO'!$F$6:$F$105,'CICLOS BILBO'!$A$6:$A$105,"Press banca",'CICLOS BILBO'!$B$6:$B$105,7)&amp;" → "&amp;SUMIFS('CICLOS BILBO'!$H$6:$H$105,'CICLOS BILBO'!$A$6:$A$105,"Press banca",'CICLOS BILBO'!$B$6:$B$105,7)&amp;"×"&amp;SUMIFS('CICLOS BILBO'!$I$6:$I$105,'CICLOS BILBO'!$A$6:$A$105,"Press banca",'CICLOS BILBO'!$B$6:$B$105,7)&amp;" ("&amp;SUMIFS('CICLOS BILBO'!$J$6:$J$105,'CICLOS BILBO'!$A$6:$A$105,"Press banca",'CICLOS BILBO'!$B$6:$B$105,7)&amp;" ses.)"))</f>
        <v/>
      </c>
      <c r="C18" s="18" t="str">
        <f aca="false">IF(COUNTIFS('CICLOS BILBO'!$A$6:$A$105,"Press militar",'CICLOS BILBO'!$B$6:$B$105,7)=0,"",IF(SUMIFS('CICLOS BILBO'!$J$6:$J$105,'CICLOS BILBO'!$A$6:$A$105,"Press militar",'CICLOS BILBO'!$B$6:$B$105,7)=0,"abierto, sin sesiones",SUMIFS('CICLOS BILBO'!$E$6:$E$105,'CICLOS BILBO'!$A$6:$A$105,"Press militar",'CICLOS BILBO'!$B$6:$B$105,7)&amp;"×"&amp;SUMIFS('CICLOS BILBO'!$F$6:$F$105,'CICLOS BILBO'!$A$6:$A$105,"Press militar",'CICLOS BILBO'!$B$6:$B$105,7)&amp;" → "&amp;SUMIFS('CICLOS BILBO'!$H$6:$H$105,'CICLOS BILBO'!$A$6:$A$105,"Press militar",'CICLOS BILBO'!$B$6:$B$105,7)&amp;"×"&amp;SUMIFS('CICLOS BILBO'!$I$6:$I$105,'CICLOS BILBO'!$A$6:$A$105,"Press militar",'CICLOS BILBO'!$B$6:$B$105,7)&amp;" ("&amp;SUMIFS('CICLOS BILBO'!$J$6:$J$105,'CICLOS BILBO'!$A$6:$A$105,"Press militar",'CICLOS BILBO'!$B$6:$B$105,7)&amp;" ses.)"))</f>
        <v/>
      </c>
      <c r="D18" s="18" t="str">
        <f aca="false">IF(COUNTIFS('CICLOS BILBO'!$A$6:$A$105,"Remo bajo en polea",'CICLOS BILBO'!$B$6:$B$105,7)=0,"",IF(SUMIFS('CICLOS BILBO'!$J$6:$J$105,'CICLOS BILBO'!$A$6:$A$105,"Remo bajo en polea",'CICLOS BILBO'!$B$6:$B$105,7)=0,"abierto, sin sesiones",SUMIFS('CICLOS BILBO'!$E$6:$E$105,'CICLOS BILBO'!$A$6:$A$105,"Remo bajo en polea",'CICLOS BILBO'!$B$6:$B$105,7)&amp;"×"&amp;SUMIFS('CICLOS BILBO'!$F$6:$F$105,'CICLOS BILBO'!$A$6:$A$105,"Remo bajo en polea",'CICLOS BILBO'!$B$6:$B$105,7)&amp;" → "&amp;SUMIFS('CICLOS BILBO'!$H$6:$H$105,'CICLOS BILBO'!$A$6:$A$105,"Remo bajo en polea",'CICLOS BILBO'!$B$6:$B$105,7)&amp;"×"&amp;SUMIFS('CICLOS BILBO'!$I$6:$I$105,'CICLOS BILBO'!$A$6:$A$105,"Remo bajo en polea",'CICLOS BILBO'!$B$6:$B$105,7)&amp;" ("&amp;SUMIFS('CICLOS BILBO'!$J$6:$J$105,'CICLOS BILBO'!$A$6:$A$105,"Remo bajo en polea",'CICLOS BILBO'!$B$6:$B$105,7)&amp;" ses.)"))</f>
        <v/>
      </c>
    </row>
    <row r="19" customFormat="false" ht="15" hidden="false" customHeight="true" outlineLevel="0" collapsed="false">
      <c r="A19" s="10" t="n">
        <v>8</v>
      </c>
      <c r="B19" s="18" t="str">
        <f aca="false">IF(COUNTIFS('CICLOS BILBO'!$A$6:$A$105,"Press banca",'CICLOS BILBO'!$B$6:$B$105,8)=0,"",IF(SUMIFS('CICLOS BILBO'!$J$6:$J$105,'CICLOS BILBO'!$A$6:$A$105,"Press banca",'CICLOS BILBO'!$B$6:$B$105,8)=0,"abierto, sin sesiones",SUMIFS('CICLOS BILBO'!$E$6:$E$105,'CICLOS BILBO'!$A$6:$A$105,"Press banca",'CICLOS BILBO'!$B$6:$B$105,8)&amp;"×"&amp;SUMIFS('CICLOS BILBO'!$F$6:$F$105,'CICLOS BILBO'!$A$6:$A$105,"Press banca",'CICLOS BILBO'!$B$6:$B$105,8)&amp;" → "&amp;SUMIFS('CICLOS BILBO'!$H$6:$H$105,'CICLOS BILBO'!$A$6:$A$105,"Press banca",'CICLOS BILBO'!$B$6:$B$105,8)&amp;"×"&amp;SUMIFS('CICLOS BILBO'!$I$6:$I$105,'CICLOS BILBO'!$A$6:$A$105,"Press banca",'CICLOS BILBO'!$B$6:$B$105,8)&amp;" ("&amp;SUMIFS('CICLOS BILBO'!$J$6:$J$105,'CICLOS BILBO'!$A$6:$A$105,"Press banca",'CICLOS BILBO'!$B$6:$B$105,8)&amp;" ses.)"))</f>
        <v/>
      </c>
      <c r="C19" s="18" t="str">
        <f aca="false">IF(COUNTIFS('CICLOS BILBO'!$A$6:$A$105,"Press militar",'CICLOS BILBO'!$B$6:$B$105,8)=0,"",IF(SUMIFS('CICLOS BILBO'!$J$6:$J$105,'CICLOS BILBO'!$A$6:$A$105,"Press militar",'CICLOS BILBO'!$B$6:$B$105,8)=0,"abierto, sin sesiones",SUMIFS('CICLOS BILBO'!$E$6:$E$105,'CICLOS BILBO'!$A$6:$A$105,"Press militar",'CICLOS BILBO'!$B$6:$B$105,8)&amp;"×"&amp;SUMIFS('CICLOS BILBO'!$F$6:$F$105,'CICLOS BILBO'!$A$6:$A$105,"Press militar",'CICLOS BILBO'!$B$6:$B$105,8)&amp;" → "&amp;SUMIFS('CICLOS BILBO'!$H$6:$H$105,'CICLOS BILBO'!$A$6:$A$105,"Press militar",'CICLOS BILBO'!$B$6:$B$105,8)&amp;"×"&amp;SUMIFS('CICLOS BILBO'!$I$6:$I$105,'CICLOS BILBO'!$A$6:$A$105,"Press militar",'CICLOS BILBO'!$B$6:$B$105,8)&amp;" ("&amp;SUMIFS('CICLOS BILBO'!$J$6:$J$105,'CICLOS BILBO'!$A$6:$A$105,"Press militar",'CICLOS BILBO'!$B$6:$B$105,8)&amp;" ses.)"))</f>
        <v/>
      </c>
      <c r="D19" s="18" t="str">
        <f aca="false">IF(COUNTIFS('CICLOS BILBO'!$A$6:$A$105,"Remo bajo en polea",'CICLOS BILBO'!$B$6:$B$105,8)=0,"",IF(SUMIFS('CICLOS BILBO'!$J$6:$J$105,'CICLOS BILBO'!$A$6:$A$105,"Remo bajo en polea",'CICLOS BILBO'!$B$6:$B$105,8)=0,"abierto, sin sesiones",SUMIFS('CICLOS BILBO'!$E$6:$E$105,'CICLOS BILBO'!$A$6:$A$105,"Remo bajo en polea",'CICLOS BILBO'!$B$6:$B$105,8)&amp;"×"&amp;SUMIFS('CICLOS BILBO'!$F$6:$F$105,'CICLOS BILBO'!$A$6:$A$105,"Remo bajo en polea",'CICLOS BILBO'!$B$6:$B$105,8)&amp;" → "&amp;SUMIFS('CICLOS BILBO'!$H$6:$H$105,'CICLOS BILBO'!$A$6:$A$105,"Remo bajo en polea",'CICLOS BILBO'!$B$6:$B$105,8)&amp;"×"&amp;SUMIFS('CICLOS BILBO'!$I$6:$I$105,'CICLOS BILBO'!$A$6:$A$105,"Remo bajo en polea",'CICLOS BILBO'!$B$6:$B$105,8)&amp;" ("&amp;SUMIFS('CICLOS BILBO'!$J$6:$J$105,'CICLOS BILBO'!$A$6:$A$105,"Remo bajo en polea",'CICLOS BILBO'!$B$6:$B$105,8)&amp;" ses.)"))</f>
        <v/>
      </c>
    </row>
    <row r="20" customFormat="false" ht="15" hidden="false" customHeight="true" outlineLevel="0" collapsed="false">
      <c r="A20" s="10" t="n">
        <v>9</v>
      </c>
      <c r="B20" s="18" t="str">
        <f aca="false">IF(COUNTIFS('CICLOS BILBO'!$A$6:$A$105,"Press banca",'CICLOS BILBO'!$B$6:$B$105,9)=0,"",IF(SUMIFS('CICLOS BILBO'!$J$6:$J$105,'CICLOS BILBO'!$A$6:$A$105,"Press banca",'CICLOS BILBO'!$B$6:$B$105,9)=0,"abierto, sin sesiones",SUMIFS('CICLOS BILBO'!$E$6:$E$105,'CICLOS BILBO'!$A$6:$A$105,"Press banca",'CICLOS BILBO'!$B$6:$B$105,9)&amp;"×"&amp;SUMIFS('CICLOS BILBO'!$F$6:$F$105,'CICLOS BILBO'!$A$6:$A$105,"Press banca",'CICLOS BILBO'!$B$6:$B$105,9)&amp;" → "&amp;SUMIFS('CICLOS BILBO'!$H$6:$H$105,'CICLOS BILBO'!$A$6:$A$105,"Press banca",'CICLOS BILBO'!$B$6:$B$105,9)&amp;"×"&amp;SUMIFS('CICLOS BILBO'!$I$6:$I$105,'CICLOS BILBO'!$A$6:$A$105,"Press banca",'CICLOS BILBO'!$B$6:$B$105,9)&amp;" ("&amp;SUMIFS('CICLOS BILBO'!$J$6:$J$105,'CICLOS BILBO'!$A$6:$A$105,"Press banca",'CICLOS BILBO'!$B$6:$B$105,9)&amp;" ses.)"))</f>
        <v/>
      </c>
      <c r="C20" s="18" t="str">
        <f aca="false">IF(COUNTIFS('CICLOS BILBO'!$A$6:$A$105,"Press militar",'CICLOS BILBO'!$B$6:$B$105,9)=0,"",IF(SUMIFS('CICLOS BILBO'!$J$6:$J$105,'CICLOS BILBO'!$A$6:$A$105,"Press militar",'CICLOS BILBO'!$B$6:$B$105,9)=0,"abierto, sin sesiones",SUMIFS('CICLOS BILBO'!$E$6:$E$105,'CICLOS BILBO'!$A$6:$A$105,"Press militar",'CICLOS BILBO'!$B$6:$B$105,9)&amp;"×"&amp;SUMIFS('CICLOS BILBO'!$F$6:$F$105,'CICLOS BILBO'!$A$6:$A$105,"Press militar",'CICLOS BILBO'!$B$6:$B$105,9)&amp;" → "&amp;SUMIFS('CICLOS BILBO'!$H$6:$H$105,'CICLOS BILBO'!$A$6:$A$105,"Press militar",'CICLOS BILBO'!$B$6:$B$105,9)&amp;"×"&amp;SUMIFS('CICLOS BILBO'!$I$6:$I$105,'CICLOS BILBO'!$A$6:$A$105,"Press militar",'CICLOS BILBO'!$B$6:$B$105,9)&amp;" ("&amp;SUMIFS('CICLOS BILBO'!$J$6:$J$105,'CICLOS BILBO'!$A$6:$A$105,"Press militar",'CICLOS BILBO'!$B$6:$B$105,9)&amp;" ses.)"))</f>
        <v/>
      </c>
      <c r="D20" s="18" t="str">
        <f aca="false">IF(COUNTIFS('CICLOS BILBO'!$A$6:$A$105,"Remo bajo en polea",'CICLOS BILBO'!$B$6:$B$105,9)=0,"",IF(SUMIFS('CICLOS BILBO'!$J$6:$J$105,'CICLOS BILBO'!$A$6:$A$105,"Remo bajo en polea",'CICLOS BILBO'!$B$6:$B$105,9)=0,"abierto, sin sesiones",SUMIFS('CICLOS BILBO'!$E$6:$E$105,'CICLOS BILBO'!$A$6:$A$105,"Remo bajo en polea",'CICLOS BILBO'!$B$6:$B$105,9)&amp;"×"&amp;SUMIFS('CICLOS BILBO'!$F$6:$F$105,'CICLOS BILBO'!$A$6:$A$105,"Remo bajo en polea",'CICLOS BILBO'!$B$6:$B$105,9)&amp;" → "&amp;SUMIFS('CICLOS BILBO'!$H$6:$H$105,'CICLOS BILBO'!$A$6:$A$105,"Remo bajo en polea",'CICLOS BILBO'!$B$6:$B$105,9)&amp;"×"&amp;SUMIFS('CICLOS BILBO'!$I$6:$I$105,'CICLOS BILBO'!$A$6:$A$105,"Remo bajo en polea",'CICLOS BILBO'!$B$6:$B$105,9)&amp;" ("&amp;SUMIFS('CICLOS BILBO'!$J$6:$J$105,'CICLOS BILBO'!$A$6:$A$105,"Remo bajo en polea",'CICLOS BILBO'!$B$6:$B$105,9)&amp;" ses.)"))</f>
        <v/>
      </c>
    </row>
    <row r="21" customFormat="false" ht="15" hidden="false" customHeight="true" outlineLevel="0" collapsed="false">
      <c r="A21" s="10" t="n">
        <v>10</v>
      </c>
      <c r="B21" s="18" t="str">
        <f aca="false">IF(COUNTIFS('CICLOS BILBO'!$A$6:$A$105,"Press banca",'CICLOS BILBO'!$B$6:$B$105,10)=0,"",IF(SUMIFS('CICLOS BILBO'!$J$6:$J$105,'CICLOS BILBO'!$A$6:$A$105,"Press banca",'CICLOS BILBO'!$B$6:$B$105,10)=0,"abierto, sin sesiones",SUMIFS('CICLOS BILBO'!$E$6:$E$105,'CICLOS BILBO'!$A$6:$A$105,"Press banca",'CICLOS BILBO'!$B$6:$B$105,10)&amp;"×"&amp;SUMIFS('CICLOS BILBO'!$F$6:$F$105,'CICLOS BILBO'!$A$6:$A$105,"Press banca",'CICLOS BILBO'!$B$6:$B$105,10)&amp;" → "&amp;SUMIFS('CICLOS BILBO'!$H$6:$H$105,'CICLOS BILBO'!$A$6:$A$105,"Press banca",'CICLOS BILBO'!$B$6:$B$105,10)&amp;"×"&amp;SUMIFS('CICLOS BILBO'!$I$6:$I$105,'CICLOS BILBO'!$A$6:$A$105,"Press banca",'CICLOS BILBO'!$B$6:$B$105,10)&amp;" ("&amp;SUMIFS('CICLOS BILBO'!$J$6:$J$105,'CICLOS BILBO'!$A$6:$A$105,"Press banca",'CICLOS BILBO'!$B$6:$B$105,10)&amp;" ses.)"))</f>
        <v/>
      </c>
      <c r="C21" s="18" t="str">
        <f aca="false">IF(COUNTIFS('CICLOS BILBO'!$A$6:$A$105,"Press militar",'CICLOS BILBO'!$B$6:$B$105,10)=0,"",IF(SUMIFS('CICLOS BILBO'!$J$6:$J$105,'CICLOS BILBO'!$A$6:$A$105,"Press militar",'CICLOS BILBO'!$B$6:$B$105,10)=0,"abierto, sin sesiones",SUMIFS('CICLOS BILBO'!$E$6:$E$105,'CICLOS BILBO'!$A$6:$A$105,"Press militar",'CICLOS BILBO'!$B$6:$B$105,10)&amp;"×"&amp;SUMIFS('CICLOS BILBO'!$F$6:$F$105,'CICLOS BILBO'!$A$6:$A$105,"Press militar",'CICLOS BILBO'!$B$6:$B$105,10)&amp;" → "&amp;SUMIFS('CICLOS BILBO'!$H$6:$H$105,'CICLOS BILBO'!$A$6:$A$105,"Press militar",'CICLOS BILBO'!$B$6:$B$105,10)&amp;"×"&amp;SUMIFS('CICLOS BILBO'!$I$6:$I$105,'CICLOS BILBO'!$A$6:$A$105,"Press militar",'CICLOS BILBO'!$B$6:$B$105,10)&amp;" ("&amp;SUMIFS('CICLOS BILBO'!$J$6:$J$105,'CICLOS BILBO'!$A$6:$A$105,"Press militar",'CICLOS BILBO'!$B$6:$B$105,10)&amp;" ses.)"))</f>
        <v/>
      </c>
      <c r="D21" s="18" t="str">
        <f aca="false">IF(COUNTIFS('CICLOS BILBO'!$A$6:$A$105,"Remo bajo en polea",'CICLOS BILBO'!$B$6:$B$105,10)=0,"",IF(SUMIFS('CICLOS BILBO'!$J$6:$J$105,'CICLOS BILBO'!$A$6:$A$105,"Remo bajo en polea",'CICLOS BILBO'!$B$6:$B$105,10)=0,"abierto, sin sesiones",SUMIFS('CICLOS BILBO'!$E$6:$E$105,'CICLOS BILBO'!$A$6:$A$105,"Remo bajo en polea",'CICLOS BILBO'!$B$6:$B$105,10)&amp;"×"&amp;SUMIFS('CICLOS BILBO'!$F$6:$F$105,'CICLOS BILBO'!$A$6:$A$105,"Remo bajo en polea",'CICLOS BILBO'!$B$6:$B$105,10)&amp;" → "&amp;SUMIFS('CICLOS BILBO'!$H$6:$H$105,'CICLOS BILBO'!$A$6:$A$105,"Remo bajo en polea",'CICLOS BILBO'!$B$6:$B$105,10)&amp;"×"&amp;SUMIFS('CICLOS BILBO'!$I$6:$I$105,'CICLOS BILBO'!$A$6:$A$105,"Remo bajo en polea",'CICLOS BILBO'!$B$6:$B$105,10)&amp;" ("&amp;SUMIFS('CICLOS BILBO'!$J$6:$J$105,'CICLOS BILBO'!$A$6:$A$105,"Remo bajo en polea",'CICLOS BILBO'!$B$6:$B$105,10)&amp;" ses.)"))</f>
        <v/>
      </c>
    </row>
    <row r="22" customFormat="false" ht="15" hidden="false" customHeight="true" outlineLevel="0" collapsed="false">
      <c r="A22" s="10" t="n">
        <v>11</v>
      </c>
      <c r="B22" s="18" t="str">
        <f aca="false">IF(COUNTIFS('CICLOS BILBO'!$A$6:$A$105,"Press banca",'CICLOS BILBO'!$B$6:$B$105,11)=0,"",IF(SUMIFS('CICLOS BILBO'!$J$6:$J$105,'CICLOS BILBO'!$A$6:$A$105,"Press banca",'CICLOS BILBO'!$B$6:$B$105,11)=0,"abierto, sin sesiones",SUMIFS('CICLOS BILBO'!$E$6:$E$105,'CICLOS BILBO'!$A$6:$A$105,"Press banca",'CICLOS BILBO'!$B$6:$B$105,11)&amp;"×"&amp;SUMIFS('CICLOS BILBO'!$F$6:$F$105,'CICLOS BILBO'!$A$6:$A$105,"Press banca",'CICLOS BILBO'!$B$6:$B$105,11)&amp;" → "&amp;SUMIFS('CICLOS BILBO'!$H$6:$H$105,'CICLOS BILBO'!$A$6:$A$105,"Press banca",'CICLOS BILBO'!$B$6:$B$105,11)&amp;"×"&amp;SUMIFS('CICLOS BILBO'!$I$6:$I$105,'CICLOS BILBO'!$A$6:$A$105,"Press banca",'CICLOS BILBO'!$B$6:$B$105,11)&amp;" ("&amp;SUMIFS('CICLOS BILBO'!$J$6:$J$105,'CICLOS BILBO'!$A$6:$A$105,"Press banca",'CICLOS BILBO'!$B$6:$B$105,11)&amp;" ses.)"))</f>
        <v/>
      </c>
      <c r="C22" s="18" t="str">
        <f aca="false">IF(COUNTIFS('CICLOS BILBO'!$A$6:$A$105,"Press militar",'CICLOS BILBO'!$B$6:$B$105,11)=0,"",IF(SUMIFS('CICLOS BILBO'!$J$6:$J$105,'CICLOS BILBO'!$A$6:$A$105,"Press militar",'CICLOS BILBO'!$B$6:$B$105,11)=0,"abierto, sin sesiones",SUMIFS('CICLOS BILBO'!$E$6:$E$105,'CICLOS BILBO'!$A$6:$A$105,"Press militar",'CICLOS BILBO'!$B$6:$B$105,11)&amp;"×"&amp;SUMIFS('CICLOS BILBO'!$F$6:$F$105,'CICLOS BILBO'!$A$6:$A$105,"Press militar",'CICLOS BILBO'!$B$6:$B$105,11)&amp;" → "&amp;SUMIFS('CICLOS BILBO'!$H$6:$H$105,'CICLOS BILBO'!$A$6:$A$105,"Press militar",'CICLOS BILBO'!$B$6:$B$105,11)&amp;"×"&amp;SUMIFS('CICLOS BILBO'!$I$6:$I$105,'CICLOS BILBO'!$A$6:$A$105,"Press militar",'CICLOS BILBO'!$B$6:$B$105,11)&amp;" ("&amp;SUMIFS('CICLOS BILBO'!$J$6:$J$105,'CICLOS BILBO'!$A$6:$A$105,"Press militar",'CICLOS BILBO'!$B$6:$B$105,11)&amp;" ses.)"))</f>
        <v/>
      </c>
      <c r="D22" s="18" t="str">
        <f aca="false">IF(COUNTIFS('CICLOS BILBO'!$A$6:$A$105,"Remo bajo en polea",'CICLOS BILBO'!$B$6:$B$105,11)=0,"",IF(SUMIFS('CICLOS BILBO'!$J$6:$J$105,'CICLOS BILBO'!$A$6:$A$105,"Remo bajo en polea",'CICLOS BILBO'!$B$6:$B$105,11)=0,"abierto, sin sesiones",SUMIFS('CICLOS BILBO'!$E$6:$E$105,'CICLOS BILBO'!$A$6:$A$105,"Remo bajo en polea",'CICLOS BILBO'!$B$6:$B$105,11)&amp;"×"&amp;SUMIFS('CICLOS BILBO'!$F$6:$F$105,'CICLOS BILBO'!$A$6:$A$105,"Remo bajo en polea",'CICLOS BILBO'!$B$6:$B$105,11)&amp;" → "&amp;SUMIFS('CICLOS BILBO'!$H$6:$H$105,'CICLOS BILBO'!$A$6:$A$105,"Remo bajo en polea",'CICLOS BILBO'!$B$6:$B$105,11)&amp;"×"&amp;SUMIFS('CICLOS BILBO'!$I$6:$I$105,'CICLOS BILBO'!$A$6:$A$105,"Remo bajo en polea",'CICLOS BILBO'!$B$6:$B$105,11)&amp;" ("&amp;SUMIFS('CICLOS BILBO'!$J$6:$J$105,'CICLOS BILBO'!$A$6:$A$105,"Remo bajo en polea",'CICLOS BILBO'!$B$6:$B$105,11)&amp;" ses.)"))</f>
        <v/>
      </c>
    </row>
    <row r="23" customFormat="false" ht="15" hidden="false" customHeight="true" outlineLevel="0" collapsed="false">
      <c r="A23" s="10" t="n">
        <v>12</v>
      </c>
      <c r="B23" s="18" t="str">
        <f aca="false">IF(COUNTIFS('CICLOS BILBO'!$A$6:$A$105,"Press banca",'CICLOS BILBO'!$B$6:$B$105,12)=0,"",IF(SUMIFS('CICLOS BILBO'!$J$6:$J$105,'CICLOS BILBO'!$A$6:$A$105,"Press banca",'CICLOS BILBO'!$B$6:$B$105,12)=0,"abierto, sin sesiones",SUMIFS('CICLOS BILBO'!$E$6:$E$105,'CICLOS BILBO'!$A$6:$A$105,"Press banca",'CICLOS BILBO'!$B$6:$B$105,12)&amp;"×"&amp;SUMIFS('CICLOS BILBO'!$F$6:$F$105,'CICLOS BILBO'!$A$6:$A$105,"Press banca",'CICLOS BILBO'!$B$6:$B$105,12)&amp;" → "&amp;SUMIFS('CICLOS BILBO'!$H$6:$H$105,'CICLOS BILBO'!$A$6:$A$105,"Press banca",'CICLOS BILBO'!$B$6:$B$105,12)&amp;"×"&amp;SUMIFS('CICLOS BILBO'!$I$6:$I$105,'CICLOS BILBO'!$A$6:$A$105,"Press banca",'CICLOS BILBO'!$B$6:$B$105,12)&amp;" ("&amp;SUMIFS('CICLOS BILBO'!$J$6:$J$105,'CICLOS BILBO'!$A$6:$A$105,"Press banca",'CICLOS BILBO'!$B$6:$B$105,12)&amp;" ses.)"))</f>
        <v/>
      </c>
      <c r="C23" s="18" t="str">
        <f aca="false">IF(COUNTIFS('CICLOS BILBO'!$A$6:$A$105,"Press militar",'CICLOS BILBO'!$B$6:$B$105,12)=0,"",IF(SUMIFS('CICLOS BILBO'!$J$6:$J$105,'CICLOS BILBO'!$A$6:$A$105,"Press militar",'CICLOS BILBO'!$B$6:$B$105,12)=0,"abierto, sin sesiones",SUMIFS('CICLOS BILBO'!$E$6:$E$105,'CICLOS BILBO'!$A$6:$A$105,"Press militar",'CICLOS BILBO'!$B$6:$B$105,12)&amp;"×"&amp;SUMIFS('CICLOS BILBO'!$F$6:$F$105,'CICLOS BILBO'!$A$6:$A$105,"Press militar",'CICLOS BILBO'!$B$6:$B$105,12)&amp;" → "&amp;SUMIFS('CICLOS BILBO'!$H$6:$H$105,'CICLOS BILBO'!$A$6:$A$105,"Press militar",'CICLOS BILBO'!$B$6:$B$105,12)&amp;"×"&amp;SUMIFS('CICLOS BILBO'!$I$6:$I$105,'CICLOS BILBO'!$A$6:$A$105,"Press militar",'CICLOS BILBO'!$B$6:$B$105,12)&amp;" ("&amp;SUMIFS('CICLOS BILBO'!$J$6:$J$105,'CICLOS BILBO'!$A$6:$A$105,"Press militar",'CICLOS BILBO'!$B$6:$B$105,12)&amp;" ses.)"))</f>
        <v/>
      </c>
      <c r="D23" s="18" t="str">
        <f aca="false">IF(COUNTIFS('CICLOS BILBO'!$A$6:$A$105,"Remo bajo en polea",'CICLOS BILBO'!$B$6:$B$105,12)=0,"",IF(SUMIFS('CICLOS BILBO'!$J$6:$J$105,'CICLOS BILBO'!$A$6:$A$105,"Remo bajo en polea",'CICLOS BILBO'!$B$6:$B$105,12)=0,"abierto, sin sesiones",SUMIFS('CICLOS BILBO'!$E$6:$E$105,'CICLOS BILBO'!$A$6:$A$105,"Remo bajo en polea",'CICLOS BILBO'!$B$6:$B$105,12)&amp;"×"&amp;SUMIFS('CICLOS BILBO'!$F$6:$F$105,'CICLOS BILBO'!$A$6:$A$105,"Remo bajo en polea",'CICLOS BILBO'!$B$6:$B$105,12)&amp;" → "&amp;SUMIFS('CICLOS BILBO'!$H$6:$H$105,'CICLOS BILBO'!$A$6:$A$105,"Remo bajo en polea",'CICLOS BILBO'!$B$6:$B$105,12)&amp;"×"&amp;SUMIFS('CICLOS BILBO'!$I$6:$I$105,'CICLOS BILBO'!$A$6:$A$105,"Remo bajo en polea",'CICLOS BILBO'!$B$6:$B$105,12)&amp;" ("&amp;SUMIFS('CICLOS BILBO'!$J$6:$J$105,'CICLOS BILBO'!$A$6:$A$105,"Remo bajo en polea",'CICLOS BILBO'!$B$6:$B$105,12)&amp;" ses.)"))</f>
        <v/>
      </c>
    </row>
    <row r="25" customFormat="false" ht="15" hidden="false" customHeight="true" outlineLevel="0" collapsed="false">
      <c r="A25" s="33" t="s">
        <v>533</v>
      </c>
    </row>
    <row r="26" customFormat="false" ht="15" hidden="false" customHeight="true" outlineLevel="0" collapsed="false">
      <c r="A26" s="5" t="s">
        <v>534</v>
      </c>
      <c r="B26" s="5" t="s">
        <v>274</v>
      </c>
      <c r="C26" s="5" t="s">
        <v>282</v>
      </c>
      <c r="D26" s="5" t="s">
        <v>283</v>
      </c>
      <c r="H26" s="5" t="s">
        <v>535</v>
      </c>
      <c r="I26" s="5" t="s">
        <v>535</v>
      </c>
      <c r="J26" s="5" t="s">
        <v>535</v>
      </c>
    </row>
    <row r="27" customFormat="false" ht="15" hidden="false" customHeight="true" outlineLevel="0" collapsed="false">
      <c r="A27" s="10" t="n">
        <v>1</v>
      </c>
      <c r="B27" s="18" t="str">
        <f aca="false">IF(H27=0,"",INDEX(HISTORIAL!$J$5:$J$2004,H27)&amp;" × "&amp;INDEX(HISTORIAL!$K$5:$K$2004,H27)&amp;" · c"&amp;INDEX(HISTORIAL!$G$5:$G$2004,H27)&amp;" · "&amp;DAY(INDEX(HISTORIAL!$B$5:$B$2004,H27))&amp;"/"&amp;MONTH(INDEX(HISTORIAL!$B$5:$B$2004,H27)))</f>
        <v/>
      </c>
      <c r="C27" s="18" t="str">
        <f aca="false">IF(I27=0,"",INDEX(HISTORIAL!$J$5:$J$2004,I27)&amp;" × "&amp;INDEX(HISTORIAL!$K$5:$K$2004,I27)&amp;" · c"&amp;INDEX(HISTORIAL!$G$5:$G$2004,I27)&amp;" · "&amp;DAY(INDEX(HISTORIAL!$B$5:$B$2004,I27))&amp;"/"&amp;MONTH(INDEX(HISTORIAL!$B$5:$B$2004,I27)))</f>
        <v/>
      </c>
      <c r="D27" s="18" t="str">
        <f aca="false">IF(J27=0,"",INDEX(HISTORIAL!$J$5:$J$2004,J27)&amp;" × "&amp;INDEX(HISTORIAL!$K$5:$K$2004,J27)&amp;" · c"&amp;INDEX(HISTORIAL!$G$5:$G$2004,J27)&amp;" · "&amp;DAY(INDEX(HISTORIAL!$B$5:$B$2004,J27))&amp;"/"&amp;MONTH(INDEX(HISTORIAL!$B$5:$B$2004,J27)))</f>
        <v/>
      </c>
      <c r="H27" s="37" t="n">
        <f aca="false">_xlfn.MAXIFS(HISTORIAL!$A$5:$A$2004,HISTORIAL!$E$5:$E$2004,"Press banca",HISTORIAL!$F$5:$F$2004,"Bilbo")</f>
        <v>0</v>
      </c>
      <c r="I27" s="37" t="n">
        <f aca="false">_xlfn.MAXIFS(HISTORIAL!$A$5:$A$2004,HISTORIAL!$E$5:$E$2004,"Press militar",HISTORIAL!$F$5:$F$2004,"Bilbo")</f>
        <v>0</v>
      </c>
      <c r="J27" s="37" t="n">
        <f aca="false">_xlfn.MAXIFS(HISTORIAL!$A$5:$A$2004,HISTORIAL!$E$5:$E$2004,"Remo bajo en polea",HISTORIAL!$F$5:$F$2004,"Bilbo")</f>
        <v>0</v>
      </c>
    </row>
    <row r="28" customFormat="false" ht="15" hidden="false" customHeight="true" outlineLevel="0" collapsed="false">
      <c r="A28" s="10" t="n">
        <v>2</v>
      </c>
      <c r="B28" s="18" t="str">
        <f aca="false">IF(H28=0,"",INDEX(HISTORIAL!$J$5:$J$2004,H28)&amp;" × "&amp;INDEX(HISTORIAL!$K$5:$K$2004,H28)&amp;" · c"&amp;INDEX(HISTORIAL!$G$5:$G$2004,H28)&amp;" · "&amp;DAY(INDEX(HISTORIAL!$B$5:$B$2004,H28))&amp;"/"&amp;MONTH(INDEX(HISTORIAL!$B$5:$B$2004,H28)))</f>
        <v/>
      </c>
      <c r="C28" s="18" t="str">
        <f aca="false">IF(I28=0,"",INDEX(HISTORIAL!$J$5:$J$2004,I28)&amp;" × "&amp;INDEX(HISTORIAL!$K$5:$K$2004,I28)&amp;" · c"&amp;INDEX(HISTORIAL!$G$5:$G$2004,I28)&amp;" · "&amp;DAY(INDEX(HISTORIAL!$B$5:$B$2004,I28))&amp;"/"&amp;MONTH(INDEX(HISTORIAL!$B$5:$B$2004,I28)))</f>
        <v/>
      </c>
      <c r="D28" s="18" t="str">
        <f aca="false">IF(J28=0,"",INDEX(HISTORIAL!$J$5:$J$2004,J28)&amp;" × "&amp;INDEX(HISTORIAL!$K$5:$K$2004,J28)&amp;" · c"&amp;INDEX(HISTORIAL!$G$5:$G$2004,J28)&amp;" · "&amp;DAY(INDEX(HISTORIAL!$B$5:$B$2004,J28))&amp;"/"&amp;MONTH(INDEX(HISTORIAL!$B$5:$B$2004,J28)))</f>
        <v/>
      </c>
      <c r="H28" s="37" t="n">
        <f aca="false">IF(H27=0,0,_xlfn.MAXIFS(HISTORIAL!$A$5:$A$2004,HISTORIAL!$E$5:$E$2004,"Press banca",HISTORIAL!$F$5:$F$2004,"Bilbo",HISTORIAL!$A$5:$A$2004,"&lt;"&amp;H27))</f>
        <v>0</v>
      </c>
      <c r="I28" s="37" t="n">
        <f aca="false">IF(I27=0,0,_xlfn.MAXIFS(HISTORIAL!$A$5:$A$2004,HISTORIAL!$E$5:$E$2004,"Press militar",HISTORIAL!$F$5:$F$2004,"Bilbo",HISTORIAL!$A$5:$A$2004,"&lt;"&amp;I27))</f>
        <v>0</v>
      </c>
      <c r="J28" s="37" t="n">
        <f aca="false">IF(J27=0,0,_xlfn.MAXIFS(HISTORIAL!$A$5:$A$2004,HISTORIAL!$E$5:$E$2004,"Remo bajo en polea",HISTORIAL!$F$5:$F$2004,"Bilbo",HISTORIAL!$A$5:$A$2004,"&lt;"&amp;J27))</f>
        <v>0</v>
      </c>
    </row>
    <row r="29" customFormat="false" ht="15" hidden="false" customHeight="true" outlineLevel="0" collapsed="false">
      <c r="A29" s="10" t="n">
        <v>3</v>
      </c>
      <c r="B29" s="18" t="str">
        <f aca="false">IF(H29=0,"",INDEX(HISTORIAL!$J$5:$J$2004,H29)&amp;" × "&amp;INDEX(HISTORIAL!$K$5:$K$2004,H29)&amp;" · c"&amp;INDEX(HISTORIAL!$G$5:$G$2004,H29)&amp;" · "&amp;DAY(INDEX(HISTORIAL!$B$5:$B$2004,H29))&amp;"/"&amp;MONTH(INDEX(HISTORIAL!$B$5:$B$2004,H29)))</f>
        <v/>
      </c>
      <c r="C29" s="18" t="str">
        <f aca="false">IF(I29=0,"",INDEX(HISTORIAL!$J$5:$J$2004,I29)&amp;" × "&amp;INDEX(HISTORIAL!$K$5:$K$2004,I29)&amp;" · c"&amp;INDEX(HISTORIAL!$G$5:$G$2004,I29)&amp;" · "&amp;DAY(INDEX(HISTORIAL!$B$5:$B$2004,I29))&amp;"/"&amp;MONTH(INDEX(HISTORIAL!$B$5:$B$2004,I29)))</f>
        <v/>
      </c>
      <c r="D29" s="18" t="str">
        <f aca="false">IF(J29=0,"",INDEX(HISTORIAL!$J$5:$J$2004,J29)&amp;" × "&amp;INDEX(HISTORIAL!$K$5:$K$2004,J29)&amp;" · c"&amp;INDEX(HISTORIAL!$G$5:$G$2004,J29)&amp;" · "&amp;DAY(INDEX(HISTORIAL!$B$5:$B$2004,J29))&amp;"/"&amp;MONTH(INDEX(HISTORIAL!$B$5:$B$2004,J29)))</f>
        <v/>
      </c>
      <c r="H29" s="37" t="n">
        <f aca="false">IF(H28=0,0,_xlfn.MAXIFS(HISTORIAL!$A$5:$A$2004,HISTORIAL!$E$5:$E$2004,"Press banca",HISTORIAL!$F$5:$F$2004,"Bilbo",HISTORIAL!$A$5:$A$2004,"&lt;"&amp;H28))</f>
        <v>0</v>
      </c>
      <c r="I29" s="37" t="n">
        <f aca="false">IF(I28=0,0,_xlfn.MAXIFS(HISTORIAL!$A$5:$A$2004,HISTORIAL!$E$5:$E$2004,"Press militar",HISTORIAL!$F$5:$F$2004,"Bilbo",HISTORIAL!$A$5:$A$2004,"&lt;"&amp;I28))</f>
        <v>0</v>
      </c>
      <c r="J29" s="37" t="n">
        <f aca="false">IF(J28=0,0,_xlfn.MAXIFS(HISTORIAL!$A$5:$A$2004,HISTORIAL!$E$5:$E$2004,"Remo bajo en polea",HISTORIAL!$F$5:$F$2004,"Bilbo",HISTORIAL!$A$5:$A$2004,"&lt;"&amp;J28))</f>
        <v>0</v>
      </c>
    </row>
    <row r="30" customFormat="false" ht="15" hidden="false" customHeight="true" outlineLevel="0" collapsed="false">
      <c r="A30" s="10" t="n">
        <v>4</v>
      </c>
      <c r="B30" s="18" t="str">
        <f aca="false">IF(H30=0,"",INDEX(HISTORIAL!$J$5:$J$2004,H30)&amp;" × "&amp;INDEX(HISTORIAL!$K$5:$K$2004,H30)&amp;" · c"&amp;INDEX(HISTORIAL!$G$5:$G$2004,H30)&amp;" · "&amp;DAY(INDEX(HISTORIAL!$B$5:$B$2004,H30))&amp;"/"&amp;MONTH(INDEX(HISTORIAL!$B$5:$B$2004,H30)))</f>
        <v/>
      </c>
      <c r="C30" s="18" t="str">
        <f aca="false">IF(I30=0,"",INDEX(HISTORIAL!$J$5:$J$2004,I30)&amp;" × "&amp;INDEX(HISTORIAL!$K$5:$K$2004,I30)&amp;" · c"&amp;INDEX(HISTORIAL!$G$5:$G$2004,I30)&amp;" · "&amp;DAY(INDEX(HISTORIAL!$B$5:$B$2004,I30))&amp;"/"&amp;MONTH(INDEX(HISTORIAL!$B$5:$B$2004,I30)))</f>
        <v/>
      </c>
      <c r="D30" s="18" t="str">
        <f aca="false">IF(J30=0,"",INDEX(HISTORIAL!$J$5:$J$2004,J30)&amp;" × "&amp;INDEX(HISTORIAL!$K$5:$K$2004,J30)&amp;" · c"&amp;INDEX(HISTORIAL!$G$5:$G$2004,J30)&amp;" · "&amp;DAY(INDEX(HISTORIAL!$B$5:$B$2004,J30))&amp;"/"&amp;MONTH(INDEX(HISTORIAL!$B$5:$B$2004,J30)))</f>
        <v/>
      </c>
      <c r="H30" s="37" t="n">
        <f aca="false">IF(H29=0,0,_xlfn.MAXIFS(HISTORIAL!$A$5:$A$2004,HISTORIAL!$E$5:$E$2004,"Press banca",HISTORIAL!$F$5:$F$2004,"Bilbo",HISTORIAL!$A$5:$A$2004,"&lt;"&amp;H29))</f>
        <v>0</v>
      </c>
      <c r="I30" s="37" t="n">
        <f aca="false">IF(I29=0,0,_xlfn.MAXIFS(HISTORIAL!$A$5:$A$2004,HISTORIAL!$E$5:$E$2004,"Press militar",HISTORIAL!$F$5:$F$2004,"Bilbo",HISTORIAL!$A$5:$A$2004,"&lt;"&amp;I29))</f>
        <v>0</v>
      </c>
      <c r="J30" s="37" t="n">
        <f aca="false">IF(J29=0,0,_xlfn.MAXIFS(HISTORIAL!$A$5:$A$2004,HISTORIAL!$E$5:$E$2004,"Remo bajo en polea",HISTORIAL!$F$5:$F$2004,"Bilbo",HISTORIAL!$A$5:$A$2004,"&lt;"&amp;J29))</f>
        <v>0</v>
      </c>
    </row>
    <row r="31" customFormat="false" ht="15" hidden="false" customHeight="true" outlineLevel="0" collapsed="false">
      <c r="A31" s="10" t="n">
        <v>5</v>
      </c>
      <c r="B31" s="18" t="str">
        <f aca="false">IF(H31=0,"",INDEX(HISTORIAL!$J$5:$J$2004,H31)&amp;" × "&amp;INDEX(HISTORIAL!$K$5:$K$2004,H31)&amp;" · c"&amp;INDEX(HISTORIAL!$G$5:$G$2004,H31)&amp;" · "&amp;DAY(INDEX(HISTORIAL!$B$5:$B$2004,H31))&amp;"/"&amp;MONTH(INDEX(HISTORIAL!$B$5:$B$2004,H31)))</f>
        <v/>
      </c>
      <c r="C31" s="18" t="str">
        <f aca="false">IF(I31=0,"",INDEX(HISTORIAL!$J$5:$J$2004,I31)&amp;" × "&amp;INDEX(HISTORIAL!$K$5:$K$2004,I31)&amp;" · c"&amp;INDEX(HISTORIAL!$G$5:$G$2004,I31)&amp;" · "&amp;DAY(INDEX(HISTORIAL!$B$5:$B$2004,I31))&amp;"/"&amp;MONTH(INDEX(HISTORIAL!$B$5:$B$2004,I31)))</f>
        <v/>
      </c>
      <c r="D31" s="18" t="str">
        <f aca="false">IF(J31=0,"",INDEX(HISTORIAL!$J$5:$J$2004,J31)&amp;" × "&amp;INDEX(HISTORIAL!$K$5:$K$2004,J31)&amp;" · c"&amp;INDEX(HISTORIAL!$G$5:$G$2004,J31)&amp;" · "&amp;DAY(INDEX(HISTORIAL!$B$5:$B$2004,J31))&amp;"/"&amp;MONTH(INDEX(HISTORIAL!$B$5:$B$2004,J31)))</f>
        <v/>
      </c>
      <c r="H31" s="37" t="n">
        <f aca="false">IF(H30=0,0,_xlfn.MAXIFS(HISTORIAL!$A$5:$A$2004,HISTORIAL!$E$5:$E$2004,"Press banca",HISTORIAL!$F$5:$F$2004,"Bilbo",HISTORIAL!$A$5:$A$2004,"&lt;"&amp;H30))</f>
        <v>0</v>
      </c>
      <c r="I31" s="37" t="n">
        <f aca="false">IF(I30=0,0,_xlfn.MAXIFS(HISTORIAL!$A$5:$A$2004,HISTORIAL!$E$5:$E$2004,"Press militar",HISTORIAL!$F$5:$F$2004,"Bilbo",HISTORIAL!$A$5:$A$2004,"&lt;"&amp;I30))</f>
        <v>0</v>
      </c>
      <c r="J31" s="37" t="n">
        <f aca="false">IF(J30=0,0,_xlfn.MAXIFS(HISTORIAL!$A$5:$A$2004,HISTORIAL!$E$5:$E$2004,"Remo bajo en polea",HISTORIAL!$F$5:$F$2004,"Bilbo",HISTORIAL!$A$5:$A$2004,"&lt;"&amp;J30))</f>
        <v>0</v>
      </c>
    </row>
    <row r="32" customFormat="false" ht="15" hidden="false" customHeight="true" outlineLevel="0" collapsed="false">
      <c r="A32" s="10" t="n">
        <v>6</v>
      </c>
      <c r="B32" s="18" t="str">
        <f aca="false">IF(H32=0,"",INDEX(HISTORIAL!$J$5:$J$2004,H32)&amp;" × "&amp;INDEX(HISTORIAL!$K$5:$K$2004,H32)&amp;" · c"&amp;INDEX(HISTORIAL!$G$5:$G$2004,H32)&amp;" · "&amp;DAY(INDEX(HISTORIAL!$B$5:$B$2004,H32))&amp;"/"&amp;MONTH(INDEX(HISTORIAL!$B$5:$B$2004,H32)))</f>
        <v/>
      </c>
      <c r="C32" s="18" t="str">
        <f aca="false">IF(I32=0,"",INDEX(HISTORIAL!$J$5:$J$2004,I32)&amp;" × "&amp;INDEX(HISTORIAL!$K$5:$K$2004,I32)&amp;" · c"&amp;INDEX(HISTORIAL!$G$5:$G$2004,I32)&amp;" · "&amp;DAY(INDEX(HISTORIAL!$B$5:$B$2004,I32))&amp;"/"&amp;MONTH(INDEX(HISTORIAL!$B$5:$B$2004,I32)))</f>
        <v/>
      </c>
      <c r="D32" s="18" t="str">
        <f aca="false">IF(J32=0,"",INDEX(HISTORIAL!$J$5:$J$2004,J32)&amp;" × "&amp;INDEX(HISTORIAL!$K$5:$K$2004,J32)&amp;" · c"&amp;INDEX(HISTORIAL!$G$5:$G$2004,J32)&amp;" · "&amp;DAY(INDEX(HISTORIAL!$B$5:$B$2004,J32))&amp;"/"&amp;MONTH(INDEX(HISTORIAL!$B$5:$B$2004,J32)))</f>
        <v/>
      </c>
      <c r="H32" s="37" t="n">
        <f aca="false">IF(H31=0,0,_xlfn.MAXIFS(HISTORIAL!$A$5:$A$2004,HISTORIAL!$E$5:$E$2004,"Press banca",HISTORIAL!$F$5:$F$2004,"Bilbo",HISTORIAL!$A$5:$A$2004,"&lt;"&amp;H31))</f>
        <v>0</v>
      </c>
      <c r="I32" s="37" t="n">
        <f aca="false">IF(I31=0,0,_xlfn.MAXIFS(HISTORIAL!$A$5:$A$2004,HISTORIAL!$E$5:$E$2004,"Press militar",HISTORIAL!$F$5:$F$2004,"Bilbo",HISTORIAL!$A$5:$A$2004,"&lt;"&amp;I31))</f>
        <v>0</v>
      </c>
      <c r="J32" s="37" t="n">
        <f aca="false">IF(J31=0,0,_xlfn.MAXIFS(HISTORIAL!$A$5:$A$2004,HISTORIAL!$E$5:$E$2004,"Remo bajo en polea",HISTORIAL!$F$5:$F$2004,"Bilbo",HISTORIAL!$A$5:$A$2004,"&lt;"&amp;J31))</f>
        <v>0</v>
      </c>
    </row>
    <row r="33" customFormat="false" ht="15" hidden="false" customHeight="true" outlineLevel="0" collapsed="false">
      <c r="A33" s="10" t="n">
        <v>7</v>
      </c>
      <c r="B33" s="18" t="str">
        <f aca="false">IF(H33=0,"",INDEX(HISTORIAL!$J$5:$J$2004,H33)&amp;" × "&amp;INDEX(HISTORIAL!$K$5:$K$2004,H33)&amp;" · c"&amp;INDEX(HISTORIAL!$G$5:$G$2004,H33)&amp;" · "&amp;DAY(INDEX(HISTORIAL!$B$5:$B$2004,H33))&amp;"/"&amp;MONTH(INDEX(HISTORIAL!$B$5:$B$2004,H33)))</f>
        <v/>
      </c>
      <c r="C33" s="18" t="str">
        <f aca="false">IF(I33=0,"",INDEX(HISTORIAL!$J$5:$J$2004,I33)&amp;" × "&amp;INDEX(HISTORIAL!$K$5:$K$2004,I33)&amp;" · c"&amp;INDEX(HISTORIAL!$G$5:$G$2004,I33)&amp;" · "&amp;DAY(INDEX(HISTORIAL!$B$5:$B$2004,I33))&amp;"/"&amp;MONTH(INDEX(HISTORIAL!$B$5:$B$2004,I33)))</f>
        <v/>
      </c>
      <c r="D33" s="18" t="str">
        <f aca="false">IF(J33=0,"",INDEX(HISTORIAL!$J$5:$J$2004,J33)&amp;" × "&amp;INDEX(HISTORIAL!$K$5:$K$2004,J33)&amp;" · c"&amp;INDEX(HISTORIAL!$G$5:$G$2004,J33)&amp;" · "&amp;DAY(INDEX(HISTORIAL!$B$5:$B$2004,J33))&amp;"/"&amp;MONTH(INDEX(HISTORIAL!$B$5:$B$2004,J33)))</f>
        <v/>
      </c>
      <c r="H33" s="37" t="n">
        <f aca="false">IF(H32=0,0,_xlfn.MAXIFS(HISTORIAL!$A$5:$A$2004,HISTORIAL!$E$5:$E$2004,"Press banca",HISTORIAL!$F$5:$F$2004,"Bilbo",HISTORIAL!$A$5:$A$2004,"&lt;"&amp;H32))</f>
        <v>0</v>
      </c>
      <c r="I33" s="37" t="n">
        <f aca="false">IF(I32=0,0,_xlfn.MAXIFS(HISTORIAL!$A$5:$A$2004,HISTORIAL!$E$5:$E$2004,"Press militar",HISTORIAL!$F$5:$F$2004,"Bilbo",HISTORIAL!$A$5:$A$2004,"&lt;"&amp;I32))</f>
        <v>0</v>
      </c>
      <c r="J33" s="37" t="n">
        <f aca="false">IF(J32=0,0,_xlfn.MAXIFS(HISTORIAL!$A$5:$A$2004,HISTORIAL!$E$5:$E$2004,"Remo bajo en polea",HISTORIAL!$F$5:$F$2004,"Bilbo",HISTORIAL!$A$5:$A$2004,"&lt;"&amp;J32))</f>
        <v>0</v>
      </c>
    </row>
    <row r="34" customFormat="false" ht="15" hidden="false" customHeight="true" outlineLevel="0" collapsed="false">
      <c r="A34" s="10" t="n">
        <v>8</v>
      </c>
      <c r="B34" s="18" t="str">
        <f aca="false">IF(H34=0,"",INDEX(HISTORIAL!$J$5:$J$2004,H34)&amp;" × "&amp;INDEX(HISTORIAL!$K$5:$K$2004,H34)&amp;" · c"&amp;INDEX(HISTORIAL!$G$5:$G$2004,H34)&amp;" · "&amp;DAY(INDEX(HISTORIAL!$B$5:$B$2004,H34))&amp;"/"&amp;MONTH(INDEX(HISTORIAL!$B$5:$B$2004,H34)))</f>
        <v/>
      </c>
      <c r="C34" s="18" t="str">
        <f aca="false">IF(I34=0,"",INDEX(HISTORIAL!$J$5:$J$2004,I34)&amp;" × "&amp;INDEX(HISTORIAL!$K$5:$K$2004,I34)&amp;" · c"&amp;INDEX(HISTORIAL!$G$5:$G$2004,I34)&amp;" · "&amp;DAY(INDEX(HISTORIAL!$B$5:$B$2004,I34))&amp;"/"&amp;MONTH(INDEX(HISTORIAL!$B$5:$B$2004,I34)))</f>
        <v/>
      </c>
      <c r="D34" s="18" t="str">
        <f aca="false">IF(J34=0,"",INDEX(HISTORIAL!$J$5:$J$2004,J34)&amp;" × "&amp;INDEX(HISTORIAL!$K$5:$K$2004,J34)&amp;" · c"&amp;INDEX(HISTORIAL!$G$5:$G$2004,J34)&amp;" · "&amp;DAY(INDEX(HISTORIAL!$B$5:$B$2004,J34))&amp;"/"&amp;MONTH(INDEX(HISTORIAL!$B$5:$B$2004,J34)))</f>
        <v/>
      </c>
      <c r="H34" s="37" t="n">
        <f aca="false">IF(H33=0,0,_xlfn.MAXIFS(HISTORIAL!$A$5:$A$2004,HISTORIAL!$E$5:$E$2004,"Press banca",HISTORIAL!$F$5:$F$2004,"Bilbo",HISTORIAL!$A$5:$A$2004,"&lt;"&amp;H33))</f>
        <v>0</v>
      </c>
      <c r="I34" s="37" t="n">
        <f aca="false">IF(I33=0,0,_xlfn.MAXIFS(HISTORIAL!$A$5:$A$2004,HISTORIAL!$E$5:$E$2004,"Press militar",HISTORIAL!$F$5:$F$2004,"Bilbo",HISTORIAL!$A$5:$A$2004,"&lt;"&amp;I33))</f>
        <v>0</v>
      </c>
      <c r="J34" s="37" t="n">
        <f aca="false">IF(J33=0,0,_xlfn.MAXIFS(HISTORIAL!$A$5:$A$2004,HISTORIAL!$E$5:$E$2004,"Remo bajo en polea",HISTORIAL!$F$5:$F$2004,"Bilbo",HISTORIAL!$A$5:$A$2004,"&lt;"&amp;J33))</f>
        <v>0</v>
      </c>
    </row>
    <row r="35" customFormat="false" ht="15" hidden="false" customHeight="true" outlineLevel="0" collapsed="false">
      <c r="A35" s="10" t="n">
        <v>9</v>
      </c>
      <c r="B35" s="18" t="str">
        <f aca="false">IF(H35=0,"",INDEX(HISTORIAL!$J$5:$J$2004,H35)&amp;" × "&amp;INDEX(HISTORIAL!$K$5:$K$2004,H35)&amp;" · c"&amp;INDEX(HISTORIAL!$G$5:$G$2004,H35)&amp;" · "&amp;DAY(INDEX(HISTORIAL!$B$5:$B$2004,H35))&amp;"/"&amp;MONTH(INDEX(HISTORIAL!$B$5:$B$2004,H35)))</f>
        <v/>
      </c>
      <c r="C35" s="18" t="str">
        <f aca="false">IF(I35=0,"",INDEX(HISTORIAL!$J$5:$J$2004,I35)&amp;" × "&amp;INDEX(HISTORIAL!$K$5:$K$2004,I35)&amp;" · c"&amp;INDEX(HISTORIAL!$G$5:$G$2004,I35)&amp;" · "&amp;DAY(INDEX(HISTORIAL!$B$5:$B$2004,I35))&amp;"/"&amp;MONTH(INDEX(HISTORIAL!$B$5:$B$2004,I35)))</f>
        <v/>
      </c>
      <c r="D35" s="18" t="str">
        <f aca="false">IF(J35=0,"",INDEX(HISTORIAL!$J$5:$J$2004,J35)&amp;" × "&amp;INDEX(HISTORIAL!$K$5:$K$2004,J35)&amp;" · c"&amp;INDEX(HISTORIAL!$G$5:$G$2004,J35)&amp;" · "&amp;DAY(INDEX(HISTORIAL!$B$5:$B$2004,J35))&amp;"/"&amp;MONTH(INDEX(HISTORIAL!$B$5:$B$2004,J35)))</f>
        <v/>
      </c>
      <c r="H35" s="37" t="n">
        <f aca="false">IF(H34=0,0,_xlfn.MAXIFS(HISTORIAL!$A$5:$A$2004,HISTORIAL!$E$5:$E$2004,"Press banca",HISTORIAL!$F$5:$F$2004,"Bilbo",HISTORIAL!$A$5:$A$2004,"&lt;"&amp;H34))</f>
        <v>0</v>
      </c>
      <c r="I35" s="37" t="n">
        <f aca="false">IF(I34=0,0,_xlfn.MAXIFS(HISTORIAL!$A$5:$A$2004,HISTORIAL!$E$5:$E$2004,"Press militar",HISTORIAL!$F$5:$F$2004,"Bilbo",HISTORIAL!$A$5:$A$2004,"&lt;"&amp;I34))</f>
        <v>0</v>
      </c>
      <c r="J35" s="37" t="n">
        <f aca="false">IF(J34=0,0,_xlfn.MAXIFS(HISTORIAL!$A$5:$A$2004,HISTORIAL!$E$5:$E$2004,"Remo bajo en polea",HISTORIAL!$F$5:$F$2004,"Bilbo",HISTORIAL!$A$5:$A$2004,"&lt;"&amp;J34))</f>
        <v>0</v>
      </c>
    </row>
    <row r="36" customFormat="false" ht="15" hidden="false" customHeight="true" outlineLevel="0" collapsed="false">
      <c r="A36" s="10" t="n">
        <v>10</v>
      </c>
      <c r="B36" s="18" t="str">
        <f aca="false">IF(H36=0,"",INDEX(HISTORIAL!$J$5:$J$2004,H36)&amp;" × "&amp;INDEX(HISTORIAL!$K$5:$K$2004,H36)&amp;" · c"&amp;INDEX(HISTORIAL!$G$5:$G$2004,H36)&amp;" · "&amp;DAY(INDEX(HISTORIAL!$B$5:$B$2004,H36))&amp;"/"&amp;MONTH(INDEX(HISTORIAL!$B$5:$B$2004,H36)))</f>
        <v/>
      </c>
      <c r="C36" s="18" t="str">
        <f aca="false">IF(I36=0,"",INDEX(HISTORIAL!$J$5:$J$2004,I36)&amp;" × "&amp;INDEX(HISTORIAL!$K$5:$K$2004,I36)&amp;" · c"&amp;INDEX(HISTORIAL!$G$5:$G$2004,I36)&amp;" · "&amp;DAY(INDEX(HISTORIAL!$B$5:$B$2004,I36))&amp;"/"&amp;MONTH(INDEX(HISTORIAL!$B$5:$B$2004,I36)))</f>
        <v/>
      </c>
      <c r="D36" s="18" t="str">
        <f aca="false">IF(J36=0,"",INDEX(HISTORIAL!$J$5:$J$2004,J36)&amp;" × "&amp;INDEX(HISTORIAL!$K$5:$K$2004,J36)&amp;" · c"&amp;INDEX(HISTORIAL!$G$5:$G$2004,J36)&amp;" · "&amp;DAY(INDEX(HISTORIAL!$B$5:$B$2004,J36))&amp;"/"&amp;MONTH(INDEX(HISTORIAL!$B$5:$B$2004,J36)))</f>
        <v/>
      </c>
      <c r="H36" s="37" t="n">
        <f aca="false">IF(H35=0,0,_xlfn.MAXIFS(HISTORIAL!$A$5:$A$2004,HISTORIAL!$E$5:$E$2004,"Press banca",HISTORIAL!$F$5:$F$2004,"Bilbo",HISTORIAL!$A$5:$A$2004,"&lt;"&amp;H35))</f>
        <v>0</v>
      </c>
      <c r="I36" s="37" t="n">
        <f aca="false">IF(I35=0,0,_xlfn.MAXIFS(HISTORIAL!$A$5:$A$2004,HISTORIAL!$E$5:$E$2004,"Press militar",HISTORIAL!$F$5:$F$2004,"Bilbo",HISTORIAL!$A$5:$A$2004,"&lt;"&amp;I35))</f>
        <v>0</v>
      </c>
      <c r="J36" s="37" t="n">
        <f aca="false">IF(J35=0,0,_xlfn.MAXIFS(HISTORIAL!$A$5:$A$2004,HISTORIAL!$E$5:$E$2004,"Remo bajo en polea",HISTORIAL!$F$5:$F$2004,"Bilbo",HISTORIAL!$A$5:$A$2004,"&lt;"&amp;J35))</f>
        <v>0</v>
      </c>
    </row>
    <row r="37" customFormat="false" ht="15" hidden="false" customHeight="true" outlineLevel="0" collapsed="false">
      <c r="A37" s="10" t="n">
        <v>11</v>
      </c>
      <c r="B37" s="18" t="str">
        <f aca="false">IF(H37=0,"",INDEX(HISTORIAL!$J$5:$J$2004,H37)&amp;" × "&amp;INDEX(HISTORIAL!$K$5:$K$2004,H37)&amp;" · c"&amp;INDEX(HISTORIAL!$G$5:$G$2004,H37)&amp;" · "&amp;DAY(INDEX(HISTORIAL!$B$5:$B$2004,H37))&amp;"/"&amp;MONTH(INDEX(HISTORIAL!$B$5:$B$2004,H37)))</f>
        <v/>
      </c>
      <c r="C37" s="18" t="str">
        <f aca="false">IF(I37=0,"",INDEX(HISTORIAL!$J$5:$J$2004,I37)&amp;" × "&amp;INDEX(HISTORIAL!$K$5:$K$2004,I37)&amp;" · c"&amp;INDEX(HISTORIAL!$G$5:$G$2004,I37)&amp;" · "&amp;DAY(INDEX(HISTORIAL!$B$5:$B$2004,I37))&amp;"/"&amp;MONTH(INDEX(HISTORIAL!$B$5:$B$2004,I37)))</f>
        <v/>
      </c>
      <c r="D37" s="18" t="str">
        <f aca="false">IF(J37=0,"",INDEX(HISTORIAL!$J$5:$J$2004,J37)&amp;" × "&amp;INDEX(HISTORIAL!$K$5:$K$2004,J37)&amp;" · c"&amp;INDEX(HISTORIAL!$G$5:$G$2004,J37)&amp;" · "&amp;DAY(INDEX(HISTORIAL!$B$5:$B$2004,J37))&amp;"/"&amp;MONTH(INDEX(HISTORIAL!$B$5:$B$2004,J37)))</f>
        <v/>
      </c>
      <c r="H37" s="37" t="n">
        <f aca="false">IF(H36=0,0,_xlfn.MAXIFS(HISTORIAL!$A$5:$A$2004,HISTORIAL!$E$5:$E$2004,"Press banca",HISTORIAL!$F$5:$F$2004,"Bilbo",HISTORIAL!$A$5:$A$2004,"&lt;"&amp;H36))</f>
        <v>0</v>
      </c>
      <c r="I37" s="37" t="n">
        <f aca="false">IF(I36=0,0,_xlfn.MAXIFS(HISTORIAL!$A$5:$A$2004,HISTORIAL!$E$5:$E$2004,"Press militar",HISTORIAL!$F$5:$F$2004,"Bilbo",HISTORIAL!$A$5:$A$2004,"&lt;"&amp;I36))</f>
        <v>0</v>
      </c>
      <c r="J37" s="37" t="n">
        <f aca="false">IF(J36=0,0,_xlfn.MAXIFS(HISTORIAL!$A$5:$A$2004,HISTORIAL!$E$5:$E$2004,"Remo bajo en polea",HISTORIAL!$F$5:$F$2004,"Bilbo",HISTORIAL!$A$5:$A$2004,"&lt;"&amp;J36))</f>
        <v>0</v>
      </c>
    </row>
    <row r="38" customFormat="false" ht="15" hidden="false" customHeight="true" outlineLevel="0" collapsed="false">
      <c r="A38" s="10" t="n">
        <v>12</v>
      </c>
      <c r="B38" s="18" t="str">
        <f aca="false">IF(H38=0,"",INDEX(HISTORIAL!$J$5:$J$2004,H38)&amp;" × "&amp;INDEX(HISTORIAL!$K$5:$K$2004,H38)&amp;" · c"&amp;INDEX(HISTORIAL!$G$5:$G$2004,H38)&amp;" · "&amp;DAY(INDEX(HISTORIAL!$B$5:$B$2004,H38))&amp;"/"&amp;MONTH(INDEX(HISTORIAL!$B$5:$B$2004,H38)))</f>
        <v/>
      </c>
      <c r="C38" s="18" t="str">
        <f aca="false">IF(I38=0,"",INDEX(HISTORIAL!$J$5:$J$2004,I38)&amp;" × "&amp;INDEX(HISTORIAL!$K$5:$K$2004,I38)&amp;" · c"&amp;INDEX(HISTORIAL!$G$5:$G$2004,I38)&amp;" · "&amp;DAY(INDEX(HISTORIAL!$B$5:$B$2004,I38))&amp;"/"&amp;MONTH(INDEX(HISTORIAL!$B$5:$B$2004,I38)))</f>
        <v/>
      </c>
      <c r="D38" s="18" t="str">
        <f aca="false">IF(J38=0,"",INDEX(HISTORIAL!$J$5:$J$2004,J38)&amp;" × "&amp;INDEX(HISTORIAL!$K$5:$K$2004,J38)&amp;" · c"&amp;INDEX(HISTORIAL!$G$5:$G$2004,J38)&amp;" · "&amp;DAY(INDEX(HISTORIAL!$B$5:$B$2004,J38))&amp;"/"&amp;MONTH(INDEX(HISTORIAL!$B$5:$B$2004,J38)))</f>
        <v/>
      </c>
      <c r="H38" s="37" t="n">
        <f aca="false">IF(H37=0,0,_xlfn.MAXIFS(HISTORIAL!$A$5:$A$2004,HISTORIAL!$E$5:$E$2004,"Press banca",HISTORIAL!$F$5:$F$2004,"Bilbo",HISTORIAL!$A$5:$A$2004,"&lt;"&amp;H37))</f>
        <v>0</v>
      </c>
      <c r="I38" s="37" t="n">
        <f aca="false">IF(I37=0,0,_xlfn.MAXIFS(HISTORIAL!$A$5:$A$2004,HISTORIAL!$E$5:$E$2004,"Press militar",HISTORIAL!$F$5:$F$2004,"Bilbo",HISTORIAL!$A$5:$A$2004,"&lt;"&amp;I37))</f>
        <v>0</v>
      </c>
      <c r="J38" s="37" t="n">
        <f aca="false">IF(J37=0,0,_xlfn.MAXIFS(HISTORIAL!$A$5:$A$2004,HISTORIAL!$E$5:$E$2004,"Remo bajo en polea",HISTORIAL!$F$5:$F$2004,"Bilbo",HISTORIAL!$A$5:$A$2004,"&lt;"&amp;J37))</f>
        <v>0</v>
      </c>
    </row>
    <row r="40" customFormat="false" ht="15" hidden="false" customHeight="true" outlineLevel="0" collapsed="false">
      <c r="A40" s="33" t="s">
        <v>536</v>
      </c>
    </row>
    <row r="41" customFormat="false" ht="23.25" hidden="false" customHeight="true" outlineLevel="0" collapsed="false">
      <c r="A41" s="5" t="s">
        <v>261</v>
      </c>
      <c r="B41" s="5" t="s">
        <v>537</v>
      </c>
      <c r="C41" s="5" t="s">
        <v>538</v>
      </c>
      <c r="D41" s="5" t="s">
        <v>539</v>
      </c>
      <c r="E41" s="5" t="s">
        <v>540</v>
      </c>
      <c r="F41" s="5" t="s">
        <v>482</v>
      </c>
    </row>
    <row r="42" customFormat="false" ht="15" hidden="false" customHeight="true" outlineLevel="0" collapsed="false">
      <c r="A42" s="10" t="s">
        <v>286</v>
      </c>
      <c r="B42" s="32" t="str">
        <f aca="false">PROGRESIONES!H9</f>
        <v/>
      </c>
      <c r="C42" s="20" t="str">
        <f aca="false">PROGRESIONES!I9</f>
        <v/>
      </c>
      <c r="D42" s="20" t="str">
        <f aca="false">IF(PROGRESIONES!H9="","",PROGRESIONES!J9&amp;"/"&amp;PROGRESIONES!K9&amp;"/"&amp;PROGRESIONES!L9)</f>
        <v/>
      </c>
      <c r="E42" s="20" t="str">
        <f aca="false">IF(PROGRESIONES!P9="","CALIBRAR",PROGRESIONES!P9)</f>
        <v>CALIBRAR</v>
      </c>
      <c r="F42" s="20" t="str">
        <f aca="false">PROGRESIONES!N9</f>
        <v>CALIBRAR</v>
      </c>
      <c r="G42" s="20"/>
      <c r="H42" s="20"/>
      <c r="I42" s="20"/>
    </row>
    <row r="43" customFormat="false" ht="15" hidden="false" customHeight="true" outlineLevel="0" collapsed="false">
      <c r="A43" s="10" t="s">
        <v>292</v>
      </c>
      <c r="B43" s="32" t="str">
        <f aca="false">PROGRESIONES!H10</f>
        <v/>
      </c>
      <c r="C43" s="20" t="str">
        <f aca="false">PROGRESIONES!I10</f>
        <v/>
      </c>
      <c r="D43" s="20" t="str">
        <f aca="false">IF(PROGRESIONES!H10="","",PROGRESIONES!J10&amp;"/"&amp;PROGRESIONES!K10&amp;"/"&amp;PROGRESIONES!L10)</f>
        <v/>
      </c>
      <c r="E43" s="20" t="str">
        <f aca="false">IF(PROGRESIONES!P10="","CALIBRAR",PROGRESIONES!P10)</f>
        <v>CALIBRAR</v>
      </c>
      <c r="F43" s="20" t="str">
        <f aca="false">PROGRESIONES!N10</f>
        <v>CALIBRAR</v>
      </c>
      <c r="G43" s="20"/>
      <c r="H43" s="20"/>
      <c r="I43" s="20"/>
    </row>
    <row r="44" customFormat="false" ht="15" hidden="false" customHeight="true" outlineLevel="0" collapsed="false">
      <c r="A44" s="10" t="s">
        <v>296</v>
      </c>
      <c r="B44" s="32" t="str">
        <f aca="false">PROGRESIONES!H11</f>
        <v/>
      </c>
      <c r="C44" s="20" t="str">
        <f aca="false">PROGRESIONES!I11</f>
        <v/>
      </c>
      <c r="D44" s="20" t="str">
        <f aca="false">IF(PROGRESIONES!H11="","",PROGRESIONES!J11&amp;"/"&amp;PROGRESIONES!K11&amp;"/"&amp;PROGRESIONES!L11)</f>
        <v/>
      </c>
      <c r="E44" s="20" t="str">
        <f aca="false">IF(PROGRESIONES!P11="","CALIBRAR",PROGRESIONES!P11)</f>
        <v>CALIBRAR</v>
      </c>
      <c r="F44" s="20" t="str">
        <f aca="false">PROGRESIONES!N11</f>
        <v>CALIBRAR</v>
      </c>
      <c r="G44" s="20"/>
      <c r="H44" s="20"/>
      <c r="I44" s="20"/>
    </row>
    <row r="45" customFormat="false" ht="15" hidden="false" customHeight="true" outlineLevel="0" collapsed="false">
      <c r="A45" s="10" t="s">
        <v>297</v>
      </c>
      <c r="B45" s="32" t="str">
        <f aca="false">PROGRESIONES!H12</f>
        <v/>
      </c>
      <c r="C45" s="20" t="str">
        <f aca="false">PROGRESIONES!I12</f>
        <v/>
      </c>
      <c r="D45" s="20" t="str">
        <f aca="false">IF(PROGRESIONES!H12="","",PROGRESIONES!J12&amp;"/"&amp;PROGRESIONES!K12&amp;"/"&amp;PROGRESIONES!L12)</f>
        <v/>
      </c>
      <c r="E45" s="20" t="str">
        <f aca="false">IF(PROGRESIONES!P12="","CALIBRAR",PROGRESIONES!P12)</f>
        <v>CALIBRAR</v>
      </c>
      <c r="F45" s="20" t="str">
        <f aca="false">PROGRESIONES!N12</f>
        <v>CALIBRAR</v>
      </c>
      <c r="G45" s="20"/>
      <c r="H45" s="20"/>
      <c r="I45" s="20"/>
    </row>
    <row r="46" customFormat="false" ht="15" hidden="false" customHeight="true" outlineLevel="0" collapsed="false">
      <c r="A46" s="10" t="s">
        <v>301</v>
      </c>
      <c r="B46" s="32" t="str">
        <f aca="false">PROGRESIONES!H13</f>
        <v/>
      </c>
      <c r="C46" s="20" t="str">
        <f aca="false">PROGRESIONES!I13</f>
        <v/>
      </c>
      <c r="D46" s="20" t="str">
        <f aca="false">IF(PROGRESIONES!H13="","",PROGRESIONES!J13&amp;"/"&amp;PROGRESIONES!K13&amp;"/"&amp;PROGRESIONES!L13)</f>
        <v/>
      </c>
      <c r="E46" s="20" t="str">
        <f aca="false">IF(PROGRESIONES!P13="","CALIBRAR",PROGRESIONES!P13)</f>
        <v>CALIBRAR</v>
      </c>
      <c r="F46" s="20" t="str">
        <f aca="false">PROGRESIONES!N13</f>
        <v>CALIBRAR</v>
      </c>
      <c r="G46" s="20"/>
      <c r="H46" s="20"/>
      <c r="I46" s="20"/>
    </row>
    <row r="47" customFormat="false" ht="15" hidden="false" customHeight="true" outlineLevel="0" collapsed="false">
      <c r="A47" s="10" t="s">
        <v>243</v>
      </c>
      <c r="B47" s="32" t="str">
        <f aca="false">PROGRESIONES!H14</f>
        <v/>
      </c>
      <c r="C47" s="20" t="str">
        <f aca="false">PROGRESIONES!I14</f>
        <v/>
      </c>
      <c r="D47" s="20" t="str">
        <f aca="false">IF(PROGRESIONES!H14="","",PROGRESIONES!J14&amp;"/"&amp;PROGRESIONES!K14&amp;"/"&amp;PROGRESIONES!L14)</f>
        <v/>
      </c>
      <c r="E47" s="20" t="str">
        <f aca="false">IF(PROGRESIONES!P14="","CALIBRAR",PROGRESIONES!P14)</f>
        <v>CALIBRAR</v>
      </c>
      <c r="F47" s="20" t="str">
        <f aca="false">PROGRESIONES!N14</f>
        <v>CALIBRAR</v>
      </c>
      <c r="G47" s="20"/>
      <c r="H47" s="20"/>
      <c r="I47" s="20"/>
    </row>
    <row r="48" customFormat="false" ht="15" hidden="false" customHeight="true" outlineLevel="0" collapsed="false">
      <c r="A48" s="10" t="s">
        <v>306</v>
      </c>
      <c r="B48" s="32" t="str">
        <f aca="false">PROGRESIONES!H15</f>
        <v/>
      </c>
      <c r="C48" s="20" t="str">
        <f aca="false">PROGRESIONES!I15</f>
        <v/>
      </c>
      <c r="D48" s="20" t="str">
        <f aca="false">IF(PROGRESIONES!H15="","",PROGRESIONES!J15&amp;"/"&amp;PROGRESIONES!K15&amp;"/"&amp;PROGRESIONES!L15)</f>
        <v/>
      </c>
      <c r="E48" s="20" t="str">
        <f aca="false">IF(PROGRESIONES!P15="","CALIBRAR",PROGRESIONES!P15)</f>
        <v>CALIBRAR</v>
      </c>
      <c r="F48" s="20" t="str">
        <f aca="false">PROGRESIONES!N15</f>
        <v>CALIBRAR</v>
      </c>
      <c r="G48" s="20"/>
      <c r="H48" s="20"/>
      <c r="I48" s="20"/>
    </row>
    <row r="49" customFormat="false" ht="15" hidden="false" customHeight="true" outlineLevel="0" collapsed="false">
      <c r="A49" s="10" t="s">
        <v>308</v>
      </c>
      <c r="B49" s="32" t="str">
        <f aca="false">PROGRESIONES!H16</f>
        <v/>
      </c>
      <c r="C49" s="20" t="str">
        <f aca="false">PROGRESIONES!I16</f>
        <v/>
      </c>
      <c r="D49" s="20" t="str">
        <f aca="false">IF(PROGRESIONES!H16="","",PROGRESIONES!J16&amp;"/"&amp;PROGRESIONES!K16&amp;"/"&amp;PROGRESIONES!L16)</f>
        <v/>
      </c>
      <c r="E49" s="20" t="str">
        <f aca="false">IF(PROGRESIONES!P16="","CALIBRAR",PROGRESIONES!P16)</f>
        <v>CALIBRAR</v>
      </c>
      <c r="F49" s="20" t="str">
        <f aca="false">PROGRESIONES!N16</f>
        <v>CALIBRAR</v>
      </c>
      <c r="G49" s="20"/>
      <c r="H49" s="20"/>
      <c r="I49" s="20"/>
    </row>
    <row r="50" customFormat="false" ht="15" hidden="false" customHeight="true" outlineLevel="0" collapsed="false">
      <c r="A50" s="10" t="s">
        <v>309</v>
      </c>
      <c r="B50" s="32" t="str">
        <f aca="false">PROGRESIONES!H17</f>
        <v/>
      </c>
      <c r="C50" s="20" t="str">
        <f aca="false">PROGRESIONES!I17</f>
        <v/>
      </c>
      <c r="D50" s="20" t="str">
        <f aca="false">IF(PROGRESIONES!H17="","",PROGRESIONES!J17&amp;"/"&amp;PROGRESIONES!K17&amp;"/"&amp;PROGRESIONES!L17)</f>
        <v/>
      </c>
      <c r="E50" s="25" t="n">
        <f aca="false">IF(PROGRESIONES!P17="","CALIBRAR",PROGRESIONES!P17)</f>
        <v>0</v>
      </c>
      <c r="F50" s="20" t="str">
        <f aca="false">PROGRESIONES!N17</f>
        <v>CALIBRAR</v>
      </c>
      <c r="G50" s="20"/>
      <c r="H50" s="20"/>
      <c r="I50" s="20"/>
    </row>
    <row r="51" customFormat="false" ht="15" hidden="false" customHeight="true" outlineLevel="0" collapsed="false">
      <c r="A51" s="10" t="s">
        <v>315</v>
      </c>
      <c r="B51" s="32" t="str">
        <f aca="false">PROGRESIONES!H18</f>
        <v/>
      </c>
      <c r="C51" s="20" t="str">
        <f aca="false">PROGRESIONES!I18</f>
        <v/>
      </c>
      <c r="D51" s="20" t="str">
        <f aca="false">IF(PROGRESIONES!H18="","",PROGRESIONES!J18&amp;"/"&amp;PROGRESIONES!K18&amp;"/"&amp;PROGRESIONES!L18)</f>
        <v/>
      </c>
      <c r="E51" s="20" t="str">
        <f aca="false">IF(PROGRESIONES!P18="","CALIBRAR",PROGRESIONES!P18)</f>
        <v>CALIBRAR</v>
      </c>
      <c r="F51" s="20" t="str">
        <f aca="false">PROGRESIONES!N18</f>
        <v>CALIBRAR</v>
      </c>
      <c r="G51" s="20"/>
      <c r="H51" s="20"/>
      <c r="I51" s="20"/>
    </row>
    <row r="52" customFormat="false" ht="15" hidden="false" customHeight="true" outlineLevel="0" collapsed="false">
      <c r="A52" s="10" t="s">
        <v>318</v>
      </c>
      <c r="B52" s="32" t="str">
        <f aca="false">PROGRESIONES!H19</f>
        <v/>
      </c>
      <c r="C52" s="20" t="str">
        <f aca="false">PROGRESIONES!I19</f>
        <v/>
      </c>
      <c r="D52" s="20" t="str">
        <f aca="false">IF(PROGRESIONES!H19="","",PROGRESIONES!J19&amp;"/"&amp;PROGRESIONES!K19&amp;"/"&amp;PROGRESIONES!L19)</f>
        <v/>
      </c>
      <c r="E52" s="20" t="str">
        <f aca="false">IF(PROGRESIONES!P19="","CALIBRAR",PROGRESIONES!P19)</f>
        <v>CALIBRAR</v>
      </c>
      <c r="F52" s="20" t="str">
        <f aca="false">PROGRESIONES!N19</f>
        <v>CALIBRAR</v>
      </c>
      <c r="G52" s="20"/>
      <c r="H52" s="20"/>
      <c r="I52" s="20"/>
    </row>
    <row r="54" customFormat="false" ht="15" hidden="false" customHeight="true" outlineLevel="0" collapsed="false">
      <c r="A54" s="33" t="s">
        <v>541</v>
      </c>
    </row>
    <row r="56" customFormat="false" ht="23.25" hidden="false" customHeight="true" outlineLevel="0" collapsed="false">
      <c r="A56" s="10" t="s">
        <v>542</v>
      </c>
      <c r="B56" s="26" t="n">
        <f aca="false">SUM(HISTORIAL!$Y$5:$Y$2004)</f>
        <v>0</v>
      </c>
      <c r="C56" s="26"/>
    </row>
    <row r="57" customFormat="false" ht="15" hidden="false" customHeight="true" outlineLevel="0" collapsed="false">
      <c r="A57" s="10" t="s">
        <v>543</v>
      </c>
      <c r="B57" s="28" t="str">
        <f aca="false">IF(MAX(HISTORIAL!$B$5:$B$2004)=0,"",MAX(HISTORIAL!$B$5:$B$2004))</f>
        <v/>
      </c>
      <c r="C57" s="28"/>
    </row>
    <row r="58" customFormat="false" ht="15" hidden="false" customHeight="true" outlineLevel="0" collapsed="false">
      <c r="A58" s="10" t="s">
        <v>544</v>
      </c>
      <c r="B58" s="18" t="str">
        <f aca="false">IF(MAX(HISTORIAL!$B$5:$B$2004)=0,"",INDEX(HISTORIAL!$D$5:$D$2004,MATCH(MAX(HISTORIAL!$B$5:$B$2004),HISTORIAL!$B$5:$B$2004,0)))</f>
        <v/>
      </c>
      <c r="C58" s="18"/>
    </row>
    <row r="59" customFormat="false" ht="15" hidden="false" customHeight="true" outlineLevel="0" collapsed="false">
      <c r="A59" s="10" t="s">
        <v>399</v>
      </c>
      <c r="B59" s="28" t="n">
        <f aca="false">'SESIÓN ACTUAL'!C5</f>
        <v>46293</v>
      </c>
      <c r="C59" s="28"/>
    </row>
    <row r="60" customFormat="false" ht="15" hidden="false" customHeight="true" outlineLevel="0" collapsed="false">
      <c r="A60" s="10" t="s">
        <v>545</v>
      </c>
      <c r="B60" s="18" t="str">
        <f aca="false">'SESIÓN ACTUAL'!C8&amp;" · "&amp;'SESIÓN ACTUAL'!C9</f>
        <v>LUNES · EMPUJE</v>
      </c>
      <c r="C60" s="18"/>
    </row>
    <row r="61" customFormat="false" ht="23.25" hidden="false" customHeight="true" outlineLevel="0" collapsed="false">
      <c r="A61" s="10" t="s">
        <v>546</v>
      </c>
      <c r="B61" s="38" t="n">
        <f aca="false">IF(MAX(HISTORIAL!$B$5:$B$2004)=0,0,SUMIFS(HISTORIAL!$R$5:$R$2004,HISTORIAL!$B$5:$B$2004,"&gt;="&amp;(MAX(HISTORIAL!$B$5:$B$2004)-6),HISTORIAL!$F$5:$F$2004,"&lt;&gt;Calentamiento"))</f>
        <v>0</v>
      </c>
      <c r="C61" s="38"/>
    </row>
    <row r="62" customFormat="false" ht="23.25" hidden="false" customHeight="true" outlineLevel="0" collapsed="false">
      <c r="A62" s="10" t="s">
        <v>547</v>
      </c>
      <c r="B62" s="38" t="n">
        <f aca="false">IF(MAX(HISTORIAL!$B$5:$B$2004)=0,0,SUMIFS(HISTORIAL!$R$5:$R$2004,HISTORIAL!$B$5:$B$2004,"&gt;="&amp;(MAX(HISTORIAL!$B$5:$B$2004)-27),HISTORIAL!$F$5:$F$2004,"&lt;&gt;Calentamiento"))</f>
        <v>0</v>
      </c>
      <c r="C62" s="38"/>
    </row>
    <row r="64" customFormat="false" ht="15" hidden="false" customHeight="true" outlineLevel="0" collapsed="false">
      <c r="A64" s="5" t="s">
        <v>261</v>
      </c>
      <c r="B64" s="5" t="s">
        <v>548</v>
      </c>
      <c r="C64" s="5" t="s">
        <v>549</v>
      </c>
    </row>
    <row r="65" customFormat="false" ht="15" hidden="false" customHeight="true" outlineLevel="0" collapsed="false">
      <c r="A65" s="10" t="s">
        <v>274</v>
      </c>
      <c r="B65" s="26" t="n">
        <f aca="false">IF(MAX(HISTORIAL!$B$5:$B$2004)=0,0,COUNTIFS(HISTORIAL!$E$5:$E$2004,$A65,HISTORIAL!$B$5:$B$2004,"&gt;="&amp;(MAX(HISTORIAL!$B$5:$B$2004)-6),HISTORIAL!$F$5:$F$2004,"&lt;&gt;Calentamiento"))</f>
        <v>0</v>
      </c>
      <c r="C65" s="26" t="n">
        <f aca="false">IF(MAX(HISTORIAL!$B$5:$B$2004)=0,0,COUNTIFS(HISTORIAL!$E$5:$E$2004,$A65,HISTORIAL!$B$5:$B$2004,"&gt;="&amp;(MAX(HISTORIAL!$B$5:$B$2004)-27),HISTORIAL!$F$5:$F$2004,"&lt;&gt;Calentamiento"))</f>
        <v>0</v>
      </c>
    </row>
    <row r="66" customFormat="false" ht="15" hidden="false" customHeight="true" outlineLevel="0" collapsed="false">
      <c r="A66" s="10" t="s">
        <v>282</v>
      </c>
      <c r="B66" s="26" t="n">
        <f aca="false">IF(MAX(HISTORIAL!$B$5:$B$2004)=0,0,COUNTIFS(HISTORIAL!$E$5:$E$2004,$A66,HISTORIAL!$B$5:$B$2004,"&gt;="&amp;(MAX(HISTORIAL!$B$5:$B$2004)-6),HISTORIAL!$F$5:$F$2004,"&lt;&gt;Calentamiento"))</f>
        <v>0</v>
      </c>
      <c r="C66" s="26" t="n">
        <f aca="false">IF(MAX(HISTORIAL!$B$5:$B$2004)=0,0,COUNTIFS(HISTORIAL!$E$5:$E$2004,$A66,HISTORIAL!$B$5:$B$2004,"&gt;="&amp;(MAX(HISTORIAL!$B$5:$B$2004)-27),HISTORIAL!$F$5:$F$2004,"&lt;&gt;Calentamiento"))</f>
        <v>0</v>
      </c>
    </row>
    <row r="67" customFormat="false" ht="15" hidden="false" customHeight="true" outlineLevel="0" collapsed="false">
      <c r="A67" s="10" t="s">
        <v>283</v>
      </c>
      <c r="B67" s="26" t="n">
        <f aca="false">IF(MAX(HISTORIAL!$B$5:$B$2004)=0,0,COUNTIFS(HISTORIAL!$E$5:$E$2004,$A67,HISTORIAL!$B$5:$B$2004,"&gt;="&amp;(MAX(HISTORIAL!$B$5:$B$2004)-6),HISTORIAL!$F$5:$F$2004,"&lt;&gt;Calentamiento"))</f>
        <v>0</v>
      </c>
      <c r="C67" s="26" t="n">
        <f aca="false">IF(MAX(HISTORIAL!$B$5:$B$2004)=0,0,COUNTIFS(HISTORIAL!$E$5:$E$2004,$A67,HISTORIAL!$B$5:$B$2004,"&gt;="&amp;(MAX(HISTORIAL!$B$5:$B$2004)-27),HISTORIAL!$F$5:$F$2004,"&lt;&gt;Calentamiento"))</f>
        <v>0</v>
      </c>
    </row>
    <row r="68" customFormat="false" ht="15" hidden="false" customHeight="true" outlineLevel="0" collapsed="false">
      <c r="A68" s="10" t="s">
        <v>286</v>
      </c>
      <c r="B68" s="26" t="n">
        <f aca="false">IF(MAX(HISTORIAL!$B$5:$B$2004)=0,0,COUNTIFS(HISTORIAL!$E$5:$E$2004,$A68,HISTORIAL!$B$5:$B$2004,"&gt;="&amp;(MAX(HISTORIAL!$B$5:$B$2004)-6),HISTORIAL!$F$5:$F$2004,"&lt;&gt;Calentamiento"))</f>
        <v>0</v>
      </c>
      <c r="C68" s="26" t="n">
        <f aca="false">IF(MAX(HISTORIAL!$B$5:$B$2004)=0,0,COUNTIFS(HISTORIAL!$E$5:$E$2004,$A68,HISTORIAL!$B$5:$B$2004,"&gt;="&amp;(MAX(HISTORIAL!$B$5:$B$2004)-27),HISTORIAL!$F$5:$F$2004,"&lt;&gt;Calentamiento"))</f>
        <v>0</v>
      </c>
    </row>
    <row r="69" customFormat="false" ht="15" hidden="false" customHeight="true" outlineLevel="0" collapsed="false">
      <c r="A69" s="10" t="s">
        <v>292</v>
      </c>
      <c r="B69" s="26" t="n">
        <f aca="false">IF(MAX(HISTORIAL!$B$5:$B$2004)=0,0,COUNTIFS(HISTORIAL!$E$5:$E$2004,$A69,HISTORIAL!$B$5:$B$2004,"&gt;="&amp;(MAX(HISTORIAL!$B$5:$B$2004)-6),HISTORIAL!$F$5:$F$2004,"&lt;&gt;Calentamiento"))</f>
        <v>0</v>
      </c>
      <c r="C69" s="26" t="n">
        <f aca="false">IF(MAX(HISTORIAL!$B$5:$B$2004)=0,0,COUNTIFS(HISTORIAL!$E$5:$E$2004,$A69,HISTORIAL!$B$5:$B$2004,"&gt;="&amp;(MAX(HISTORIAL!$B$5:$B$2004)-27),HISTORIAL!$F$5:$F$2004,"&lt;&gt;Calentamiento"))</f>
        <v>0</v>
      </c>
    </row>
    <row r="70" customFormat="false" ht="15" hidden="false" customHeight="true" outlineLevel="0" collapsed="false">
      <c r="A70" s="10" t="s">
        <v>296</v>
      </c>
      <c r="B70" s="26" t="n">
        <f aca="false">IF(MAX(HISTORIAL!$B$5:$B$2004)=0,0,COUNTIFS(HISTORIAL!$E$5:$E$2004,$A70,HISTORIAL!$B$5:$B$2004,"&gt;="&amp;(MAX(HISTORIAL!$B$5:$B$2004)-6),HISTORIAL!$F$5:$F$2004,"&lt;&gt;Calentamiento"))</f>
        <v>0</v>
      </c>
      <c r="C70" s="26" t="n">
        <f aca="false">IF(MAX(HISTORIAL!$B$5:$B$2004)=0,0,COUNTIFS(HISTORIAL!$E$5:$E$2004,$A70,HISTORIAL!$B$5:$B$2004,"&gt;="&amp;(MAX(HISTORIAL!$B$5:$B$2004)-27),HISTORIAL!$F$5:$F$2004,"&lt;&gt;Calentamiento"))</f>
        <v>0</v>
      </c>
    </row>
    <row r="71" customFormat="false" ht="15" hidden="false" customHeight="true" outlineLevel="0" collapsed="false">
      <c r="A71" s="10" t="s">
        <v>297</v>
      </c>
      <c r="B71" s="26" t="n">
        <f aca="false">IF(MAX(HISTORIAL!$B$5:$B$2004)=0,0,COUNTIFS(HISTORIAL!$E$5:$E$2004,$A71,HISTORIAL!$B$5:$B$2004,"&gt;="&amp;(MAX(HISTORIAL!$B$5:$B$2004)-6),HISTORIAL!$F$5:$F$2004,"&lt;&gt;Calentamiento"))</f>
        <v>0</v>
      </c>
      <c r="C71" s="26" t="n">
        <f aca="false">IF(MAX(HISTORIAL!$B$5:$B$2004)=0,0,COUNTIFS(HISTORIAL!$E$5:$E$2004,$A71,HISTORIAL!$B$5:$B$2004,"&gt;="&amp;(MAX(HISTORIAL!$B$5:$B$2004)-27),HISTORIAL!$F$5:$F$2004,"&lt;&gt;Calentamiento"))</f>
        <v>0</v>
      </c>
    </row>
    <row r="72" customFormat="false" ht="15" hidden="false" customHeight="true" outlineLevel="0" collapsed="false">
      <c r="A72" s="10" t="s">
        <v>301</v>
      </c>
      <c r="B72" s="26" t="n">
        <f aca="false">IF(MAX(HISTORIAL!$B$5:$B$2004)=0,0,COUNTIFS(HISTORIAL!$E$5:$E$2004,$A72,HISTORIAL!$B$5:$B$2004,"&gt;="&amp;(MAX(HISTORIAL!$B$5:$B$2004)-6),HISTORIAL!$F$5:$F$2004,"&lt;&gt;Calentamiento"))</f>
        <v>0</v>
      </c>
      <c r="C72" s="26" t="n">
        <f aca="false">IF(MAX(HISTORIAL!$B$5:$B$2004)=0,0,COUNTIFS(HISTORIAL!$E$5:$E$2004,$A72,HISTORIAL!$B$5:$B$2004,"&gt;="&amp;(MAX(HISTORIAL!$B$5:$B$2004)-27),HISTORIAL!$F$5:$F$2004,"&lt;&gt;Calentamiento"))</f>
        <v>0</v>
      </c>
    </row>
    <row r="73" customFormat="false" ht="15" hidden="false" customHeight="true" outlineLevel="0" collapsed="false">
      <c r="A73" s="10" t="s">
        <v>243</v>
      </c>
      <c r="B73" s="26" t="n">
        <f aca="false">IF(MAX(HISTORIAL!$B$5:$B$2004)=0,0,COUNTIFS(HISTORIAL!$E$5:$E$2004,$A73,HISTORIAL!$B$5:$B$2004,"&gt;="&amp;(MAX(HISTORIAL!$B$5:$B$2004)-6),HISTORIAL!$F$5:$F$2004,"&lt;&gt;Calentamiento"))</f>
        <v>0</v>
      </c>
      <c r="C73" s="26" t="n">
        <f aca="false">IF(MAX(HISTORIAL!$B$5:$B$2004)=0,0,COUNTIFS(HISTORIAL!$E$5:$E$2004,$A73,HISTORIAL!$B$5:$B$2004,"&gt;="&amp;(MAX(HISTORIAL!$B$5:$B$2004)-27),HISTORIAL!$F$5:$F$2004,"&lt;&gt;Calentamiento"))</f>
        <v>0</v>
      </c>
    </row>
    <row r="74" customFormat="false" ht="15" hidden="false" customHeight="true" outlineLevel="0" collapsed="false">
      <c r="A74" s="10" t="s">
        <v>306</v>
      </c>
      <c r="B74" s="26" t="n">
        <f aca="false">IF(MAX(HISTORIAL!$B$5:$B$2004)=0,0,COUNTIFS(HISTORIAL!$E$5:$E$2004,$A74,HISTORIAL!$B$5:$B$2004,"&gt;="&amp;(MAX(HISTORIAL!$B$5:$B$2004)-6),HISTORIAL!$F$5:$F$2004,"&lt;&gt;Calentamiento"))</f>
        <v>0</v>
      </c>
      <c r="C74" s="26" t="n">
        <f aca="false">IF(MAX(HISTORIAL!$B$5:$B$2004)=0,0,COUNTIFS(HISTORIAL!$E$5:$E$2004,$A74,HISTORIAL!$B$5:$B$2004,"&gt;="&amp;(MAX(HISTORIAL!$B$5:$B$2004)-27),HISTORIAL!$F$5:$F$2004,"&lt;&gt;Calentamiento"))</f>
        <v>0</v>
      </c>
    </row>
    <row r="75" customFormat="false" ht="15" hidden="false" customHeight="true" outlineLevel="0" collapsed="false">
      <c r="A75" s="10" t="s">
        <v>308</v>
      </c>
      <c r="B75" s="26" t="n">
        <f aca="false">IF(MAX(HISTORIAL!$B$5:$B$2004)=0,0,COUNTIFS(HISTORIAL!$E$5:$E$2004,$A75,HISTORIAL!$B$5:$B$2004,"&gt;="&amp;(MAX(HISTORIAL!$B$5:$B$2004)-6),HISTORIAL!$F$5:$F$2004,"&lt;&gt;Calentamiento"))</f>
        <v>0</v>
      </c>
      <c r="C75" s="26" t="n">
        <f aca="false">IF(MAX(HISTORIAL!$B$5:$B$2004)=0,0,COUNTIFS(HISTORIAL!$E$5:$E$2004,$A75,HISTORIAL!$B$5:$B$2004,"&gt;="&amp;(MAX(HISTORIAL!$B$5:$B$2004)-27),HISTORIAL!$F$5:$F$2004,"&lt;&gt;Calentamiento"))</f>
        <v>0</v>
      </c>
    </row>
    <row r="76" customFormat="false" ht="15" hidden="false" customHeight="true" outlineLevel="0" collapsed="false">
      <c r="A76" s="10" t="s">
        <v>309</v>
      </c>
      <c r="B76" s="26" t="n">
        <f aca="false">IF(MAX(HISTORIAL!$B$5:$B$2004)=0,0,COUNTIFS(HISTORIAL!$E$5:$E$2004,$A76,HISTORIAL!$B$5:$B$2004,"&gt;="&amp;(MAX(HISTORIAL!$B$5:$B$2004)-6),HISTORIAL!$F$5:$F$2004,"&lt;&gt;Calentamiento"))</f>
        <v>0</v>
      </c>
      <c r="C76" s="26" t="n">
        <f aca="false">IF(MAX(HISTORIAL!$B$5:$B$2004)=0,0,COUNTIFS(HISTORIAL!$E$5:$E$2004,$A76,HISTORIAL!$B$5:$B$2004,"&gt;="&amp;(MAX(HISTORIAL!$B$5:$B$2004)-27),HISTORIAL!$F$5:$F$2004,"&lt;&gt;Calentamiento"))</f>
        <v>0</v>
      </c>
    </row>
    <row r="77" customFormat="false" ht="15" hidden="false" customHeight="true" outlineLevel="0" collapsed="false">
      <c r="A77" s="10" t="s">
        <v>315</v>
      </c>
      <c r="B77" s="26" t="n">
        <f aca="false">IF(MAX(HISTORIAL!$B$5:$B$2004)=0,0,COUNTIFS(HISTORIAL!$E$5:$E$2004,$A77,HISTORIAL!$B$5:$B$2004,"&gt;="&amp;(MAX(HISTORIAL!$B$5:$B$2004)-6),HISTORIAL!$F$5:$F$2004,"&lt;&gt;Calentamiento"))</f>
        <v>0</v>
      </c>
      <c r="C77" s="26" t="n">
        <f aca="false">IF(MAX(HISTORIAL!$B$5:$B$2004)=0,0,COUNTIFS(HISTORIAL!$E$5:$E$2004,$A77,HISTORIAL!$B$5:$B$2004,"&gt;="&amp;(MAX(HISTORIAL!$B$5:$B$2004)-27),HISTORIAL!$F$5:$F$2004,"&lt;&gt;Calentamiento"))</f>
        <v>0</v>
      </c>
    </row>
    <row r="78" customFormat="false" ht="15" hidden="false" customHeight="true" outlineLevel="0" collapsed="false">
      <c r="A78" s="10" t="s">
        <v>318</v>
      </c>
      <c r="B78" s="26" t="n">
        <f aca="false">IF(MAX(HISTORIAL!$B$5:$B$2004)=0,0,COUNTIFS(HISTORIAL!$E$5:$E$2004,$A78,HISTORIAL!$B$5:$B$2004,"&gt;="&amp;(MAX(HISTORIAL!$B$5:$B$2004)-6),HISTORIAL!$F$5:$F$2004,"&lt;&gt;Calentamiento"))</f>
        <v>0</v>
      </c>
      <c r="C78" s="26" t="n">
        <f aca="false">IF(MAX(HISTORIAL!$B$5:$B$2004)=0,0,COUNTIFS(HISTORIAL!$E$5:$E$2004,$A78,HISTORIAL!$B$5:$B$2004,"&gt;="&amp;(MAX(HISTORIAL!$B$5:$B$2004)-27),HISTORIAL!$F$5:$F$2004,"&lt;&gt;Calentamiento"))</f>
        <v>0</v>
      </c>
    </row>
    <row r="80" customFormat="false" ht="39.75" hidden="false" customHeight="true" outlineLevel="0" collapsed="false">
      <c r="A80" s="34" t="s">
        <v>550</v>
      </c>
      <c r="B80" s="11" t="s">
        <v>551</v>
      </c>
      <c r="C80" s="11"/>
      <c r="D80" s="11"/>
      <c r="E80" s="11"/>
      <c r="F80" s="11"/>
      <c r="G80" s="11"/>
      <c r="H80" s="11"/>
      <c r="I80" s="11"/>
    </row>
  </sheetData>
  <mergeCells count="19">
    <mergeCell ref="F42:I42"/>
    <mergeCell ref="F43:I43"/>
    <mergeCell ref="F44:I44"/>
    <mergeCell ref="F45:I45"/>
    <mergeCell ref="F46:I46"/>
    <mergeCell ref="F47:I47"/>
    <mergeCell ref="F48:I48"/>
    <mergeCell ref="F49:I49"/>
    <mergeCell ref="F50:I50"/>
    <mergeCell ref="F51:I51"/>
    <mergeCell ref="F52:I52"/>
    <mergeCell ref="B56:C56"/>
    <mergeCell ref="B57:C57"/>
    <mergeCell ref="B58:C58"/>
    <mergeCell ref="B59:C59"/>
    <mergeCell ref="B60:C60"/>
    <mergeCell ref="B61:C61"/>
    <mergeCell ref="B62:C62"/>
    <mergeCell ref="B80:I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2"/>
    <col collapsed="false" customWidth="true" hidden="false" outlineLevel="0" max="4" min="4" style="1" width="26"/>
    <col collapsed="false" customWidth="true" hidden="false" outlineLevel="0" max="5" min="5" style="1" width="18"/>
    <col collapsed="false" customWidth="true" hidden="false" outlineLevel="0" max="8" min="6" style="1" width="8"/>
    <col collapsed="false" customWidth="true" hidden="false" outlineLevel="0" max="10" min="9" style="1" width="9"/>
    <col collapsed="false" customWidth="true" hidden="false" outlineLevel="0" max="11" min="11" style="1" width="7"/>
    <col collapsed="false" customWidth="true" hidden="false" outlineLevel="0" max="12" min="12" style="1" width="40"/>
  </cols>
  <sheetData>
    <row r="1" customFormat="false" ht="27.75" hidden="false" customHeight="true" outlineLevel="0" collapsed="false">
      <c r="A1" s="2" t="s">
        <v>552</v>
      </c>
      <c r="B1" s="3"/>
      <c r="C1" s="3"/>
      <c r="D1" s="3"/>
      <c r="E1" s="3"/>
      <c r="F1" s="3"/>
      <c r="G1" s="3"/>
      <c r="H1" s="3"/>
      <c r="I1" s="3"/>
      <c r="J1" s="3"/>
      <c r="K1" s="3"/>
      <c r="L1" s="3"/>
    </row>
    <row r="2" customFormat="false" ht="15" hidden="false" customHeight="true" outlineLevel="0" collapsed="false">
      <c r="A2" s="4" t="s">
        <v>553</v>
      </c>
    </row>
    <row r="3" customFormat="false" ht="33.75" hidden="false" customHeight="true" outlineLevel="0" collapsed="false">
      <c r="A3" s="39" t="s">
        <v>554</v>
      </c>
      <c r="B3" s="39"/>
      <c r="C3" s="39"/>
      <c r="D3" s="39"/>
      <c r="E3" s="39"/>
      <c r="F3" s="39"/>
      <c r="G3" s="39"/>
      <c r="H3" s="39"/>
      <c r="I3" s="39"/>
      <c r="J3" s="39"/>
      <c r="K3" s="39"/>
      <c r="L3" s="39"/>
    </row>
    <row r="5" customFormat="false" ht="15" hidden="false" customHeight="true" outlineLevel="0" collapsed="false">
      <c r="A5" s="34" t="s">
        <v>555</v>
      </c>
      <c r="B5" s="11" t="s">
        <v>556</v>
      </c>
      <c r="C5" s="11"/>
      <c r="D5" s="11"/>
      <c r="E5" s="11"/>
      <c r="F5" s="11"/>
      <c r="G5" s="11"/>
      <c r="H5" s="11"/>
      <c r="I5" s="11"/>
      <c r="J5" s="11"/>
      <c r="K5" s="11"/>
      <c r="L5" s="11"/>
    </row>
    <row r="6" customFormat="false" ht="15" hidden="false" customHeight="true" outlineLevel="0" collapsed="false">
      <c r="A6" s="34" t="s">
        <v>557</v>
      </c>
      <c r="B6" s="35" t="n">
        <v>46292</v>
      </c>
      <c r="C6" s="35"/>
      <c r="D6" s="35"/>
      <c r="E6" s="35"/>
      <c r="F6" s="35"/>
      <c r="G6" s="35"/>
      <c r="H6" s="35"/>
      <c r="I6" s="35"/>
      <c r="J6" s="35"/>
      <c r="K6" s="35"/>
      <c r="L6" s="35"/>
    </row>
    <row r="7" customFormat="false" ht="15" hidden="false" customHeight="true" outlineLevel="0" collapsed="false">
      <c r="A7" s="34" t="s">
        <v>558</v>
      </c>
      <c r="B7" s="35" t="n">
        <v>46292</v>
      </c>
      <c r="C7" s="35"/>
      <c r="D7" s="35"/>
      <c r="E7" s="35"/>
      <c r="F7" s="35"/>
      <c r="G7" s="35"/>
      <c r="H7" s="35"/>
      <c r="I7" s="35"/>
      <c r="J7" s="35"/>
      <c r="K7" s="35"/>
      <c r="L7" s="35"/>
    </row>
    <row r="8" customFormat="false" ht="15" hidden="false" customHeight="true" outlineLevel="0" collapsed="false">
      <c r="A8" s="34" t="s">
        <v>559</v>
      </c>
      <c r="B8" s="26" t="n">
        <f aca="false">SUM(HISTORIAL!$Y$5:$Y$2004)</f>
        <v>0</v>
      </c>
      <c r="C8" s="26"/>
      <c r="D8" s="26"/>
      <c r="E8" s="26"/>
      <c r="F8" s="26"/>
      <c r="G8" s="26"/>
      <c r="H8" s="26"/>
      <c r="I8" s="26"/>
      <c r="J8" s="26"/>
      <c r="K8" s="26"/>
      <c r="L8" s="26"/>
    </row>
    <row r="9" customFormat="false" ht="15" hidden="false" customHeight="true" outlineLevel="0" collapsed="false">
      <c r="A9" s="34" t="s">
        <v>560</v>
      </c>
      <c r="B9" s="28" t="str">
        <f aca="false">IF(MAX(HISTORIAL!$B$5:$B$2004)=0,"ninguna",MAX(HISTORIAL!$B$5:$B$2004))</f>
        <v>ninguna</v>
      </c>
      <c r="C9" s="28"/>
      <c r="D9" s="28"/>
      <c r="E9" s="28"/>
      <c r="F9" s="28"/>
      <c r="G9" s="28"/>
      <c r="H9" s="28"/>
      <c r="I9" s="28"/>
      <c r="J9" s="28"/>
      <c r="K9" s="28"/>
      <c r="L9" s="28"/>
    </row>
    <row r="10" customFormat="false" ht="15" hidden="false" customHeight="true" outlineLevel="0" collapsed="false">
      <c r="A10" s="34" t="s">
        <v>486</v>
      </c>
      <c r="B10" s="32" t="n">
        <f aca="false">'SESIÓN ACTUAL'!C5</f>
        <v>46293</v>
      </c>
      <c r="C10" s="32"/>
      <c r="D10" s="32"/>
      <c r="E10" s="32"/>
      <c r="F10" s="32"/>
      <c r="G10" s="32"/>
      <c r="H10" s="32"/>
      <c r="I10" s="32"/>
      <c r="J10" s="32"/>
      <c r="K10" s="32"/>
      <c r="L10" s="32"/>
    </row>
    <row r="11" customFormat="false" ht="15" hidden="false" customHeight="true" outlineLevel="0" collapsed="false">
      <c r="A11" s="34" t="s">
        <v>561</v>
      </c>
      <c r="B11" s="20" t="str">
        <f aca="false">'SESIÓN ACTUAL'!C8&amp;" · "&amp;'SESIÓN ACTUAL'!C9</f>
        <v>LUNES · EMPUJE</v>
      </c>
      <c r="C11" s="20"/>
      <c r="D11" s="20"/>
      <c r="E11" s="20"/>
      <c r="F11" s="20"/>
      <c r="G11" s="20"/>
      <c r="H11" s="20"/>
      <c r="I11" s="20"/>
      <c r="J11" s="20"/>
      <c r="K11" s="20"/>
      <c r="L11" s="20"/>
    </row>
    <row r="12" customFormat="false" ht="48" hidden="false" customHeight="true" outlineLevel="0" collapsed="false">
      <c r="A12" s="34" t="s">
        <v>562</v>
      </c>
      <c r="B12" s="20" t="str">
        <f aca="false">CONFIGURACIÓN!$C$6</f>
        <v>1 Fuerza · 2 Potencia · 3 Progreso medible · 4 Control de fatiga · 5 Volumen suficiente · 6 Bilbo correcto · 7 Progresión basada en evidencia · 8 Registro total · 9 Decidir con historial · 10 Continuidad vía Excel</v>
      </c>
      <c r="C12" s="20"/>
      <c r="D12" s="20"/>
      <c r="E12" s="20"/>
      <c r="F12" s="20"/>
      <c r="G12" s="20"/>
      <c r="H12" s="20"/>
      <c r="I12" s="20"/>
      <c r="J12" s="20"/>
      <c r="K12" s="20"/>
      <c r="L12" s="20"/>
    </row>
    <row r="13" customFormat="false" ht="48" hidden="false" customHeight="true" outlineLevel="0" collapsed="false">
      <c r="A13" s="34" t="s">
        <v>563</v>
      </c>
      <c r="B13" s="10" t="s">
        <v>564</v>
      </c>
      <c r="C13" s="10"/>
      <c r="D13" s="10"/>
      <c r="E13" s="10"/>
      <c r="F13" s="10"/>
      <c r="G13" s="10"/>
      <c r="H13" s="10"/>
      <c r="I13" s="10"/>
      <c r="J13" s="10"/>
      <c r="K13" s="10"/>
      <c r="L13" s="10"/>
    </row>
    <row r="14" customFormat="false" ht="48" hidden="false" customHeight="true" outlineLevel="0" collapsed="false">
      <c r="A14" s="34" t="s">
        <v>565</v>
      </c>
      <c r="B14" s="10" t="s">
        <v>566</v>
      </c>
      <c r="C14" s="10"/>
      <c r="D14" s="10"/>
      <c r="E14" s="10"/>
      <c r="F14" s="10"/>
      <c r="G14" s="10"/>
      <c r="H14" s="10"/>
      <c r="I14" s="10"/>
      <c r="J14" s="10"/>
      <c r="K14" s="10"/>
      <c r="L14" s="10"/>
    </row>
    <row r="15" customFormat="false" ht="15" hidden="false" customHeight="true" outlineLevel="0" collapsed="false">
      <c r="A15" s="34" t="s">
        <v>567</v>
      </c>
      <c r="B15" s="20" t="str">
        <f aca="false">CONFIGURACIÓN!$C$8&amp;" kg · "&amp;CONFIGURACIÓN!$C$9</f>
        <v>2 kg · MÁS CERCANO</v>
      </c>
      <c r="C15" s="20"/>
      <c r="D15" s="20"/>
      <c r="E15" s="20"/>
      <c r="F15" s="20"/>
      <c r="G15" s="20"/>
      <c r="H15" s="20"/>
      <c r="I15" s="20"/>
      <c r="J15" s="20"/>
      <c r="K15" s="20"/>
      <c r="L15" s="20"/>
    </row>
    <row r="16" customFormat="false" ht="15" hidden="false" customHeight="true" outlineLevel="0" collapsed="false">
      <c r="A16" s="34" t="s">
        <v>568</v>
      </c>
      <c r="B16" s="20" t="str">
        <f aca="false">CONFIGURACIÓN!$C$29</f>
        <v>Jalón al pecho</v>
      </c>
      <c r="C16" s="20"/>
      <c r="D16" s="20"/>
      <c r="E16" s="20"/>
      <c r="F16" s="20"/>
      <c r="G16" s="20"/>
      <c r="H16" s="20"/>
      <c r="I16" s="20"/>
      <c r="J16" s="20"/>
      <c r="K16" s="20"/>
      <c r="L16" s="20"/>
    </row>
    <row r="17" customFormat="false" ht="15" hidden="false" customHeight="true" outlineLevel="0" collapsed="false">
      <c r="A17" s="34" t="s">
        <v>569</v>
      </c>
      <c r="B17" s="20" t="str">
        <f aca="false">RESUMEN!B80</f>
        <v>Sistema creado. Pendiente la primera sesión (calibración).</v>
      </c>
      <c r="C17" s="20"/>
      <c r="D17" s="20"/>
      <c r="E17" s="20"/>
      <c r="F17" s="20"/>
      <c r="G17" s="20"/>
      <c r="H17" s="20"/>
      <c r="I17" s="20"/>
      <c r="J17" s="20"/>
      <c r="K17" s="20"/>
      <c r="L17" s="20"/>
    </row>
    <row r="19" customFormat="false" ht="15" hidden="false" customHeight="true" outlineLevel="0" collapsed="false">
      <c r="A19" s="33" t="s">
        <v>570</v>
      </c>
    </row>
    <row r="20" customFormat="false" ht="23.25" hidden="false" customHeight="true" outlineLevel="0" collapsed="false">
      <c r="A20" s="5" t="s">
        <v>261</v>
      </c>
      <c r="B20" s="5" t="s">
        <v>521</v>
      </c>
      <c r="C20" s="5" t="s">
        <v>571</v>
      </c>
      <c r="D20" s="5" t="s">
        <v>523</v>
      </c>
      <c r="E20" s="5" t="s">
        <v>572</v>
      </c>
      <c r="F20" s="5" t="s">
        <v>573</v>
      </c>
      <c r="G20" s="5" t="s">
        <v>526</v>
      </c>
      <c r="H20" s="5" t="s">
        <v>527</v>
      </c>
      <c r="I20" s="5" t="s">
        <v>574</v>
      </c>
      <c r="J20" s="5"/>
      <c r="K20" s="5"/>
      <c r="L20" s="5" t="s">
        <v>449</v>
      </c>
    </row>
    <row r="21" customFormat="false" ht="15" hidden="false" customHeight="true" outlineLevel="0" collapsed="false">
      <c r="A21" s="10" t="s">
        <v>274</v>
      </c>
      <c r="B21" s="31" t="n">
        <f aca="false">'ESTADO ACTUAL'!$C$6</f>
        <v>1</v>
      </c>
      <c r="C21" s="31" t="n">
        <f aca="false">'ESTADO ACTUAL'!$D$6</f>
        <v>0</v>
      </c>
      <c r="D21" s="20" t="str">
        <f aca="false">IF('ESTADO ACTUAL'!$I$6="","—",'ESTADO ACTUAL'!$I$6&amp;" × "&amp;'ESTADO ACTUAL'!$J$6)</f>
        <v>—</v>
      </c>
      <c r="E21" s="20" t="str">
        <f aca="false">IF('ESTADO ACTUAL'!$O$6="","CALIBRAR",'ESTADO ACTUAL'!$O$6)</f>
        <v>CALIBRAR</v>
      </c>
      <c r="F21" s="20" t="str">
        <f aca="false">'ESTADO ACTUAL'!$R$6</f>
        <v/>
      </c>
      <c r="G21" s="36" t="n">
        <f aca="false">'ESTADO ACTUAL'!$AE$6</f>
        <v>0.15</v>
      </c>
      <c r="H21" s="20" t="str">
        <f aca="false">'ESTADO ACTUAL'!$AF$6</f>
        <v/>
      </c>
      <c r="I21" s="20" t="str">
        <f aca="false">IF('ESTADO ACTUAL'!$AB$6="","—",'ESTADO ACTUAL'!$AB$6)</f>
        <v>—</v>
      </c>
      <c r="J21" s="20"/>
      <c r="K21" s="20"/>
      <c r="L21" s="20" t="str">
        <f aca="false">'ESTADO ACTUAL'!$S$6</f>
        <v>SIN DATOS · sesión de calibración</v>
      </c>
    </row>
    <row r="22" customFormat="false" ht="15" hidden="false" customHeight="true" outlineLevel="0" collapsed="false">
      <c r="A22" s="10" t="s">
        <v>282</v>
      </c>
      <c r="B22" s="31" t="n">
        <f aca="false">'ESTADO ACTUAL'!$C$7</f>
        <v>1</v>
      </c>
      <c r="C22" s="31" t="n">
        <f aca="false">'ESTADO ACTUAL'!$D$7</f>
        <v>0</v>
      </c>
      <c r="D22" s="20" t="str">
        <f aca="false">IF('ESTADO ACTUAL'!$I$7="","—",'ESTADO ACTUAL'!$I$7&amp;" × "&amp;'ESTADO ACTUAL'!$J$7)</f>
        <v>—</v>
      </c>
      <c r="E22" s="20" t="str">
        <f aca="false">IF('ESTADO ACTUAL'!$O$7="","CALIBRAR",'ESTADO ACTUAL'!$O$7)</f>
        <v>CALIBRAR</v>
      </c>
      <c r="F22" s="20" t="str">
        <f aca="false">'ESTADO ACTUAL'!$R$7</f>
        <v/>
      </c>
      <c r="G22" s="36" t="n">
        <f aca="false">'ESTADO ACTUAL'!$AE$7</f>
        <v>0.15</v>
      </c>
      <c r="H22" s="20" t="str">
        <f aca="false">'ESTADO ACTUAL'!$AF$7</f>
        <v/>
      </c>
      <c r="I22" s="20" t="str">
        <f aca="false">IF('ESTADO ACTUAL'!$AB$7="","—",'ESTADO ACTUAL'!$AB$7)</f>
        <v>—</v>
      </c>
      <c r="J22" s="20"/>
      <c r="K22" s="20"/>
      <c r="L22" s="20" t="str">
        <f aca="false">'ESTADO ACTUAL'!$S$7</f>
        <v>SIN DATOS · sesión de calibración</v>
      </c>
    </row>
    <row r="23" customFormat="false" ht="15" hidden="false" customHeight="true" outlineLevel="0" collapsed="false">
      <c r="A23" s="10" t="s">
        <v>283</v>
      </c>
      <c r="B23" s="31" t="n">
        <f aca="false">'ESTADO ACTUAL'!$C$8</f>
        <v>1</v>
      </c>
      <c r="C23" s="31" t="n">
        <f aca="false">'ESTADO ACTUAL'!$D$8</f>
        <v>0</v>
      </c>
      <c r="D23" s="20" t="str">
        <f aca="false">IF('ESTADO ACTUAL'!$I$8="","—",'ESTADO ACTUAL'!$I$8&amp;" × "&amp;'ESTADO ACTUAL'!$J$8)</f>
        <v>—</v>
      </c>
      <c r="E23" s="20" t="str">
        <f aca="false">IF('ESTADO ACTUAL'!$O$8="","CALIBRAR",'ESTADO ACTUAL'!$O$8)</f>
        <v>CALIBRAR</v>
      </c>
      <c r="F23" s="20" t="str">
        <f aca="false">'ESTADO ACTUAL'!$R$8</f>
        <v/>
      </c>
      <c r="G23" s="36" t="n">
        <f aca="false">'ESTADO ACTUAL'!$AE$8</f>
        <v>0.15</v>
      </c>
      <c r="H23" s="20" t="str">
        <f aca="false">'ESTADO ACTUAL'!$AF$8</f>
        <v/>
      </c>
      <c r="I23" s="20" t="str">
        <f aca="false">IF('ESTADO ACTUAL'!$AB$8="","—",'ESTADO ACTUAL'!$AB$8)</f>
        <v>—</v>
      </c>
      <c r="J23" s="20"/>
      <c r="K23" s="20"/>
      <c r="L23" s="20" t="str">
        <f aca="false">'ESTADO ACTUAL'!$S$8</f>
        <v>SIN DATOS · sesión de calibración</v>
      </c>
    </row>
    <row r="25" customFormat="false" ht="15" hidden="false" customHeight="true" outlineLevel="0" collapsed="false">
      <c r="A25" s="33" t="s">
        <v>575</v>
      </c>
    </row>
    <row r="26" customFormat="false" ht="15" hidden="false" customHeight="true" outlineLevel="0" collapsed="false">
      <c r="A26" s="5" t="s">
        <v>261</v>
      </c>
      <c r="B26" s="5" t="s">
        <v>537</v>
      </c>
      <c r="C26" s="5" t="s">
        <v>538</v>
      </c>
      <c r="D26" s="5" t="s">
        <v>388</v>
      </c>
      <c r="E26" s="5" t="s">
        <v>540</v>
      </c>
      <c r="F26" s="5" t="s">
        <v>576</v>
      </c>
      <c r="G26" s="5"/>
      <c r="H26" s="5"/>
      <c r="I26" s="5"/>
      <c r="J26" s="5"/>
      <c r="K26" s="5"/>
      <c r="L26" s="5"/>
    </row>
    <row r="27" customFormat="false" ht="27.75" hidden="false" customHeight="true" outlineLevel="0" collapsed="false">
      <c r="A27" s="10" t="s">
        <v>286</v>
      </c>
      <c r="B27" s="32" t="str">
        <f aca="false">PROGRESIONES!H9</f>
        <v/>
      </c>
      <c r="C27" s="20" t="str">
        <f aca="false">PROGRESIONES!I9</f>
        <v/>
      </c>
      <c r="D27" s="20" t="str">
        <f aca="false">IF(PROGRESIONES!H9="","",PROGRESIONES!J9&amp;"/"&amp;PROGRESIONES!K9&amp;"/"&amp;PROGRESIONES!L9)</f>
        <v/>
      </c>
      <c r="E27" s="20" t="str">
        <f aca="false">IF(PROGRESIONES!P9="","CALIBRAR",PROGRESIONES!P9)</f>
        <v>CALIBRAR</v>
      </c>
      <c r="F27" s="20" t="str">
        <f aca="false">PROGRESIONES!N9&amp;" · "&amp;PROGRESIONES!Q9</f>
        <v>CALIBRAR · Calibrar: carga que permita 3–5 reps @RIR 1–2 en la 1ª serie</v>
      </c>
      <c r="G27" s="20"/>
      <c r="H27" s="20"/>
      <c r="I27" s="20"/>
      <c r="J27" s="20"/>
      <c r="K27" s="20"/>
      <c r="L27" s="20"/>
    </row>
    <row r="28" customFormat="false" ht="27.75" hidden="false" customHeight="true" outlineLevel="0" collapsed="false">
      <c r="A28" s="10" t="s">
        <v>292</v>
      </c>
      <c r="B28" s="32" t="str">
        <f aca="false">PROGRESIONES!H10</f>
        <v/>
      </c>
      <c r="C28" s="20" t="str">
        <f aca="false">PROGRESIONES!I10</f>
        <v/>
      </c>
      <c r="D28" s="20" t="str">
        <f aca="false">IF(PROGRESIONES!H10="","",PROGRESIONES!J10&amp;"/"&amp;PROGRESIONES!K10&amp;"/"&amp;PROGRESIONES!L10)</f>
        <v/>
      </c>
      <c r="E28" s="20" t="str">
        <f aca="false">IF(PROGRESIONES!P10="","CALIBRAR",PROGRESIONES!P10)</f>
        <v>CALIBRAR</v>
      </c>
      <c r="F28" s="20" t="str">
        <f aca="false">PROGRESIONES!N10&amp;" · "&amp;PROGRESIONES!Q10</f>
        <v>CALIBRAR · Calibrar: carga que permita 6–8 reps @RIR 1–2 en la 1ª serie</v>
      </c>
      <c r="G28" s="20"/>
      <c r="H28" s="20"/>
      <c r="I28" s="20"/>
      <c r="J28" s="20"/>
      <c r="K28" s="20"/>
      <c r="L28" s="20"/>
    </row>
    <row r="29" customFormat="false" ht="27.75" hidden="false" customHeight="true" outlineLevel="0" collapsed="false">
      <c r="A29" s="10" t="s">
        <v>296</v>
      </c>
      <c r="B29" s="32" t="str">
        <f aca="false">PROGRESIONES!H11</f>
        <v/>
      </c>
      <c r="C29" s="20" t="str">
        <f aca="false">PROGRESIONES!I11</f>
        <v/>
      </c>
      <c r="D29" s="20" t="str">
        <f aca="false">IF(PROGRESIONES!H11="","",PROGRESIONES!J11&amp;"/"&amp;PROGRESIONES!K11&amp;"/"&amp;PROGRESIONES!L11)</f>
        <v/>
      </c>
      <c r="E29" s="20" t="str">
        <f aca="false">IF(PROGRESIONES!P11="","CALIBRAR",PROGRESIONES!P11)</f>
        <v>CALIBRAR</v>
      </c>
      <c r="F29" s="20" t="str">
        <f aca="false">PROGRESIONES!N11&amp;" · "&amp;PROGRESIONES!Q11</f>
        <v>CALIBRAR · Calibrar: carga que permita 3–5 reps @RIR 1–2 en la 1ª serie</v>
      </c>
      <c r="G29" s="20"/>
      <c r="H29" s="20"/>
      <c r="I29" s="20"/>
      <c r="J29" s="20"/>
      <c r="K29" s="20"/>
      <c r="L29" s="20"/>
    </row>
    <row r="30" customFormat="false" ht="27.75" hidden="false" customHeight="true" outlineLevel="0" collapsed="false">
      <c r="A30" s="10" t="s">
        <v>297</v>
      </c>
      <c r="B30" s="32" t="str">
        <f aca="false">PROGRESIONES!H12</f>
        <v/>
      </c>
      <c r="C30" s="20" t="str">
        <f aca="false">PROGRESIONES!I12</f>
        <v/>
      </c>
      <c r="D30" s="20" t="str">
        <f aca="false">IF(PROGRESIONES!H12="","",PROGRESIONES!J12&amp;"/"&amp;PROGRESIONES!K12&amp;"/"&amp;PROGRESIONES!L12)</f>
        <v/>
      </c>
      <c r="E30" s="20" t="str">
        <f aca="false">IF(PROGRESIONES!P12="","CALIBRAR",PROGRESIONES!P12)</f>
        <v>CALIBRAR</v>
      </c>
      <c r="F30" s="20" t="str">
        <f aca="false">PROGRESIONES!N12&amp;" · "&amp;PROGRESIONES!Q12</f>
        <v>CALIBRAR · Calibrar: carga que permita 10–12 reps @RIR 1–2 en la 1ª serie</v>
      </c>
      <c r="G30" s="20"/>
      <c r="H30" s="20"/>
      <c r="I30" s="20"/>
      <c r="J30" s="20"/>
      <c r="K30" s="20"/>
      <c r="L30" s="20"/>
    </row>
    <row r="31" customFormat="false" ht="27.75" hidden="false" customHeight="true" outlineLevel="0" collapsed="false">
      <c r="A31" s="10" t="s">
        <v>301</v>
      </c>
      <c r="B31" s="32" t="str">
        <f aca="false">PROGRESIONES!H13</f>
        <v/>
      </c>
      <c r="C31" s="20" t="str">
        <f aca="false">PROGRESIONES!I13</f>
        <v/>
      </c>
      <c r="D31" s="20" t="str">
        <f aca="false">IF(PROGRESIONES!H13="","",PROGRESIONES!J13&amp;"/"&amp;PROGRESIONES!K13&amp;"/"&amp;PROGRESIONES!L13)</f>
        <v/>
      </c>
      <c r="E31" s="20" t="str">
        <f aca="false">IF(PROGRESIONES!P13="","CALIBRAR",PROGRESIONES!P13)</f>
        <v>CALIBRAR</v>
      </c>
      <c r="F31" s="20" t="str">
        <f aca="false">PROGRESIONES!N13&amp;" · "&amp;PROGRESIONES!Q13</f>
        <v>CALIBRAR · Calibrar: carga que permita 8–10 reps @RIR 1–2 en la 1ª serie</v>
      </c>
      <c r="G31" s="20"/>
      <c r="H31" s="20"/>
      <c r="I31" s="20"/>
      <c r="J31" s="20"/>
      <c r="K31" s="20"/>
      <c r="L31" s="20"/>
    </row>
    <row r="32" customFormat="false" ht="27.75" hidden="false" customHeight="true" outlineLevel="0" collapsed="false">
      <c r="A32" s="10" t="s">
        <v>243</v>
      </c>
      <c r="B32" s="32" t="str">
        <f aca="false">PROGRESIONES!H14</f>
        <v/>
      </c>
      <c r="C32" s="20" t="str">
        <f aca="false">PROGRESIONES!I14</f>
        <v/>
      </c>
      <c r="D32" s="20" t="str">
        <f aca="false">IF(PROGRESIONES!H14="","",PROGRESIONES!J14&amp;"/"&amp;PROGRESIONES!K14&amp;"/"&amp;PROGRESIONES!L14)</f>
        <v/>
      </c>
      <c r="E32" s="20" t="str">
        <f aca="false">IF(PROGRESIONES!P14="","CALIBRAR",PROGRESIONES!P14)</f>
        <v>CALIBRAR</v>
      </c>
      <c r="F32" s="20" t="str">
        <f aca="false">PROGRESIONES!N14&amp;" · "&amp;PROGRESIONES!Q14</f>
        <v>CALIBRAR · Calibrar: carga que permita 8–10 reps @RIR 1–2 en la 1ª serie</v>
      </c>
      <c r="G32" s="20"/>
      <c r="H32" s="20"/>
      <c r="I32" s="20"/>
      <c r="J32" s="20"/>
      <c r="K32" s="20"/>
      <c r="L32" s="20"/>
    </row>
    <row r="33" customFormat="false" ht="27.75" hidden="false" customHeight="true" outlineLevel="0" collapsed="false">
      <c r="A33" s="10" t="s">
        <v>306</v>
      </c>
      <c r="B33" s="32" t="str">
        <f aca="false">PROGRESIONES!H15</f>
        <v/>
      </c>
      <c r="C33" s="20" t="str">
        <f aca="false">PROGRESIONES!I15</f>
        <v/>
      </c>
      <c r="D33" s="20" t="str">
        <f aca="false">IF(PROGRESIONES!H15="","",PROGRESIONES!J15&amp;"/"&amp;PROGRESIONES!K15&amp;"/"&amp;PROGRESIONES!L15)</f>
        <v/>
      </c>
      <c r="E33" s="20" t="str">
        <f aca="false">IF(PROGRESIONES!P15="","CALIBRAR",PROGRESIONES!P15)</f>
        <v>CALIBRAR</v>
      </c>
      <c r="F33" s="20" t="str">
        <f aca="false">PROGRESIONES!N15&amp;" · "&amp;PROGRESIONES!Q15</f>
        <v>CALIBRAR · Calibrar: carga que permita 8–10 reps @RIR 1–2 en la 1ª serie</v>
      </c>
      <c r="G33" s="20"/>
      <c r="H33" s="20"/>
      <c r="I33" s="20"/>
      <c r="J33" s="20"/>
      <c r="K33" s="20"/>
      <c r="L33" s="20"/>
    </row>
    <row r="34" customFormat="false" ht="27.75" hidden="false" customHeight="true" outlineLevel="0" collapsed="false">
      <c r="A34" s="10" t="s">
        <v>308</v>
      </c>
      <c r="B34" s="32" t="str">
        <f aca="false">PROGRESIONES!H16</f>
        <v/>
      </c>
      <c r="C34" s="20" t="str">
        <f aca="false">PROGRESIONES!I16</f>
        <v/>
      </c>
      <c r="D34" s="20" t="str">
        <f aca="false">IF(PROGRESIONES!H16="","",PROGRESIONES!J16&amp;"/"&amp;PROGRESIONES!K16&amp;"/"&amp;PROGRESIONES!L16)</f>
        <v/>
      </c>
      <c r="E34" s="20" t="str">
        <f aca="false">IF(PROGRESIONES!P16="","CALIBRAR",PROGRESIONES!P16)</f>
        <v>CALIBRAR</v>
      </c>
      <c r="F34" s="20" t="str">
        <f aca="false">PROGRESIONES!N16&amp;" · "&amp;PROGRESIONES!Q16</f>
        <v>CALIBRAR · Calibrar: carga que permita 3–5 reps @RIR 1–2 en la 1ª serie</v>
      </c>
      <c r="G34" s="20"/>
      <c r="H34" s="20"/>
      <c r="I34" s="20"/>
      <c r="J34" s="20"/>
      <c r="K34" s="20"/>
      <c r="L34" s="20"/>
    </row>
    <row r="35" customFormat="false" ht="27.75" hidden="false" customHeight="true" outlineLevel="0" collapsed="false">
      <c r="A35" s="10" t="s">
        <v>309</v>
      </c>
      <c r="B35" s="32" t="str">
        <f aca="false">PROGRESIONES!H17</f>
        <v/>
      </c>
      <c r="C35" s="20" t="str">
        <f aca="false">PROGRESIONES!I17</f>
        <v/>
      </c>
      <c r="D35" s="20" t="str">
        <f aca="false">IF(PROGRESIONES!H17="","",PROGRESIONES!J17&amp;"/"&amp;PROGRESIONES!K17&amp;"/"&amp;PROGRESIONES!L17)</f>
        <v/>
      </c>
      <c r="E35" s="25" t="n">
        <f aca="false">IF(PROGRESIONES!P17="","CALIBRAR",PROGRESIONES!P17)</f>
        <v>0</v>
      </c>
      <c r="F35" s="20" t="str">
        <f aca="false">PROGRESIONES!N17&amp;" · "&amp;PROGRESIONES!Q17</f>
        <v>CALIBRAR · 4×3 a máxima velocidad, técnica perfecta. Si la velocidad cae: bajar carga/volumen o terminar.</v>
      </c>
      <c r="G35" s="20"/>
      <c r="H35" s="20"/>
      <c r="I35" s="20"/>
      <c r="J35" s="20"/>
      <c r="K35" s="20"/>
      <c r="L35" s="20"/>
    </row>
    <row r="36" customFormat="false" ht="27.75" hidden="false" customHeight="true" outlineLevel="0" collapsed="false">
      <c r="A36" s="10" t="s">
        <v>315</v>
      </c>
      <c r="B36" s="32" t="str">
        <f aca="false">PROGRESIONES!H18</f>
        <v/>
      </c>
      <c r="C36" s="20" t="str">
        <f aca="false">PROGRESIONES!I18</f>
        <v/>
      </c>
      <c r="D36" s="20" t="str">
        <f aca="false">IF(PROGRESIONES!H18="","",PROGRESIONES!J18&amp;"/"&amp;PROGRESIONES!K18&amp;"/"&amp;PROGRESIONES!L18)</f>
        <v/>
      </c>
      <c r="E36" s="20" t="str">
        <f aca="false">IF(PROGRESIONES!P18="","CALIBRAR",PROGRESIONES!P18)</f>
        <v>CALIBRAR</v>
      </c>
      <c r="F36" s="20" t="str">
        <f aca="false">PROGRESIONES!N18&amp;" · "&amp;PROGRESIONES!Q18</f>
        <v>CALIBRAR · 5×3 a máxima velocidad, técnica perfecta. Si la velocidad cae: bajar carga/volumen o terminar.</v>
      </c>
      <c r="G36" s="20"/>
      <c r="H36" s="20"/>
      <c r="I36" s="20"/>
      <c r="J36" s="20"/>
      <c r="K36" s="20"/>
      <c r="L36" s="20"/>
    </row>
    <row r="37" customFormat="false" ht="27.75" hidden="false" customHeight="true" outlineLevel="0" collapsed="false">
      <c r="A37" s="10" t="s">
        <v>318</v>
      </c>
      <c r="B37" s="32" t="str">
        <f aca="false">PROGRESIONES!H19</f>
        <v/>
      </c>
      <c r="C37" s="20" t="str">
        <f aca="false">PROGRESIONES!I19</f>
        <v/>
      </c>
      <c r="D37" s="20" t="str">
        <f aca="false">IF(PROGRESIONES!H19="","",PROGRESIONES!J19&amp;"/"&amp;PROGRESIONES!K19&amp;"/"&amp;PROGRESIONES!L19)</f>
        <v/>
      </c>
      <c r="E37" s="20" t="str">
        <f aca="false">IF(PROGRESIONES!P19="","CALIBRAR",PROGRESIONES!P19)</f>
        <v>CALIBRAR</v>
      </c>
      <c r="F37" s="20" t="str">
        <f aca="false">PROGRESIONES!N19&amp;" · "&amp;PROGRESIONES!Q19</f>
        <v>CALIBRAR · 5×2 a máxima velocidad, técnica perfecta. Si la velocidad cae: bajar carga/volumen o terminar.</v>
      </c>
      <c r="G37" s="20"/>
      <c r="H37" s="20"/>
      <c r="I37" s="20"/>
      <c r="J37" s="20"/>
      <c r="K37" s="20"/>
      <c r="L37" s="20"/>
    </row>
    <row r="39" customFormat="false" ht="15" hidden="false" customHeight="true" outlineLevel="0" collapsed="false">
      <c r="A39" s="33" t="s">
        <v>577</v>
      </c>
    </row>
    <row r="40" customFormat="false" ht="15" hidden="false" customHeight="true" outlineLevel="0" collapsed="false">
      <c r="A40" s="5" t="s">
        <v>381</v>
      </c>
      <c r="B40" s="5" t="s">
        <v>578</v>
      </c>
      <c r="C40" s="5" t="s">
        <v>261</v>
      </c>
      <c r="D40" s="5" t="s">
        <v>474</v>
      </c>
      <c r="E40" s="5" t="s">
        <v>521</v>
      </c>
      <c r="F40" s="5" t="s">
        <v>579</v>
      </c>
      <c r="G40" s="5" t="s">
        <v>580</v>
      </c>
      <c r="H40" s="5" t="s">
        <v>388</v>
      </c>
      <c r="I40" s="5" t="s">
        <v>339</v>
      </c>
      <c r="J40" s="5" t="s">
        <v>526</v>
      </c>
      <c r="K40" s="5" t="s">
        <v>581</v>
      </c>
      <c r="L40" s="5" t="s">
        <v>439</v>
      </c>
    </row>
    <row r="41" customFormat="false" ht="15" hidden="false" customHeight="true" outlineLevel="0" collapsed="false">
      <c r="A41" s="28" t="str">
        <f aca="false">IF((MAX(HISTORIAL!$A$5:$A$2004)-0)&lt;1,"",IF(INDEX(HISTORIAL!$B$5:$B$2004,(MAX(HISTORIAL!$A$5:$A$2004)-0))="","",INDEX(HISTORIAL!$B$5:$B$2004,(MAX(HISTORIAL!$A$5:$A$2004)-0))))</f>
        <v/>
      </c>
      <c r="B41" s="18" t="str">
        <f aca="false">IF((MAX(HISTORIAL!$A$5:$A$2004)-0)&lt;1,"",IF(INDEX(HISTORIAL!$D$5:$D$2004,(MAX(HISTORIAL!$A$5:$A$2004)-0))="","",INDEX(HISTORIAL!$D$5:$D$2004,(MAX(HISTORIAL!$A$5:$A$2004)-0))))</f>
        <v/>
      </c>
      <c r="C41" s="18" t="str">
        <f aca="false">IF((MAX(HISTORIAL!$A$5:$A$2004)-0)&lt;1,"",IF(INDEX(HISTORIAL!$E$5:$E$2004,(MAX(HISTORIAL!$A$5:$A$2004)-0))="","",INDEX(HISTORIAL!$E$5:$E$2004,(MAX(HISTORIAL!$A$5:$A$2004)-0))))</f>
        <v/>
      </c>
      <c r="D41" s="18" t="str">
        <f aca="false">IF((MAX(HISTORIAL!$A$5:$A$2004)-0)&lt;1,"",IF(INDEX(HISTORIAL!$F$5:$F$2004,(MAX(HISTORIAL!$A$5:$A$2004)-0))="","",INDEX(HISTORIAL!$F$5:$F$2004,(MAX(HISTORIAL!$A$5:$A$2004)-0))))</f>
        <v/>
      </c>
      <c r="E41" s="18" t="str">
        <f aca="false">IF((MAX(HISTORIAL!$A$5:$A$2004)-0)&lt;1,"",IF(INDEX(HISTORIAL!$G$5:$G$2004,(MAX(HISTORIAL!$A$5:$A$2004)-0))="","",INDEX(HISTORIAL!$G$5:$G$2004,(MAX(HISTORIAL!$A$5:$A$2004)-0))))</f>
        <v/>
      </c>
      <c r="F41" s="18" t="str">
        <f aca="false">IF((MAX(HISTORIAL!$A$5:$A$2004)-0)&lt;1,"",IF(INDEX(HISTORIAL!$I$5:$I$2004,(MAX(HISTORIAL!$A$5:$A$2004)-0))="","",INDEX(HISTORIAL!$I$5:$I$2004,(MAX(HISTORIAL!$A$5:$A$2004)-0))))</f>
        <v/>
      </c>
      <c r="G41" s="27" t="str">
        <f aca="false">IF((MAX(HISTORIAL!$A$5:$A$2004)-0)&lt;1,"",IF(INDEX(HISTORIAL!$J$5:$J$2004,(MAX(HISTORIAL!$A$5:$A$2004)-0))="","",INDEX(HISTORIAL!$J$5:$J$2004,(MAX(HISTORIAL!$A$5:$A$2004)-0))))</f>
        <v/>
      </c>
      <c r="H41" s="18" t="str">
        <f aca="false">IF((MAX(HISTORIAL!$A$5:$A$2004)-0)&lt;1,"",IF(INDEX(HISTORIAL!$K$5:$K$2004,(MAX(HISTORIAL!$A$5:$A$2004)-0))="","",INDEX(HISTORIAL!$K$5:$K$2004,(MAX(HISTORIAL!$A$5:$A$2004)-0))))</f>
        <v/>
      </c>
      <c r="I41" s="18" t="str">
        <f aca="false">IF((MAX(HISTORIAL!$A$5:$A$2004)-0)&lt;1,"",IF(INDEX(HISTORIAL!$L$5:$L$2004,(MAX(HISTORIAL!$A$5:$A$2004)-0))="","",INDEX(HISTORIAL!$L$5:$L$2004,(MAX(HISTORIAL!$A$5:$A$2004)-0))))</f>
        <v/>
      </c>
      <c r="J41" s="30" t="str">
        <f aca="false">IF((MAX(HISTORIAL!$A$5:$A$2004)-0)&lt;1,"",IF(INDEX(HISTORIAL!$M$5:$M$2004,(MAX(HISTORIAL!$A$5:$A$2004)-0))="","",INDEX(HISTORIAL!$M$5:$M$2004,(MAX(HISTORIAL!$A$5:$A$2004)-0))))</f>
        <v/>
      </c>
      <c r="K41" s="18" t="str">
        <f aca="false">IF((MAX(HISTORIAL!$A$5:$A$2004)-0)&lt;1,"",IF(INDEX(HISTORIAL!$P$5:$P$2004,(MAX(HISTORIAL!$A$5:$A$2004)-0))="","",INDEX(HISTORIAL!$P$5:$P$2004,(MAX(HISTORIAL!$A$5:$A$2004)-0))))</f>
        <v/>
      </c>
      <c r="L41" s="18" t="str">
        <f aca="false">IF((MAX(HISTORIAL!$A$5:$A$2004)-0)&lt;1,"",IF(INDEX(HISTORIAL!$U$5:$U$2004,(MAX(HISTORIAL!$A$5:$A$2004)-0))="","",INDEX(HISTORIAL!$U$5:$U$2004,(MAX(HISTORIAL!$A$5:$A$2004)-0))))</f>
        <v/>
      </c>
    </row>
    <row r="42" customFormat="false" ht="15" hidden="false" customHeight="true" outlineLevel="0" collapsed="false">
      <c r="A42" s="28" t="str">
        <f aca="false">IF((MAX(HISTORIAL!$A$5:$A$2004)-1)&lt;1,"",IF(INDEX(HISTORIAL!$B$5:$B$2004,(MAX(HISTORIAL!$A$5:$A$2004)-1))="","",INDEX(HISTORIAL!$B$5:$B$2004,(MAX(HISTORIAL!$A$5:$A$2004)-1))))</f>
        <v/>
      </c>
      <c r="B42" s="18" t="str">
        <f aca="false">IF((MAX(HISTORIAL!$A$5:$A$2004)-1)&lt;1,"",IF(INDEX(HISTORIAL!$D$5:$D$2004,(MAX(HISTORIAL!$A$5:$A$2004)-1))="","",INDEX(HISTORIAL!$D$5:$D$2004,(MAX(HISTORIAL!$A$5:$A$2004)-1))))</f>
        <v/>
      </c>
      <c r="C42" s="18" t="str">
        <f aca="false">IF((MAX(HISTORIAL!$A$5:$A$2004)-1)&lt;1,"",IF(INDEX(HISTORIAL!$E$5:$E$2004,(MAX(HISTORIAL!$A$5:$A$2004)-1))="","",INDEX(HISTORIAL!$E$5:$E$2004,(MAX(HISTORIAL!$A$5:$A$2004)-1))))</f>
        <v/>
      </c>
      <c r="D42" s="18" t="str">
        <f aca="false">IF((MAX(HISTORIAL!$A$5:$A$2004)-1)&lt;1,"",IF(INDEX(HISTORIAL!$F$5:$F$2004,(MAX(HISTORIAL!$A$5:$A$2004)-1))="","",INDEX(HISTORIAL!$F$5:$F$2004,(MAX(HISTORIAL!$A$5:$A$2004)-1))))</f>
        <v/>
      </c>
      <c r="E42" s="18" t="str">
        <f aca="false">IF((MAX(HISTORIAL!$A$5:$A$2004)-1)&lt;1,"",IF(INDEX(HISTORIAL!$G$5:$G$2004,(MAX(HISTORIAL!$A$5:$A$2004)-1))="","",INDEX(HISTORIAL!$G$5:$G$2004,(MAX(HISTORIAL!$A$5:$A$2004)-1))))</f>
        <v/>
      </c>
      <c r="F42" s="18" t="str">
        <f aca="false">IF((MAX(HISTORIAL!$A$5:$A$2004)-1)&lt;1,"",IF(INDEX(HISTORIAL!$I$5:$I$2004,(MAX(HISTORIAL!$A$5:$A$2004)-1))="","",INDEX(HISTORIAL!$I$5:$I$2004,(MAX(HISTORIAL!$A$5:$A$2004)-1))))</f>
        <v/>
      </c>
      <c r="G42" s="27" t="str">
        <f aca="false">IF((MAX(HISTORIAL!$A$5:$A$2004)-1)&lt;1,"",IF(INDEX(HISTORIAL!$J$5:$J$2004,(MAX(HISTORIAL!$A$5:$A$2004)-1))="","",INDEX(HISTORIAL!$J$5:$J$2004,(MAX(HISTORIAL!$A$5:$A$2004)-1))))</f>
        <v/>
      </c>
      <c r="H42" s="18" t="str">
        <f aca="false">IF((MAX(HISTORIAL!$A$5:$A$2004)-1)&lt;1,"",IF(INDEX(HISTORIAL!$K$5:$K$2004,(MAX(HISTORIAL!$A$5:$A$2004)-1))="","",INDEX(HISTORIAL!$K$5:$K$2004,(MAX(HISTORIAL!$A$5:$A$2004)-1))))</f>
        <v/>
      </c>
      <c r="I42" s="18" t="str">
        <f aca="false">IF((MAX(HISTORIAL!$A$5:$A$2004)-1)&lt;1,"",IF(INDEX(HISTORIAL!$L$5:$L$2004,(MAX(HISTORIAL!$A$5:$A$2004)-1))="","",INDEX(HISTORIAL!$L$5:$L$2004,(MAX(HISTORIAL!$A$5:$A$2004)-1))))</f>
        <v/>
      </c>
      <c r="J42" s="30" t="str">
        <f aca="false">IF((MAX(HISTORIAL!$A$5:$A$2004)-1)&lt;1,"",IF(INDEX(HISTORIAL!$M$5:$M$2004,(MAX(HISTORIAL!$A$5:$A$2004)-1))="","",INDEX(HISTORIAL!$M$5:$M$2004,(MAX(HISTORIAL!$A$5:$A$2004)-1))))</f>
        <v/>
      </c>
      <c r="K42" s="18" t="str">
        <f aca="false">IF((MAX(HISTORIAL!$A$5:$A$2004)-1)&lt;1,"",IF(INDEX(HISTORIAL!$P$5:$P$2004,(MAX(HISTORIAL!$A$5:$A$2004)-1))="","",INDEX(HISTORIAL!$P$5:$P$2004,(MAX(HISTORIAL!$A$5:$A$2004)-1))))</f>
        <v/>
      </c>
      <c r="L42" s="18" t="str">
        <f aca="false">IF((MAX(HISTORIAL!$A$5:$A$2004)-1)&lt;1,"",IF(INDEX(HISTORIAL!$U$5:$U$2004,(MAX(HISTORIAL!$A$5:$A$2004)-1))="","",INDEX(HISTORIAL!$U$5:$U$2004,(MAX(HISTORIAL!$A$5:$A$2004)-1))))</f>
        <v/>
      </c>
    </row>
    <row r="43" customFormat="false" ht="15" hidden="false" customHeight="true" outlineLevel="0" collapsed="false">
      <c r="A43" s="28" t="str">
        <f aca="false">IF((MAX(HISTORIAL!$A$5:$A$2004)-2)&lt;1,"",IF(INDEX(HISTORIAL!$B$5:$B$2004,(MAX(HISTORIAL!$A$5:$A$2004)-2))="","",INDEX(HISTORIAL!$B$5:$B$2004,(MAX(HISTORIAL!$A$5:$A$2004)-2))))</f>
        <v/>
      </c>
      <c r="B43" s="18" t="str">
        <f aca="false">IF((MAX(HISTORIAL!$A$5:$A$2004)-2)&lt;1,"",IF(INDEX(HISTORIAL!$D$5:$D$2004,(MAX(HISTORIAL!$A$5:$A$2004)-2))="","",INDEX(HISTORIAL!$D$5:$D$2004,(MAX(HISTORIAL!$A$5:$A$2004)-2))))</f>
        <v/>
      </c>
      <c r="C43" s="18" t="str">
        <f aca="false">IF((MAX(HISTORIAL!$A$5:$A$2004)-2)&lt;1,"",IF(INDEX(HISTORIAL!$E$5:$E$2004,(MAX(HISTORIAL!$A$5:$A$2004)-2))="","",INDEX(HISTORIAL!$E$5:$E$2004,(MAX(HISTORIAL!$A$5:$A$2004)-2))))</f>
        <v/>
      </c>
      <c r="D43" s="18" t="str">
        <f aca="false">IF((MAX(HISTORIAL!$A$5:$A$2004)-2)&lt;1,"",IF(INDEX(HISTORIAL!$F$5:$F$2004,(MAX(HISTORIAL!$A$5:$A$2004)-2))="","",INDEX(HISTORIAL!$F$5:$F$2004,(MAX(HISTORIAL!$A$5:$A$2004)-2))))</f>
        <v/>
      </c>
      <c r="E43" s="18" t="str">
        <f aca="false">IF((MAX(HISTORIAL!$A$5:$A$2004)-2)&lt;1,"",IF(INDEX(HISTORIAL!$G$5:$G$2004,(MAX(HISTORIAL!$A$5:$A$2004)-2))="","",INDEX(HISTORIAL!$G$5:$G$2004,(MAX(HISTORIAL!$A$5:$A$2004)-2))))</f>
        <v/>
      </c>
      <c r="F43" s="18" t="str">
        <f aca="false">IF((MAX(HISTORIAL!$A$5:$A$2004)-2)&lt;1,"",IF(INDEX(HISTORIAL!$I$5:$I$2004,(MAX(HISTORIAL!$A$5:$A$2004)-2))="","",INDEX(HISTORIAL!$I$5:$I$2004,(MAX(HISTORIAL!$A$5:$A$2004)-2))))</f>
        <v/>
      </c>
      <c r="G43" s="27" t="str">
        <f aca="false">IF((MAX(HISTORIAL!$A$5:$A$2004)-2)&lt;1,"",IF(INDEX(HISTORIAL!$J$5:$J$2004,(MAX(HISTORIAL!$A$5:$A$2004)-2))="","",INDEX(HISTORIAL!$J$5:$J$2004,(MAX(HISTORIAL!$A$5:$A$2004)-2))))</f>
        <v/>
      </c>
      <c r="H43" s="18" t="str">
        <f aca="false">IF((MAX(HISTORIAL!$A$5:$A$2004)-2)&lt;1,"",IF(INDEX(HISTORIAL!$K$5:$K$2004,(MAX(HISTORIAL!$A$5:$A$2004)-2))="","",INDEX(HISTORIAL!$K$5:$K$2004,(MAX(HISTORIAL!$A$5:$A$2004)-2))))</f>
        <v/>
      </c>
      <c r="I43" s="18" t="str">
        <f aca="false">IF((MAX(HISTORIAL!$A$5:$A$2004)-2)&lt;1,"",IF(INDEX(HISTORIAL!$L$5:$L$2004,(MAX(HISTORIAL!$A$5:$A$2004)-2))="","",INDEX(HISTORIAL!$L$5:$L$2004,(MAX(HISTORIAL!$A$5:$A$2004)-2))))</f>
        <v/>
      </c>
      <c r="J43" s="30" t="str">
        <f aca="false">IF((MAX(HISTORIAL!$A$5:$A$2004)-2)&lt;1,"",IF(INDEX(HISTORIAL!$M$5:$M$2004,(MAX(HISTORIAL!$A$5:$A$2004)-2))="","",INDEX(HISTORIAL!$M$5:$M$2004,(MAX(HISTORIAL!$A$5:$A$2004)-2))))</f>
        <v/>
      </c>
      <c r="K43" s="18" t="str">
        <f aca="false">IF((MAX(HISTORIAL!$A$5:$A$2004)-2)&lt;1,"",IF(INDEX(HISTORIAL!$P$5:$P$2004,(MAX(HISTORIAL!$A$5:$A$2004)-2))="","",INDEX(HISTORIAL!$P$5:$P$2004,(MAX(HISTORIAL!$A$5:$A$2004)-2))))</f>
        <v/>
      </c>
      <c r="L43" s="18" t="str">
        <f aca="false">IF((MAX(HISTORIAL!$A$5:$A$2004)-2)&lt;1,"",IF(INDEX(HISTORIAL!$U$5:$U$2004,(MAX(HISTORIAL!$A$5:$A$2004)-2))="","",INDEX(HISTORIAL!$U$5:$U$2004,(MAX(HISTORIAL!$A$5:$A$2004)-2))))</f>
        <v/>
      </c>
    </row>
    <row r="44" customFormat="false" ht="15" hidden="false" customHeight="true" outlineLevel="0" collapsed="false">
      <c r="A44" s="28" t="str">
        <f aca="false">IF((MAX(HISTORIAL!$A$5:$A$2004)-3)&lt;1,"",IF(INDEX(HISTORIAL!$B$5:$B$2004,(MAX(HISTORIAL!$A$5:$A$2004)-3))="","",INDEX(HISTORIAL!$B$5:$B$2004,(MAX(HISTORIAL!$A$5:$A$2004)-3))))</f>
        <v/>
      </c>
      <c r="B44" s="18" t="str">
        <f aca="false">IF((MAX(HISTORIAL!$A$5:$A$2004)-3)&lt;1,"",IF(INDEX(HISTORIAL!$D$5:$D$2004,(MAX(HISTORIAL!$A$5:$A$2004)-3))="","",INDEX(HISTORIAL!$D$5:$D$2004,(MAX(HISTORIAL!$A$5:$A$2004)-3))))</f>
        <v/>
      </c>
      <c r="C44" s="18" t="str">
        <f aca="false">IF((MAX(HISTORIAL!$A$5:$A$2004)-3)&lt;1,"",IF(INDEX(HISTORIAL!$E$5:$E$2004,(MAX(HISTORIAL!$A$5:$A$2004)-3))="","",INDEX(HISTORIAL!$E$5:$E$2004,(MAX(HISTORIAL!$A$5:$A$2004)-3))))</f>
        <v/>
      </c>
      <c r="D44" s="18" t="str">
        <f aca="false">IF((MAX(HISTORIAL!$A$5:$A$2004)-3)&lt;1,"",IF(INDEX(HISTORIAL!$F$5:$F$2004,(MAX(HISTORIAL!$A$5:$A$2004)-3))="","",INDEX(HISTORIAL!$F$5:$F$2004,(MAX(HISTORIAL!$A$5:$A$2004)-3))))</f>
        <v/>
      </c>
      <c r="E44" s="18" t="str">
        <f aca="false">IF((MAX(HISTORIAL!$A$5:$A$2004)-3)&lt;1,"",IF(INDEX(HISTORIAL!$G$5:$G$2004,(MAX(HISTORIAL!$A$5:$A$2004)-3))="","",INDEX(HISTORIAL!$G$5:$G$2004,(MAX(HISTORIAL!$A$5:$A$2004)-3))))</f>
        <v/>
      </c>
      <c r="F44" s="18" t="str">
        <f aca="false">IF((MAX(HISTORIAL!$A$5:$A$2004)-3)&lt;1,"",IF(INDEX(HISTORIAL!$I$5:$I$2004,(MAX(HISTORIAL!$A$5:$A$2004)-3))="","",INDEX(HISTORIAL!$I$5:$I$2004,(MAX(HISTORIAL!$A$5:$A$2004)-3))))</f>
        <v/>
      </c>
      <c r="G44" s="27" t="str">
        <f aca="false">IF((MAX(HISTORIAL!$A$5:$A$2004)-3)&lt;1,"",IF(INDEX(HISTORIAL!$J$5:$J$2004,(MAX(HISTORIAL!$A$5:$A$2004)-3))="","",INDEX(HISTORIAL!$J$5:$J$2004,(MAX(HISTORIAL!$A$5:$A$2004)-3))))</f>
        <v/>
      </c>
      <c r="H44" s="18" t="str">
        <f aca="false">IF((MAX(HISTORIAL!$A$5:$A$2004)-3)&lt;1,"",IF(INDEX(HISTORIAL!$K$5:$K$2004,(MAX(HISTORIAL!$A$5:$A$2004)-3))="","",INDEX(HISTORIAL!$K$5:$K$2004,(MAX(HISTORIAL!$A$5:$A$2004)-3))))</f>
        <v/>
      </c>
      <c r="I44" s="18" t="str">
        <f aca="false">IF((MAX(HISTORIAL!$A$5:$A$2004)-3)&lt;1,"",IF(INDEX(HISTORIAL!$L$5:$L$2004,(MAX(HISTORIAL!$A$5:$A$2004)-3))="","",INDEX(HISTORIAL!$L$5:$L$2004,(MAX(HISTORIAL!$A$5:$A$2004)-3))))</f>
        <v/>
      </c>
      <c r="J44" s="30" t="str">
        <f aca="false">IF((MAX(HISTORIAL!$A$5:$A$2004)-3)&lt;1,"",IF(INDEX(HISTORIAL!$M$5:$M$2004,(MAX(HISTORIAL!$A$5:$A$2004)-3))="","",INDEX(HISTORIAL!$M$5:$M$2004,(MAX(HISTORIAL!$A$5:$A$2004)-3))))</f>
        <v/>
      </c>
      <c r="K44" s="18" t="str">
        <f aca="false">IF((MAX(HISTORIAL!$A$5:$A$2004)-3)&lt;1,"",IF(INDEX(HISTORIAL!$P$5:$P$2004,(MAX(HISTORIAL!$A$5:$A$2004)-3))="","",INDEX(HISTORIAL!$P$5:$P$2004,(MAX(HISTORIAL!$A$5:$A$2004)-3))))</f>
        <v/>
      </c>
      <c r="L44" s="18" t="str">
        <f aca="false">IF((MAX(HISTORIAL!$A$5:$A$2004)-3)&lt;1,"",IF(INDEX(HISTORIAL!$U$5:$U$2004,(MAX(HISTORIAL!$A$5:$A$2004)-3))="","",INDEX(HISTORIAL!$U$5:$U$2004,(MAX(HISTORIAL!$A$5:$A$2004)-3))))</f>
        <v/>
      </c>
    </row>
    <row r="45" customFormat="false" ht="15" hidden="false" customHeight="true" outlineLevel="0" collapsed="false">
      <c r="A45" s="28" t="str">
        <f aca="false">IF((MAX(HISTORIAL!$A$5:$A$2004)-4)&lt;1,"",IF(INDEX(HISTORIAL!$B$5:$B$2004,(MAX(HISTORIAL!$A$5:$A$2004)-4))="","",INDEX(HISTORIAL!$B$5:$B$2004,(MAX(HISTORIAL!$A$5:$A$2004)-4))))</f>
        <v/>
      </c>
      <c r="B45" s="18" t="str">
        <f aca="false">IF((MAX(HISTORIAL!$A$5:$A$2004)-4)&lt;1,"",IF(INDEX(HISTORIAL!$D$5:$D$2004,(MAX(HISTORIAL!$A$5:$A$2004)-4))="","",INDEX(HISTORIAL!$D$5:$D$2004,(MAX(HISTORIAL!$A$5:$A$2004)-4))))</f>
        <v/>
      </c>
      <c r="C45" s="18" t="str">
        <f aca="false">IF((MAX(HISTORIAL!$A$5:$A$2004)-4)&lt;1,"",IF(INDEX(HISTORIAL!$E$5:$E$2004,(MAX(HISTORIAL!$A$5:$A$2004)-4))="","",INDEX(HISTORIAL!$E$5:$E$2004,(MAX(HISTORIAL!$A$5:$A$2004)-4))))</f>
        <v/>
      </c>
      <c r="D45" s="18" t="str">
        <f aca="false">IF((MAX(HISTORIAL!$A$5:$A$2004)-4)&lt;1,"",IF(INDEX(HISTORIAL!$F$5:$F$2004,(MAX(HISTORIAL!$A$5:$A$2004)-4))="","",INDEX(HISTORIAL!$F$5:$F$2004,(MAX(HISTORIAL!$A$5:$A$2004)-4))))</f>
        <v/>
      </c>
      <c r="E45" s="18" t="str">
        <f aca="false">IF((MAX(HISTORIAL!$A$5:$A$2004)-4)&lt;1,"",IF(INDEX(HISTORIAL!$G$5:$G$2004,(MAX(HISTORIAL!$A$5:$A$2004)-4))="","",INDEX(HISTORIAL!$G$5:$G$2004,(MAX(HISTORIAL!$A$5:$A$2004)-4))))</f>
        <v/>
      </c>
      <c r="F45" s="18" t="str">
        <f aca="false">IF((MAX(HISTORIAL!$A$5:$A$2004)-4)&lt;1,"",IF(INDEX(HISTORIAL!$I$5:$I$2004,(MAX(HISTORIAL!$A$5:$A$2004)-4))="","",INDEX(HISTORIAL!$I$5:$I$2004,(MAX(HISTORIAL!$A$5:$A$2004)-4))))</f>
        <v/>
      </c>
      <c r="G45" s="27" t="str">
        <f aca="false">IF((MAX(HISTORIAL!$A$5:$A$2004)-4)&lt;1,"",IF(INDEX(HISTORIAL!$J$5:$J$2004,(MAX(HISTORIAL!$A$5:$A$2004)-4))="","",INDEX(HISTORIAL!$J$5:$J$2004,(MAX(HISTORIAL!$A$5:$A$2004)-4))))</f>
        <v/>
      </c>
      <c r="H45" s="18" t="str">
        <f aca="false">IF((MAX(HISTORIAL!$A$5:$A$2004)-4)&lt;1,"",IF(INDEX(HISTORIAL!$K$5:$K$2004,(MAX(HISTORIAL!$A$5:$A$2004)-4))="","",INDEX(HISTORIAL!$K$5:$K$2004,(MAX(HISTORIAL!$A$5:$A$2004)-4))))</f>
        <v/>
      </c>
      <c r="I45" s="18" t="str">
        <f aca="false">IF((MAX(HISTORIAL!$A$5:$A$2004)-4)&lt;1,"",IF(INDEX(HISTORIAL!$L$5:$L$2004,(MAX(HISTORIAL!$A$5:$A$2004)-4))="","",INDEX(HISTORIAL!$L$5:$L$2004,(MAX(HISTORIAL!$A$5:$A$2004)-4))))</f>
        <v/>
      </c>
      <c r="J45" s="30" t="str">
        <f aca="false">IF((MAX(HISTORIAL!$A$5:$A$2004)-4)&lt;1,"",IF(INDEX(HISTORIAL!$M$5:$M$2004,(MAX(HISTORIAL!$A$5:$A$2004)-4))="","",INDEX(HISTORIAL!$M$5:$M$2004,(MAX(HISTORIAL!$A$5:$A$2004)-4))))</f>
        <v/>
      </c>
      <c r="K45" s="18" t="str">
        <f aca="false">IF((MAX(HISTORIAL!$A$5:$A$2004)-4)&lt;1,"",IF(INDEX(HISTORIAL!$P$5:$P$2004,(MAX(HISTORIAL!$A$5:$A$2004)-4))="","",INDEX(HISTORIAL!$P$5:$P$2004,(MAX(HISTORIAL!$A$5:$A$2004)-4))))</f>
        <v/>
      </c>
      <c r="L45" s="18" t="str">
        <f aca="false">IF((MAX(HISTORIAL!$A$5:$A$2004)-4)&lt;1,"",IF(INDEX(HISTORIAL!$U$5:$U$2004,(MAX(HISTORIAL!$A$5:$A$2004)-4))="","",INDEX(HISTORIAL!$U$5:$U$2004,(MAX(HISTORIAL!$A$5:$A$2004)-4))))</f>
        <v/>
      </c>
    </row>
    <row r="46" customFormat="false" ht="15" hidden="false" customHeight="true" outlineLevel="0" collapsed="false">
      <c r="A46" s="28" t="str">
        <f aca="false">IF((MAX(HISTORIAL!$A$5:$A$2004)-5)&lt;1,"",IF(INDEX(HISTORIAL!$B$5:$B$2004,(MAX(HISTORIAL!$A$5:$A$2004)-5))="","",INDEX(HISTORIAL!$B$5:$B$2004,(MAX(HISTORIAL!$A$5:$A$2004)-5))))</f>
        <v/>
      </c>
      <c r="B46" s="18" t="str">
        <f aca="false">IF((MAX(HISTORIAL!$A$5:$A$2004)-5)&lt;1,"",IF(INDEX(HISTORIAL!$D$5:$D$2004,(MAX(HISTORIAL!$A$5:$A$2004)-5))="","",INDEX(HISTORIAL!$D$5:$D$2004,(MAX(HISTORIAL!$A$5:$A$2004)-5))))</f>
        <v/>
      </c>
      <c r="C46" s="18" t="str">
        <f aca="false">IF((MAX(HISTORIAL!$A$5:$A$2004)-5)&lt;1,"",IF(INDEX(HISTORIAL!$E$5:$E$2004,(MAX(HISTORIAL!$A$5:$A$2004)-5))="","",INDEX(HISTORIAL!$E$5:$E$2004,(MAX(HISTORIAL!$A$5:$A$2004)-5))))</f>
        <v/>
      </c>
      <c r="D46" s="18" t="str">
        <f aca="false">IF((MAX(HISTORIAL!$A$5:$A$2004)-5)&lt;1,"",IF(INDEX(HISTORIAL!$F$5:$F$2004,(MAX(HISTORIAL!$A$5:$A$2004)-5))="","",INDEX(HISTORIAL!$F$5:$F$2004,(MAX(HISTORIAL!$A$5:$A$2004)-5))))</f>
        <v/>
      </c>
      <c r="E46" s="18" t="str">
        <f aca="false">IF((MAX(HISTORIAL!$A$5:$A$2004)-5)&lt;1,"",IF(INDEX(HISTORIAL!$G$5:$G$2004,(MAX(HISTORIAL!$A$5:$A$2004)-5))="","",INDEX(HISTORIAL!$G$5:$G$2004,(MAX(HISTORIAL!$A$5:$A$2004)-5))))</f>
        <v/>
      </c>
      <c r="F46" s="18" t="str">
        <f aca="false">IF((MAX(HISTORIAL!$A$5:$A$2004)-5)&lt;1,"",IF(INDEX(HISTORIAL!$I$5:$I$2004,(MAX(HISTORIAL!$A$5:$A$2004)-5))="","",INDEX(HISTORIAL!$I$5:$I$2004,(MAX(HISTORIAL!$A$5:$A$2004)-5))))</f>
        <v/>
      </c>
      <c r="G46" s="27" t="str">
        <f aca="false">IF((MAX(HISTORIAL!$A$5:$A$2004)-5)&lt;1,"",IF(INDEX(HISTORIAL!$J$5:$J$2004,(MAX(HISTORIAL!$A$5:$A$2004)-5))="","",INDEX(HISTORIAL!$J$5:$J$2004,(MAX(HISTORIAL!$A$5:$A$2004)-5))))</f>
        <v/>
      </c>
      <c r="H46" s="18" t="str">
        <f aca="false">IF((MAX(HISTORIAL!$A$5:$A$2004)-5)&lt;1,"",IF(INDEX(HISTORIAL!$K$5:$K$2004,(MAX(HISTORIAL!$A$5:$A$2004)-5))="","",INDEX(HISTORIAL!$K$5:$K$2004,(MAX(HISTORIAL!$A$5:$A$2004)-5))))</f>
        <v/>
      </c>
      <c r="I46" s="18" t="str">
        <f aca="false">IF((MAX(HISTORIAL!$A$5:$A$2004)-5)&lt;1,"",IF(INDEX(HISTORIAL!$L$5:$L$2004,(MAX(HISTORIAL!$A$5:$A$2004)-5))="","",INDEX(HISTORIAL!$L$5:$L$2004,(MAX(HISTORIAL!$A$5:$A$2004)-5))))</f>
        <v/>
      </c>
      <c r="J46" s="30" t="str">
        <f aca="false">IF((MAX(HISTORIAL!$A$5:$A$2004)-5)&lt;1,"",IF(INDEX(HISTORIAL!$M$5:$M$2004,(MAX(HISTORIAL!$A$5:$A$2004)-5))="","",INDEX(HISTORIAL!$M$5:$M$2004,(MAX(HISTORIAL!$A$5:$A$2004)-5))))</f>
        <v/>
      </c>
      <c r="K46" s="18" t="str">
        <f aca="false">IF((MAX(HISTORIAL!$A$5:$A$2004)-5)&lt;1,"",IF(INDEX(HISTORIAL!$P$5:$P$2004,(MAX(HISTORIAL!$A$5:$A$2004)-5))="","",INDEX(HISTORIAL!$P$5:$P$2004,(MAX(HISTORIAL!$A$5:$A$2004)-5))))</f>
        <v/>
      </c>
      <c r="L46" s="18" t="str">
        <f aca="false">IF((MAX(HISTORIAL!$A$5:$A$2004)-5)&lt;1,"",IF(INDEX(HISTORIAL!$U$5:$U$2004,(MAX(HISTORIAL!$A$5:$A$2004)-5))="","",INDEX(HISTORIAL!$U$5:$U$2004,(MAX(HISTORIAL!$A$5:$A$2004)-5))))</f>
        <v/>
      </c>
    </row>
    <row r="47" customFormat="false" ht="15" hidden="false" customHeight="true" outlineLevel="0" collapsed="false">
      <c r="A47" s="28" t="str">
        <f aca="false">IF((MAX(HISTORIAL!$A$5:$A$2004)-6)&lt;1,"",IF(INDEX(HISTORIAL!$B$5:$B$2004,(MAX(HISTORIAL!$A$5:$A$2004)-6))="","",INDEX(HISTORIAL!$B$5:$B$2004,(MAX(HISTORIAL!$A$5:$A$2004)-6))))</f>
        <v/>
      </c>
      <c r="B47" s="18" t="str">
        <f aca="false">IF((MAX(HISTORIAL!$A$5:$A$2004)-6)&lt;1,"",IF(INDEX(HISTORIAL!$D$5:$D$2004,(MAX(HISTORIAL!$A$5:$A$2004)-6))="","",INDEX(HISTORIAL!$D$5:$D$2004,(MAX(HISTORIAL!$A$5:$A$2004)-6))))</f>
        <v/>
      </c>
      <c r="C47" s="18" t="str">
        <f aca="false">IF((MAX(HISTORIAL!$A$5:$A$2004)-6)&lt;1,"",IF(INDEX(HISTORIAL!$E$5:$E$2004,(MAX(HISTORIAL!$A$5:$A$2004)-6))="","",INDEX(HISTORIAL!$E$5:$E$2004,(MAX(HISTORIAL!$A$5:$A$2004)-6))))</f>
        <v/>
      </c>
      <c r="D47" s="18" t="str">
        <f aca="false">IF((MAX(HISTORIAL!$A$5:$A$2004)-6)&lt;1,"",IF(INDEX(HISTORIAL!$F$5:$F$2004,(MAX(HISTORIAL!$A$5:$A$2004)-6))="","",INDEX(HISTORIAL!$F$5:$F$2004,(MAX(HISTORIAL!$A$5:$A$2004)-6))))</f>
        <v/>
      </c>
      <c r="E47" s="18" t="str">
        <f aca="false">IF((MAX(HISTORIAL!$A$5:$A$2004)-6)&lt;1,"",IF(INDEX(HISTORIAL!$G$5:$G$2004,(MAX(HISTORIAL!$A$5:$A$2004)-6))="","",INDEX(HISTORIAL!$G$5:$G$2004,(MAX(HISTORIAL!$A$5:$A$2004)-6))))</f>
        <v/>
      </c>
      <c r="F47" s="18" t="str">
        <f aca="false">IF((MAX(HISTORIAL!$A$5:$A$2004)-6)&lt;1,"",IF(INDEX(HISTORIAL!$I$5:$I$2004,(MAX(HISTORIAL!$A$5:$A$2004)-6))="","",INDEX(HISTORIAL!$I$5:$I$2004,(MAX(HISTORIAL!$A$5:$A$2004)-6))))</f>
        <v/>
      </c>
      <c r="G47" s="27" t="str">
        <f aca="false">IF((MAX(HISTORIAL!$A$5:$A$2004)-6)&lt;1,"",IF(INDEX(HISTORIAL!$J$5:$J$2004,(MAX(HISTORIAL!$A$5:$A$2004)-6))="","",INDEX(HISTORIAL!$J$5:$J$2004,(MAX(HISTORIAL!$A$5:$A$2004)-6))))</f>
        <v/>
      </c>
      <c r="H47" s="18" t="str">
        <f aca="false">IF((MAX(HISTORIAL!$A$5:$A$2004)-6)&lt;1,"",IF(INDEX(HISTORIAL!$K$5:$K$2004,(MAX(HISTORIAL!$A$5:$A$2004)-6))="","",INDEX(HISTORIAL!$K$5:$K$2004,(MAX(HISTORIAL!$A$5:$A$2004)-6))))</f>
        <v/>
      </c>
      <c r="I47" s="18" t="str">
        <f aca="false">IF((MAX(HISTORIAL!$A$5:$A$2004)-6)&lt;1,"",IF(INDEX(HISTORIAL!$L$5:$L$2004,(MAX(HISTORIAL!$A$5:$A$2004)-6))="","",INDEX(HISTORIAL!$L$5:$L$2004,(MAX(HISTORIAL!$A$5:$A$2004)-6))))</f>
        <v/>
      </c>
      <c r="J47" s="30" t="str">
        <f aca="false">IF((MAX(HISTORIAL!$A$5:$A$2004)-6)&lt;1,"",IF(INDEX(HISTORIAL!$M$5:$M$2004,(MAX(HISTORIAL!$A$5:$A$2004)-6))="","",INDEX(HISTORIAL!$M$5:$M$2004,(MAX(HISTORIAL!$A$5:$A$2004)-6))))</f>
        <v/>
      </c>
      <c r="K47" s="18" t="str">
        <f aca="false">IF((MAX(HISTORIAL!$A$5:$A$2004)-6)&lt;1,"",IF(INDEX(HISTORIAL!$P$5:$P$2004,(MAX(HISTORIAL!$A$5:$A$2004)-6))="","",INDEX(HISTORIAL!$P$5:$P$2004,(MAX(HISTORIAL!$A$5:$A$2004)-6))))</f>
        <v/>
      </c>
      <c r="L47" s="18" t="str">
        <f aca="false">IF((MAX(HISTORIAL!$A$5:$A$2004)-6)&lt;1,"",IF(INDEX(HISTORIAL!$U$5:$U$2004,(MAX(HISTORIAL!$A$5:$A$2004)-6))="","",INDEX(HISTORIAL!$U$5:$U$2004,(MAX(HISTORIAL!$A$5:$A$2004)-6))))</f>
        <v/>
      </c>
    </row>
    <row r="48" customFormat="false" ht="15" hidden="false" customHeight="true" outlineLevel="0" collapsed="false">
      <c r="A48" s="28" t="str">
        <f aca="false">IF((MAX(HISTORIAL!$A$5:$A$2004)-7)&lt;1,"",IF(INDEX(HISTORIAL!$B$5:$B$2004,(MAX(HISTORIAL!$A$5:$A$2004)-7))="","",INDEX(HISTORIAL!$B$5:$B$2004,(MAX(HISTORIAL!$A$5:$A$2004)-7))))</f>
        <v/>
      </c>
      <c r="B48" s="18" t="str">
        <f aca="false">IF((MAX(HISTORIAL!$A$5:$A$2004)-7)&lt;1,"",IF(INDEX(HISTORIAL!$D$5:$D$2004,(MAX(HISTORIAL!$A$5:$A$2004)-7))="","",INDEX(HISTORIAL!$D$5:$D$2004,(MAX(HISTORIAL!$A$5:$A$2004)-7))))</f>
        <v/>
      </c>
      <c r="C48" s="18" t="str">
        <f aca="false">IF((MAX(HISTORIAL!$A$5:$A$2004)-7)&lt;1,"",IF(INDEX(HISTORIAL!$E$5:$E$2004,(MAX(HISTORIAL!$A$5:$A$2004)-7))="","",INDEX(HISTORIAL!$E$5:$E$2004,(MAX(HISTORIAL!$A$5:$A$2004)-7))))</f>
        <v/>
      </c>
      <c r="D48" s="18" t="str">
        <f aca="false">IF((MAX(HISTORIAL!$A$5:$A$2004)-7)&lt;1,"",IF(INDEX(HISTORIAL!$F$5:$F$2004,(MAX(HISTORIAL!$A$5:$A$2004)-7))="","",INDEX(HISTORIAL!$F$5:$F$2004,(MAX(HISTORIAL!$A$5:$A$2004)-7))))</f>
        <v/>
      </c>
      <c r="E48" s="18" t="str">
        <f aca="false">IF((MAX(HISTORIAL!$A$5:$A$2004)-7)&lt;1,"",IF(INDEX(HISTORIAL!$G$5:$G$2004,(MAX(HISTORIAL!$A$5:$A$2004)-7))="","",INDEX(HISTORIAL!$G$5:$G$2004,(MAX(HISTORIAL!$A$5:$A$2004)-7))))</f>
        <v/>
      </c>
      <c r="F48" s="18" t="str">
        <f aca="false">IF((MAX(HISTORIAL!$A$5:$A$2004)-7)&lt;1,"",IF(INDEX(HISTORIAL!$I$5:$I$2004,(MAX(HISTORIAL!$A$5:$A$2004)-7))="","",INDEX(HISTORIAL!$I$5:$I$2004,(MAX(HISTORIAL!$A$5:$A$2004)-7))))</f>
        <v/>
      </c>
      <c r="G48" s="27" t="str">
        <f aca="false">IF((MAX(HISTORIAL!$A$5:$A$2004)-7)&lt;1,"",IF(INDEX(HISTORIAL!$J$5:$J$2004,(MAX(HISTORIAL!$A$5:$A$2004)-7))="","",INDEX(HISTORIAL!$J$5:$J$2004,(MAX(HISTORIAL!$A$5:$A$2004)-7))))</f>
        <v/>
      </c>
      <c r="H48" s="18" t="str">
        <f aca="false">IF((MAX(HISTORIAL!$A$5:$A$2004)-7)&lt;1,"",IF(INDEX(HISTORIAL!$K$5:$K$2004,(MAX(HISTORIAL!$A$5:$A$2004)-7))="","",INDEX(HISTORIAL!$K$5:$K$2004,(MAX(HISTORIAL!$A$5:$A$2004)-7))))</f>
        <v/>
      </c>
      <c r="I48" s="18" t="str">
        <f aca="false">IF((MAX(HISTORIAL!$A$5:$A$2004)-7)&lt;1,"",IF(INDEX(HISTORIAL!$L$5:$L$2004,(MAX(HISTORIAL!$A$5:$A$2004)-7))="","",INDEX(HISTORIAL!$L$5:$L$2004,(MAX(HISTORIAL!$A$5:$A$2004)-7))))</f>
        <v/>
      </c>
      <c r="J48" s="30" t="str">
        <f aca="false">IF((MAX(HISTORIAL!$A$5:$A$2004)-7)&lt;1,"",IF(INDEX(HISTORIAL!$M$5:$M$2004,(MAX(HISTORIAL!$A$5:$A$2004)-7))="","",INDEX(HISTORIAL!$M$5:$M$2004,(MAX(HISTORIAL!$A$5:$A$2004)-7))))</f>
        <v/>
      </c>
      <c r="K48" s="18" t="str">
        <f aca="false">IF((MAX(HISTORIAL!$A$5:$A$2004)-7)&lt;1,"",IF(INDEX(HISTORIAL!$P$5:$P$2004,(MAX(HISTORIAL!$A$5:$A$2004)-7))="","",INDEX(HISTORIAL!$P$5:$P$2004,(MAX(HISTORIAL!$A$5:$A$2004)-7))))</f>
        <v/>
      </c>
      <c r="L48" s="18" t="str">
        <f aca="false">IF((MAX(HISTORIAL!$A$5:$A$2004)-7)&lt;1,"",IF(INDEX(HISTORIAL!$U$5:$U$2004,(MAX(HISTORIAL!$A$5:$A$2004)-7))="","",INDEX(HISTORIAL!$U$5:$U$2004,(MAX(HISTORIAL!$A$5:$A$2004)-7))))</f>
        <v/>
      </c>
    </row>
    <row r="49" customFormat="false" ht="15" hidden="false" customHeight="true" outlineLevel="0" collapsed="false">
      <c r="A49" s="28" t="str">
        <f aca="false">IF((MAX(HISTORIAL!$A$5:$A$2004)-8)&lt;1,"",IF(INDEX(HISTORIAL!$B$5:$B$2004,(MAX(HISTORIAL!$A$5:$A$2004)-8))="","",INDEX(HISTORIAL!$B$5:$B$2004,(MAX(HISTORIAL!$A$5:$A$2004)-8))))</f>
        <v/>
      </c>
      <c r="B49" s="18" t="str">
        <f aca="false">IF((MAX(HISTORIAL!$A$5:$A$2004)-8)&lt;1,"",IF(INDEX(HISTORIAL!$D$5:$D$2004,(MAX(HISTORIAL!$A$5:$A$2004)-8))="","",INDEX(HISTORIAL!$D$5:$D$2004,(MAX(HISTORIAL!$A$5:$A$2004)-8))))</f>
        <v/>
      </c>
      <c r="C49" s="18" t="str">
        <f aca="false">IF((MAX(HISTORIAL!$A$5:$A$2004)-8)&lt;1,"",IF(INDEX(HISTORIAL!$E$5:$E$2004,(MAX(HISTORIAL!$A$5:$A$2004)-8))="","",INDEX(HISTORIAL!$E$5:$E$2004,(MAX(HISTORIAL!$A$5:$A$2004)-8))))</f>
        <v/>
      </c>
      <c r="D49" s="18" t="str">
        <f aca="false">IF((MAX(HISTORIAL!$A$5:$A$2004)-8)&lt;1,"",IF(INDEX(HISTORIAL!$F$5:$F$2004,(MAX(HISTORIAL!$A$5:$A$2004)-8))="","",INDEX(HISTORIAL!$F$5:$F$2004,(MAX(HISTORIAL!$A$5:$A$2004)-8))))</f>
        <v/>
      </c>
      <c r="E49" s="18" t="str">
        <f aca="false">IF((MAX(HISTORIAL!$A$5:$A$2004)-8)&lt;1,"",IF(INDEX(HISTORIAL!$G$5:$G$2004,(MAX(HISTORIAL!$A$5:$A$2004)-8))="","",INDEX(HISTORIAL!$G$5:$G$2004,(MAX(HISTORIAL!$A$5:$A$2004)-8))))</f>
        <v/>
      </c>
      <c r="F49" s="18" t="str">
        <f aca="false">IF((MAX(HISTORIAL!$A$5:$A$2004)-8)&lt;1,"",IF(INDEX(HISTORIAL!$I$5:$I$2004,(MAX(HISTORIAL!$A$5:$A$2004)-8))="","",INDEX(HISTORIAL!$I$5:$I$2004,(MAX(HISTORIAL!$A$5:$A$2004)-8))))</f>
        <v/>
      </c>
      <c r="G49" s="27" t="str">
        <f aca="false">IF((MAX(HISTORIAL!$A$5:$A$2004)-8)&lt;1,"",IF(INDEX(HISTORIAL!$J$5:$J$2004,(MAX(HISTORIAL!$A$5:$A$2004)-8))="","",INDEX(HISTORIAL!$J$5:$J$2004,(MAX(HISTORIAL!$A$5:$A$2004)-8))))</f>
        <v/>
      </c>
      <c r="H49" s="18" t="str">
        <f aca="false">IF((MAX(HISTORIAL!$A$5:$A$2004)-8)&lt;1,"",IF(INDEX(HISTORIAL!$K$5:$K$2004,(MAX(HISTORIAL!$A$5:$A$2004)-8))="","",INDEX(HISTORIAL!$K$5:$K$2004,(MAX(HISTORIAL!$A$5:$A$2004)-8))))</f>
        <v/>
      </c>
      <c r="I49" s="18" t="str">
        <f aca="false">IF((MAX(HISTORIAL!$A$5:$A$2004)-8)&lt;1,"",IF(INDEX(HISTORIAL!$L$5:$L$2004,(MAX(HISTORIAL!$A$5:$A$2004)-8))="","",INDEX(HISTORIAL!$L$5:$L$2004,(MAX(HISTORIAL!$A$5:$A$2004)-8))))</f>
        <v/>
      </c>
      <c r="J49" s="30" t="str">
        <f aca="false">IF((MAX(HISTORIAL!$A$5:$A$2004)-8)&lt;1,"",IF(INDEX(HISTORIAL!$M$5:$M$2004,(MAX(HISTORIAL!$A$5:$A$2004)-8))="","",INDEX(HISTORIAL!$M$5:$M$2004,(MAX(HISTORIAL!$A$5:$A$2004)-8))))</f>
        <v/>
      </c>
      <c r="K49" s="18" t="str">
        <f aca="false">IF((MAX(HISTORIAL!$A$5:$A$2004)-8)&lt;1,"",IF(INDEX(HISTORIAL!$P$5:$P$2004,(MAX(HISTORIAL!$A$5:$A$2004)-8))="","",INDEX(HISTORIAL!$P$5:$P$2004,(MAX(HISTORIAL!$A$5:$A$2004)-8))))</f>
        <v/>
      </c>
      <c r="L49" s="18" t="str">
        <f aca="false">IF((MAX(HISTORIAL!$A$5:$A$2004)-8)&lt;1,"",IF(INDEX(HISTORIAL!$U$5:$U$2004,(MAX(HISTORIAL!$A$5:$A$2004)-8))="","",INDEX(HISTORIAL!$U$5:$U$2004,(MAX(HISTORIAL!$A$5:$A$2004)-8))))</f>
        <v/>
      </c>
    </row>
    <row r="50" customFormat="false" ht="15" hidden="false" customHeight="true" outlineLevel="0" collapsed="false">
      <c r="A50" s="28" t="str">
        <f aca="false">IF((MAX(HISTORIAL!$A$5:$A$2004)-9)&lt;1,"",IF(INDEX(HISTORIAL!$B$5:$B$2004,(MAX(HISTORIAL!$A$5:$A$2004)-9))="","",INDEX(HISTORIAL!$B$5:$B$2004,(MAX(HISTORIAL!$A$5:$A$2004)-9))))</f>
        <v/>
      </c>
      <c r="B50" s="18" t="str">
        <f aca="false">IF((MAX(HISTORIAL!$A$5:$A$2004)-9)&lt;1,"",IF(INDEX(HISTORIAL!$D$5:$D$2004,(MAX(HISTORIAL!$A$5:$A$2004)-9))="","",INDEX(HISTORIAL!$D$5:$D$2004,(MAX(HISTORIAL!$A$5:$A$2004)-9))))</f>
        <v/>
      </c>
      <c r="C50" s="18" t="str">
        <f aca="false">IF((MAX(HISTORIAL!$A$5:$A$2004)-9)&lt;1,"",IF(INDEX(HISTORIAL!$E$5:$E$2004,(MAX(HISTORIAL!$A$5:$A$2004)-9))="","",INDEX(HISTORIAL!$E$5:$E$2004,(MAX(HISTORIAL!$A$5:$A$2004)-9))))</f>
        <v/>
      </c>
      <c r="D50" s="18" t="str">
        <f aca="false">IF((MAX(HISTORIAL!$A$5:$A$2004)-9)&lt;1,"",IF(INDEX(HISTORIAL!$F$5:$F$2004,(MAX(HISTORIAL!$A$5:$A$2004)-9))="","",INDEX(HISTORIAL!$F$5:$F$2004,(MAX(HISTORIAL!$A$5:$A$2004)-9))))</f>
        <v/>
      </c>
      <c r="E50" s="18" t="str">
        <f aca="false">IF((MAX(HISTORIAL!$A$5:$A$2004)-9)&lt;1,"",IF(INDEX(HISTORIAL!$G$5:$G$2004,(MAX(HISTORIAL!$A$5:$A$2004)-9))="","",INDEX(HISTORIAL!$G$5:$G$2004,(MAX(HISTORIAL!$A$5:$A$2004)-9))))</f>
        <v/>
      </c>
      <c r="F50" s="18" t="str">
        <f aca="false">IF((MAX(HISTORIAL!$A$5:$A$2004)-9)&lt;1,"",IF(INDEX(HISTORIAL!$I$5:$I$2004,(MAX(HISTORIAL!$A$5:$A$2004)-9))="","",INDEX(HISTORIAL!$I$5:$I$2004,(MAX(HISTORIAL!$A$5:$A$2004)-9))))</f>
        <v/>
      </c>
      <c r="G50" s="27" t="str">
        <f aca="false">IF((MAX(HISTORIAL!$A$5:$A$2004)-9)&lt;1,"",IF(INDEX(HISTORIAL!$J$5:$J$2004,(MAX(HISTORIAL!$A$5:$A$2004)-9))="","",INDEX(HISTORIAL!$J$5:$J$2004,(MAX(HISTORIAL!$A$5:$A$2004)-9))))</f>
        <v/>
      </c>
      <c r="H50" s="18" t="str">
        <f aca="false">IF((MAX(HISTORIAL!$A$5:$A$2004)-9)&lt;1,"",IF(INDEX(HISTORIAL!$K$5:$K$2004,(MAX(HISTORIAL!$A$5:$A$2004)-9))="","",INDEX(HISTORIAL!$K$5:$K$2004,(MAX(HISTORIAL!$A$5:$A$2004)-9))))</f>
        <v/>
      </c>
      <c r="I50" s="18" t="str">
        <f aca="false">IF((MAX(HISTORIAL!$A$5:$A$2004)-9)&lt;1,"",IF(INDEX(HISTORIAL!$L$5:$L$2004,(MAX(HISTORIAL!$A$5:$A$2004)-9))="","",INDEX(HISTORIAL!$L$5:$L$2004,(MAX(HISTORIAL!$A$5:$A$2004)-9))))</f>
        <v/>
      </c>
      <c r="J50" s="30" t="str">
        <f aca="false">IF((MAX(HISTORIAL!$A$5:$A$2004)-9)&lt;1,"",IF(INDEX(HISTORIAL!$M$5:$M$2004,(MAX(HISTORIAL!$A$5:$A$2004)-9))="","",INDEX(HISTORIAL!$M$5:$M$2004,(MAX(HISTORIAL!$A$5:$A$2004)-9))))</f>
        <v/>
      </c>
      <c r="K50" s="18" t="str">
        <f aca="false">IF((MAX(HISTORIAL!$A$5:$A$2004)-9)&lt;1,"",IF(INDEX(HISTORIAL!$P$5:$P$2004,(MAX(HISTORIAL!$A$5:$A$2004)-9))="","",INDEX(HISTORIAL!$P$5:$P$2004,(MAX(HISTORIAL!$A$5:$A$2004)-9))))</f>
        <v/>
      </c>
      <c r="L50" s="18" t="str">
        <f aca="false">IF((MAX(HISTORIAL!$A$5:$A$2004)-9)&lt;1,"",IF(INDEX(HISTORIAL!$U$5:$U$2004,(MAX(HISTORIAL!$A$5:$A$2004)-9))="","",INDEX(HISTORIAL!$U$5:$U$2004,(MAX(HISTORIAL!$A$5:$A$2004)-9))))</f>
        <v/>
      </c>
    </row>
    <row r="51" customFormat="false" ht="15" hidden="false" customHeight="true" outlineLevel="0" collapsed="false">
      <c r="A51" s="28" t="str">
        <f aca="false">IF((MAX(HISTORIAL!$A$5:$A$2004)-10)&lt;1,"",IF(INDEX(HISTORIAL!$B$5:$B$2004,(MAX(HISTORIAL!$A$5:$A$2004)-10))="","",INDEX(HISTORIAL!$B$5:$B$2004,(MAX(HISTORIAL!$A$5:$A$2004)-10))))</f>
        <v/>
      </c>
      <c r="B51" s="18" t="str">
        <f aca="false">IF((MAX(HISTORIAL!$A$5:$A$2004)-10)&lt;1,"",IF(INDEX(HISTORIAL!$D$5:$D$2004,(MAX(HISTORIAL!$A$5:$A$2004)-10))="","",INDEX(HISTORIAL!$D$5:$D$2004,(MAX(HISTORIAL!$A$5:$A$2004)-10))))</f>
        <v/>
      </c>
      <c r="C51" s="18" t="str">
        <f aca="false">IF((MAX(HISTORIAL!$A$5:$A$2004)-10)&lt;1,"",IF(INDEX(HISTORIAL!$E$5:$E$2004,(MAX(HISTORIAL!$A$5:$A$2004)-10))="","",INDEX(HISTORIAL!$E$5:$E$2004,(MAX(HISTORIAL!$A$5:$A$2004)-10))))</f>
        <v/>
      </c>
      <c r="D51" s="18" t="str">
        <f aca="false">IF((MAX(HISTORIAL!$A$5:$A$2004)-10)&lt;1,"",IF(INDEX(HISTORIAL!$F$5:$F$2004,(MAX(HISTORIAL!$A$5:$A$2004)-10))="","",INDEX(HISTORIAL!$F$5:$F$2004,(MAX(HISTORIAL!$A$5:$A$2004)-10))))</f>
        <v/>
      </c>
      <c r="E51" s="18" t="str">
        <f aca="false">IF((MAX(HISTORIAL!$A$5:$A$2004)-10)&lt;1,"",IF(INDEX(HISTORIAL!$G$5:$G$2004,(MAX(HISTORIAL!$A$5:$A$2004)-10))="","",INDEX(HISTORIAL!$G$5:$G$2004,(MAX(HISTORIAL!$A$5:$A$2004)-10))))</f>
        <v/>
      </c>
      <c r="F51" s="18" t="str">
        <f aca="false">IF((MAX(HISTORIAL!$A$5:$A$2004)-10)&lt;1,"",IF(INDEX(HISTORIAL!$I$5:$I$2004,(MAX(HISTORIAL!$A$5:$A$2004)-10))="","",INDEX(HISTORIAL!$I$5:$I$2004,(MAX(HISTORIAL!$A$5:$A$2004)-10))))</f>
        <v/>
      </c>
      <c r="G51" s="27" t="str">
        <f aca="false">IF((MAX(HISTORIAL!$A$5:$A$2004)-10)&lt;1,"",IF(INDEX(HISTORIAL!$J$5:$J$2004,(MAX(HISTORIAL!$A$5:$A$2004)-10))="","",INDEX(HISTORIAL!$J$5:$J$2004,(MAX(HISTORIAL!$A$5:$A$2004)-10))))</f>
        <v/>
      </c>
      <c r="H51" s="18" t="str">
        <f aca="false">IF((MAX(HISTORIAL!$A$5:$A$2004)-10)&lt;1,"",IF(INDEX(HISTORIAL!$K$5:$K$2004,(MAX(HISTORIAL!$A$5:$A$2004)-10))="","",INDEX(HISTORIAL!$K$5:$K$2004,(MAX(HISTORIAL!$A$5:$A$2004)-10))))</f>
        <v/>
      </c>
      <c r="I51" s="18" t="str">
        <f aca="false">IF((MAX(HISTORIAL!$A$5:$A$2004)-10)&lt;1,"",IF(INDEX(HISTORIAL!$L$5:$L$2004,(MAX(HISTORIAL!$A$5:$A$2004)-10))="","",INDEX(HISTORIAL!$L$5:$L$2004,(MAX(HISTORIAL!$A$5:$A$2004)-10))))</f>
        <v/>
      </c>
      <c r="J51" s="30" t="str">
        <f aca="false">IF((MAX(HISTORIAL!$A$5:$A$2004)-10)&lt;1,"",IF(INDEX(HISTORIAL!$M$5:$M$2004,(MAX(HISTORIAL!$A$5:$A$2004)-10))="","",INDEX(HISTORIAL!$M$5:$M$2004,(MAX(HISTORIAL!$A$5:$A$2004)-10))))</f>
        <v/>
      </c>
      <c r="K51" s="18" t="str">
        <f aca="false">IF((MAX(HISTORIAL!$A$5:$A$2004)-10)&lt;1,"",IF(INDEX(HISTORIAL!$P$5:$P$2004,(MAX(HISTORIAL!$A$5:$A$2004)-10))="","",INDEX(HISTORIAL!$P$5:$P$2004,(MAX(HISTORIAL!$A$5:$A$2004)-10))))</f>
        <v/>
      </c>
      <c r="L51" s="18" t="str">
        <f aca="false">IF((MAX(HISTORIAL!$A$5:$A$2004)-10)&lt;1,"",IF(INDEX(HISTORIAL!$U$5:$U$2004,(MAX(HISTORIAL!$A$5:$A$2004)-10))="","",INDEX(HISTORIAL!$U$5:$U$2004,(MAX(HISTORIAL!$A$5:$A$2004)-10))))</f>
        <v/>
      </c>
    </row>
    <row r="52" customFormat="false" ht="15" hidden="false" customHeight="true" outlineLevel="0" collapsed="false">
      <c r="A52" s="28" t="str">
        <f aca="false">IF((MAX(HISTORIAL!$A$5:$A$2004)-11)&lt;1,"",IF(INDEX(HISTORIAL!$B$5:$B$2004,(MAX(HISTORIAL!$A$5:$A$2004)-11))="","",INDEX(HISTORIAL!$B$5:$B$2004,(MAX(HISTORIAL!$A$5:$A$2004)-11))))</f>
        <v/>
      </c>
      <c r="B52" s="18" t="str">
        <f aca="false">IF((MAX(HISTORIAL!$A$5:$A$2004)-11)&lt;1,"",IF(INDEX(HISTORIAL!$D$5:$D$2004,(MAX(HISTORIAL!$A$5:$A$2004)-11))="","",INDEX(HISTORIAL!$D$5:$D$2004,(MAX(HISTORIAL!$A$5:$A$2004)-11))))</f>
        <v/>
      </c>
      <c r="C52" s="18" t="str">
        <f aca="false">IF((MAX(HISTORIAL!$A$5:$A$2004)-11)&lt;1,"",IF(INDEX(HISTORIAL!$E$5:$E$2004,(MAX(HISTORIAL!$A$5:$A$2004)-11))="","",INDEX(HISTORIAL!$E$5:$E$2004,(MAX(HISTORIAL!$A$5:$A$2004)-11))))</f>
        <v/>
      </c>
      <c r="D52" s="18" t="str">
        <f aca="false">IF((MAX(HISTORIAL!$A$5:$A$2004)-11)&lt;1,"",IF(INDEX(HISTORIAL!$F$5:$F$2004,(MAX(HISTORIAL!$A$5:$A$2004)-11))="","",INDEX(HISTORIAL!$F$5:$F$2004,(MAX(HISTORIAL!$A$5:$A$2004)-11))))</f>
        <v/>
      </c>
      <c r="E52" s="18" t="str">
        <f aca="false">IF((MAX(HISTORIAL!$A$5:$A$2004)-11)&lt;1,"",IF(INDEX(HISTORIAL!$G$5:$G$2004,(MAX(HISTORIAL!$A$5:$A$2004)-11))="","",INDEX(HISTORIAL!$G$5:$G$2004,(MAX(HISTORIAL!$A$5:$A$2004)-11))))</f>
        <v/>
      </c>
      <c r="F52" s="18" t="str">
        <f aca="false">IF((MAX(HISTORIAL!$A$5:$A$2004)-11)&lt;1,"",IF(INDEX(HISTORIAL!$I$5:$I$2004,(MAX(HISTORIAL!$A$5:$A$2004)-11))="","",INDEX(HISTORIAL!$I$5:$I$2004,(MAX(HISTORIAL!$A$5:$A$2004)-11))))</f>
        <v/>
      </c>
      <c r="G52" s="27" t="str">
        <f aca="false">IF((MAX(HISTORIAL!$A$5:$A$2004)-11)&lt;1,"",IF(INDEX(HISTORIAL!$J$5:$J$2004,(MAX(HISTORIAL!$A$5:$A$2004)-11))="","",INDEX(HISTORIAL!$J$5:$J$2004,(MAX(HISTORIAL!$A$5:$A$2004)-11))))</f>
        <v/>
      </c>
      <c r="H52" s="18" t="str">
        <f aca="false">IF((MAX(HISTORIAL!$A$5:$A$2004)-11)&lt;1,"",IF(INDEX(HISTORIAL!$K$5:$K$2004,(MAX(HISTORIAL!$A$5:$A$2004)-11))="","",INDEX(HISTORIAL!$K$5:$K$2004,(MAX(HISTORIAL!$A$5:$A$2004)-11))))</f>
        <v/>
      </c>
      <c r="I52" s="18" t="str">
        <f aca="false">IF((MAX(HISTORIAL!$A$5:$A$2004)-11)&lt;1,"",IF(INDEX(HISTORIAL!$L$5:$L$2004,(MAX(HISTORIAL!$A$5:$A$2004)-11))="","",INDEX(HISTORIAL!$L$5:$L$2004,(MAX(HISTORIAL!$A$5:$A$2004)-11))))</f>
        <v/>
      </c>
      <c r="J52" s="30" t="str">
        <f aca="false">IF((MAX(HISTORIAL!$A$5:$A$2004)-11)&lt;1,"",IF(INDEX(HISTORIAL!$M$5:$M$2004,(MAX(HISTORIAL!$A$5:$A$2004)-11))="","",INDEX(HISTORIAL!$M$5:$M$2004,(MAX(HISTORIAL!$A$5:$A$2004)-11))))</f>
        <v/>
      </c>
      <c r="K52" s="18" t="str">
        <f aca="false">IF((MAX(HISTORIAL!$A$5:$A$2004)-11)&lt;1,"",IF(INDEX(HISTORIAL!$P$5:$P$2004,(MAX(HISTORIAL!$A$5:$A$2004)-11))="","",INDEX(HISTORIAL!$P$5:$P$2004,(MAX(HISTORIAL!$A$5:$A$2004)-11))))</f>
        <v/>
      </c>
      <c r="L52" s="18" t="str">
        <f aca="false">IF((MAX(HISTORIAL!$A$5:$A$2004)-11)&lt;1,"",IF(INDEX(HISTORIAL!$U$5:$U$2004,(MAX(HISTORIAL!$A$5:$A$2004)-11))="","",INDEX(HISTORIAL!$U$5:$U$2004,(MAX(HISTORIAL!$A$5:$A$2004)-11))))</f>
        <v/>
      </c>
    </row>
    <row r="53" customFormat="false" ht="15" hidden="false" customHeight="true" outlineLevel="0" collapsed="false">
      <c r="A53" s="28" t="str">
        <f aca="false">IF((MAX(HISTORIAL!$A$5:$A$2004)-12)&lt;1,"",IF(INDEX(HISTORIAL!$B$5:$B$2004,(MAX(HISTORIAL!$A$5:$A$2004)-12))="","",INDEX(HISTORIAL!$B$5:$B$2004,(MAX(HISTORIAL!$A$5:$A$2004)-12))))</f>
        <v/>
      </c>
      <c r="B53" s="18" t="str">
        <f aca="false">IF((MAX(HISTORIAL!$A$5:$A$2004)-12)&lt;1,"",IF(INDEX(HISTORIAL!$D$5:$D$2004,(MAX(HISTORIAL!$A$5:$A$2004)-12))="","",INDEX(HISTORIAL!$D$5:$D$2004,(MAX(HISTORIAL!$A$5:$A$2004)-12))))</f>
        <v/>
      </c>
      <c r="C53" s="18" t="str">
        <f aca="false">IF((MAX(HISTORIAL!$A$5:$A$2004)-12)&lt;1,"",IF(INDEX(HISTORIAL!$E$5:$E$2004,(MAX(HISTORIAL!$A$5:$A$2004)-12))="","",INDEX(HISTORIAL!$E$5:$E$2004,(MAX(HISTORIAL!$A$5:$A$2004)-12))))</f>
        <v/>
      </c>
      <c r="D53" s="18" t="str">
        <f aca="false">IF((MAX(HISTORIAL!$A$5:$A$2004)-12)&lt;1,"",IF(INDEX(HISTORIAL!$F$5:$F$2004,(MAX(HISTORIAL!$A$5:$A$2004)-12))="","",INDEX(HISTORIAL!$F$5:$F$2004,(MAX(HISTORIAL!$A$5:$A$2004)-12))))</f>
        <v/>
      </c>
      <c r="E53" s="18" t="str">
        <f aca="false">IF((MAX(HISTORIAL!$A$5:$A$2004)-12)&lt;1,"",IF(INDEX(HISTORIAL!$G$5:$G$2004,(MAX(HISTORIAL!$A$5:$A$2004)-12))="","",INDEX(HISTORIAL!$G$5:$G$2004,(MAX(HISTORIAL!$A$5:$A$2004)-12))))</f>
        <v/>
      </c>
      <c r="F53" s="18" t="str">
        <f aca="false">IF((MAX(HISTORIAL!$A$5:$A$2004)-12)&lt;1,"",IF(INDEX(HISTORIAL!$I$5:$I$2004,(MAX(HISTORIAL!$A$5:$A$2004)-12))="","",INDEX(HISTORIAL!$I$5:$I$2004,(MAX(HISTORIAL!$A$5:$A$2004)-12))))</f>
        <v/>
      </c>
      <c r="G53" s="27" t="str">
        <f aca="false">IF((MAX(HISTORIAL!$A$5:$A$2004)-12)&lt;1,"",IF(INDEX(HISTORIAL!$J$5:$J$2004,(MAX(HISTORIAL!$A$5:$A$2004)-12))="","",INDEX(HISTORIAL!$J$5:$J$2004,(MAX(HISTORIAL!$A$5:$A$2004)-12))))</f>
        <v/>
      </c>
      <c r="H53" s="18" t="str">
        <f aca="false">IF((MAX(HISTORIAL!$A$5:$A$2004)-12)&lt;1,"",IF(INDEX(HISTORIAL!$K$5:$K$2004,(MAX(HISTORIAL!$A$5:$A$2004)-12))="","",INDEX(HISTORIAL!$K$5:$K$2004,(MAX(HISTORIAL!$A$5:$A$2004)-12))))</f>
        <v/>
      </c>
      <c r="I53" s="18" t="str">
        <f aca="false">IF((MAX(HISTORIAL!$A$5:$A$2004)-12)&lt;1,"",IF(INDEX(HISTORIAL!$L$5:$L$2004,(MAX(HISTORIAL!$A$5:$A$2004)-12))="","",INDEX(HISTORIAL!$L$5:$L$2004,(MAX(HISTORIAL!$A$5:$A$2004)-12))))</f>
        <v/>
      </c>
      <c r="J53" s="30" t="str">
        <f aca="false">IF((MAX(HISTORIAL!$A$5:$A$2004)-12)&lt;1,"",IF(INDEX(HISTORIAL!$M$5:$M$2004,(MAX(HISTORIAL!$A$5:$A$2004)-12))="","",INDEX(HISTORIAL!$M$5:$M$2004,(MAX(HISTORIAL!$A$5:$A$2004)-12))))</f>
        <v/>
      </c>
      <c r="K53" s="18" t="str">
        <f aca="false">IF((MAX(HISTORIAL!$A$5:$A$2004)-12)&lt;1,"",IF(INDEX(HISTORIAL!$P$5:$P$2004,(MAX(HISTORIAL!$A$5:$A$2004)-12))="","",INDEX(HISTORIAL!$P$5:$P$2004,(MAX(HISTORIAL!$A$5:$A$2004)-12))))</f>
        <v/>
      </c>
      <c r="L53" s="18" t="str">
        <f aca="false">IF((MAX(HISTORIAL!$A$5:$A$2004)-12)&lt;1,"",IF(INDEX(HISTORIAL!$U$5:$U$2004,(MAX(HISTORIAL!$A$5:$A$2004)-12))="","",INDEX(HISTORIAL!$U$5:$U$2004,(MAX(HISTORIAL!$A$5:$A$2004)-12))))</f>
        <v/>
      </c>
    </row>
    <row r="54" customFormat="false" ht="15" hidden="false" customHeight="true" outlineLevel="0" collapsed="false">
      <c r="A54" s="28" t="str">
        <f aca="false">IF((MAX(HISTORIAL!$A$5:$A$2004)-13)&lt;1,"",IF(INDEX(HISTORIAL!$B$5:$B$2004,(MAX(HISTORIAL!$A$5:$A$2004)-13))="","",INDEX(HISTORIAL!$B$5:$B$2004,(MAX(HISTORIAL!$A$5:$A$2004)-13))))</f>
        <v/>
      </c>
      <c r="B54" s="18" t="str">
        <f aca="false">IF((MAX(HISTORIAL!$A$5:$A$2004)-13)&lt;1,"",IF(INDEX(HISTORIAL!$D$5:$D$2004,(MAX(HISTORIAL!$A$5:$A$2004)-13))="","",INDEX(HISTORIAL!$D$5:$D$2004,(MAX(HISTORIAL!$A$5:$A$2004)-13))))</f>
        <v/>
      </c>
      <c r="C54" s="18" t="str">
        <f aca="false">IF((MAX(HISTORIAL!$A$5:$A$2004)-13)&lt;1,"",IF(INDEX(HISTORIAL!$E$5:$E$2004,(MAX(HISTORIAL!$A$5:$A$2004)-13))="","",INDEX(HISTORIAL!$E$5:$E$2004,(MAX(HISTORIAL!$A$5:$A$2004)-13))))</f>
        <v/>
      </c>
      <c r="D54" s="18" t="str">
        <f aca="false">IF((MAX(HISTORIAL!$A$5:$A$2004)-13)&lt;1,"",IF(INDEX(HISTORIAL!$F$5:$F$2004,(MAX(HISTORIAL!$A$5:$A$2004)-13))="","",INDEX(HISTORIAL!$F$5:$F$2004,(MAX(HISTORIAL!$A$5:$A$2004)-13))))</f>
        <v/>
      </c>
      <c r="E54" s="18" t="str">
        <f aca="false">IF((MAX(HISTORIAL!$A$5:$A$2004)-13)&lt;1,"",IF(INDEX(HISTORIAL!$G$5:$G$2004,(MAX(HISTORIAL!$A$5:$A$2004)-13))="","",INDEX(HISTORIAL!$G$5:$G$2004,(MAX(HISTORIAL!$A$5:$A$2004)-13))))</f>
        <v/>
      </c>
      <c r="F54" s="18" t="str">
        <f aca="false">IF((MAX(HISTORIAL!$A$5:$A$2004)-13)&lt;1,"",IF(INDEX(HISTORIAL!$I$5:$I$2004,(MAX(HISTORIAL!$A$5:$A$2004)-13))="","",INDEX(HISTORIAL!$I$5:$I$2004,(MAX(HISTORIAL!$A$5:$A$2004)-13))))</f>
        <v/>
      </c>
      <c r="G54" s="27" t="str">
        <f aca="false">IF((MAX(HISTORIAL!$A$5:$A$2004)-13)&lt;1,"",IF(INDEX(HISTORIAL!$J$5:$J$2004,(MAX(HISTORIAL!$A$5:$A$2004)-13))="","",INDEX(HISTORIAL!$J$5:$J$2004,(MAX(HISTORIAL!$A$5:$A$2004)-13))))</f>
        <v/>
      </c>
      <c r="H54" s="18" t="str">
        <f aca="false">IF((MAX(HISTORIAL!$A$5:$A$2004)-13)&lt;1,"",IF(INDEX(HISTORIAL!$K$5:$K$2004,(MAX(HISTORIAL!$A$5:$A$2004)-13))="","",INDEX(HISTORIAL!$K$5:$K$2004,(MAX(HISTORIAL!$A$5:$A$2004)-13))))</f>
        <v/>
      </c>
      <c r="I54" s="18" t="str">
        <f aca="false">IF((MAX(HISTORIAL!$A$5:$A$2004)-13)&lt;1,"",IF(INDEX(HISTORIAL!$L$5:$L$2004,(MAX(HISTORIAL!$A$5:$A$2004)-13))="","",INDEX(HISTORIAL!$L$5:$L$2004,(MAX(HISTORIAL!$A$5:$A$2004)-13))))</f>
        <v/>
      </c>
      <c r="J54" s="30" t="str">
        <f aca="false">IF((MAX(HISTORIAL!$A$5:$A$2004)-13)&lt;1,"",IF(INDEX(HISTORIAL!$M$5:$M$2004,(MAX(HISTORIAL!$A$5:$A$2004)-13))="","",INDEX(HISTORIAL!$M$5:$M$2004,(MAX(HISTORIAL!$A$5:$A$2004)-13))))</f>
        <v/>
      </c>
      <c r="K54" s="18" t="str">
        <f aca="false">IF((MAX(HISTORIAL!$A$5:$A$2004)-13)&lt;1,"",IF(INDEX(HISTORIAL!$P$5:$P$2004,(MAX(HISTORIAL!$A$5:$A$2004)-13))="","",INDEX(HISTORIAL!$P$5:$P$2004,(MAX(HISTORIAL!$A$5:$A$2004)-13))))</f>
        <v/>
      </c>
      <c r="L54" s="18" t="str">
        <f aca="false">IF((MAX(HISTORIAL!$A$5:$A$2004)-13)&lt;1,"",IF(INDEX(HISTORIAL!$U$5:$U$2004,(MAX(HISTORIAL!$A$5:$A$2004)-13))="","",INDEX(HISTORIAL!$U$5:$U$2004,(MAX(HISTORIAL!$A$5:$A$2004)-13))))</f>
        <v/>
      </c>
    </row>
    <row r="55" customFormat="false" ht="15" hidden="false" customHeight="true" outlineLevel="0" collapsed="false">
      <c r="A55" s="28" t="str">
        <f aca="false">IF((MAX(HISTORIAL!$A$5:$A$2004)-14)&lt;1,"",IF(INDEX(HISTORIAL!$B$5:$B$2004,(MAX(HISTORIAL!$A$5:$A$2004)-14))="","",INDEX(HISTORIAL!$B$5:$B$2004,(MAX(HISTORIAL!$A$5:$A$2004)-14))))</f>
        <v/>
      </c>
      <c r="B55" s="18" t="str">
        <f aca="false">IF((MAX(HISTORIAL!$A$5:$A$2004)-14)&lt;1,"",IF(INDEX(HISTORIAL!$D$5:$D$2004,(MAX(HISTORIAL!$A$5:$A$2004)-14))="","",INDEX(HISTORIAL!$D$5:$D$2004,(MAX(HISTORIAL!$A$5:$A$2004)-14))))</f>
        <v/>
      </c>
      <c r="C55" s="18" t="str">
        <f aca="false">IF((MAX(HISTORIAL!$A$5:$A$2004)-14)&lt;1,"",IF(INDEX(HISTORIAL!$E$5:$E$2004,(MAX(HISTORIAL!$A$5:$A$2004)-14))="","",INDEX(HISTORIAL!$E$5:$E$2004,(MAX(HISTORIAL!$A$5:$A$2004)-14))))</f>
        <v/>
      </c>
      <c r="D55" s="18" t="str">
        <f aca="false">IF((MAX(HISTORIAL!$A$5:$A$2004)-14)&lt;1,"",IF(INDEX(HISTORIAL!$F$5:$F$2004,(MAX(HISTORIAL!$A$5:$A$2004)-14))="","",INDEX(HISTORIAL!$F$5:$F$2004,(MAX(HISTORIAL!$A$5:$A$2004)-14))))</f>
        <v/>
      </c>
      <c r="E55" s="18" t="str">
        <f aca="false">IF((MAX(HISTORIAL!$A$5:$A$2004)-14)&lt;1,"",IF(INDEX(HISTORIAL!$G$5:$G$2004,(MAX(HISTORIAL!$A$5:$A$2004)-14))="","",INDEX(HISTORIAL!$G$5:$G$2004,(MAX(HISTORIAL!$A$5:$A$2004)-14))))</f>
        <v/>
      </c>
      <c r="F55" s="18" t="str">
        <f aca="false">IF((MAX(HISTORIAL!$A$5:$A$2004)-14)&lt;1,"",IF(INDEX(HISTORIAL!$I$5:$I$2004,(MAX(HISTORIAL!$A$5:$A$2004)-14))="","",INDEX(HISTORIAL!$I$5:$I$2004,(MAX(HISTORIAL!$A$5:$A$2004)-14))))</f>
        <v/>
      </c>
      <c r="G55" s="27" t="str">
        <f aca="false">IF((MAX(HISTORIAL!$A$5:$A$2004)-14)&lt;1,"",IF(INDEX(HISTORIAL!$J$5:$J$2004,(MAX(HISTORIAL!$A$5:$A$2004)-14))="","",INDEX(HISTORIAL!$J$5:$J$2004,(MAX(HISTORIAL!$A$5:$A$2004)-14))))</f>
        <v/>
      </c>
      <c r="H55" s="18" t="str">
        <f aca="false">IF((MAX(HISTORIAL!$A$5:$A$2004)-14)&lt;1,"",IF(INDEX(HISTORIAL!$K$5:$K$2004,(MAX(HISTORIAL!$A$5:$A$2004)-14))="","",INDEX(HISTORIAL!$K$5:$K$2004,(MAX(HISTORIAL!$A$5:$A$2004)-14))))</f>
        <v/>
      </c>
      <c r="I55" s="18" t="str">
        <f aca="false">IF((MAX(HISTORIAL!$A$5:$A$2004)-14)&lt;1,"",IF(INDEX(HISTORIAL!$L$5:$L$2004,(MAX(HISTORIAL!$A$5:$A$2004)-14))="","",INDEX(HISTORIAL!$L$5:$L$2004,(MAX(HISTORIAL!$A$5:$A$2004)-14))))</f>
        <v/>
      </c>
      <c r="J55" s="30" t="str">
        <f aca="false">IF((MAX(HISTORIAL!$A$5:$A$2004)-14)&lt;1,"",IF(INDEX(HISTORIAL!$M$5:$M$2004,(MAX(HISTORIAL!$A$5:$A$2004)-14))="","",INDEX(HISTORIAL!$M$5:$M$2004,(MAX(HISTORIAL!$A$5:$A$2004)-14))))</f>
        <v/>
      </c>
      <c r="K55" s="18" t="str">
        <f aca="false">IF((MAX(HISTORIAL!$A$5:$A$2004)-14)&lt;1,"",IF(INDEX(HISTORIAL!$P$5:$P$2004,(MAX(HISTORIAL!$A$5:$A$2004)-14))="","",INDEX(HISTORIAL!$P$5:$P$2004,(MAX(HISTORIAL!$A$5:$A$2004)-14))))</f>
        <v/>
      </c>
      <c r="L55" s="18" t="str">
        <f aca="false">IF((MAX(HISTORIAL!$A$5:$A$2004)-14)&lt;1,"",IF(INDEX(HISTORIAL!$U$5:$U$2004,(MAX(HISTORIAL!$A$5:$A$2004)-14))="","",INDEX(HISTORIAL!$U$5:$U$2004,(MAX(HISTORIAL!$A$5:$A$2004)-14))))</f>
        <v/>
      </c>
    </row>
    <row r="56" customFormat="false" ht="15" hidden="false" customHeight="true" outlineLevel="0" collapsed="false">
      <c r="A56" s="28" t="str">
        <f aca="false">IF((MAX(HISTORIAL!$A$5:$A$2004)-15)&lt;1,"",IF(INDEX(HISTORIAL!$B$5:$B$2004,(MAX(HISTORIAL!$A$5:$A$2004)-15))="","",INDEX(HISTORIAL!$B$5:$B$2004,(MAX(HISTORIAL!$A$5:$A$2004)-15))))</f>
        <v/>
      </c>
      <c r="B56" s="18" t="str">
        <f aca="false">IF((MAX(HISTORIAL!$A$5:$A$2004)-15)&lt;1,"",IF(INDEX(HISTORIAL!$D$5:$D$2004,(MAX(HISTORIAL!$A$5:$A$2004)-15))="","",INDEX(HISTORIAL!$D$5:$D$2004,(MAX(HISTORIAL!$A$5:$A$2004)-15))))</f>
        <v/>
      </c>
      <c r="C56" s="18" t="str">
        <f aca="false">IF((MAX(HISTORIAL!$A$5:$A$2004)-15)&lt;1,"",IF(INDEX(HISTORIAL!$E$5:$E$2004,(MAX(HISTORIAL!$A$5:$A$2004)-15))="","",INDEX(HISTORIAL!$E$5:$E$2004,(MAX(HISTORIAL!$A$5:$A$2004)-15))))</f>
        <v/>
      </c>
      <c r="D56" s="18" t="str">
        <f aca="false">IF((MAX(HISTORIAL!$A$5:$A$2004)-15)&lt;1,"",IF(INDEX(HISTORIAL!$F$5:$F$2004,(MAX(HISTORIAL!$A$5:$A$2004)-15))="","",INDEX(HISTORIAL!$F$5:$F$2004,(MAX(HISTORIAL!$A$5:$A$2004)-15))))</f>
        <v/>
      </c>
      <c r="E56" s="18" t="str">
        <f aca="false">IF((MAX(HISTORIAL!$A$5:$A$2004)-15)&lt;1,"",IF(INDEX(HISTORIAL!$G$5:$G$2004,(MAX(HISTORIAL!$A$5:$A$2004)-15))="","",INDEX(HISTORIAL!$G$5:$G$2004,(MAX(HISTORIAL!$A$5:$A$2004)-15))))</f>
        <v/>
      </c>
      <c r="F56" s="18" t="str">
        <f aca="false">IF((MAX(HISTORIAL!$A$5:$A$2004)-15)&lt;1,"",IF(INDEX(HISTORIAL!$I$5:$I$2004,(MAX(HISTORIAL!$A$5:$A$2004)-15))="","",INDEX(HISTORIAL!$I$5:$I$2004,(MAX(HISTORIAL!$A$5:$A$2004)-15))))</f>
        <v/>
      </c>
      <c r="G56" s="27" t="str">
        <f aca="false">IF((MAX(HISTORIAL!$A$5:$A$2004)-15)&lt;1,"",IF(INDEX(HISTORIAL!$J$5:$J$2004,(MAX(HISTORIAL!$A$5:$A$2004)-15))="","",INDEX(HISTORIAL!$J$5:$J$2004,(MAX(HISTORIAL!$A$5:$A$2004)-15))))</f>
        <v/>
      </c>
      <c r="H56" s="18" t="str">
        <f aca="false">IF((MAX(HISTORIAL!$A$5:$A$2004)-15)&lt;1,"",IF(INDEX(HISTORIAL!$K$5:$K$2004,(MAX(HISTORIAL!$A$5:$A$2004)-15))="","",INDEX(HISTORIAL!$K$5:$K$2004,(MAX(HISTORIAL!$A$5:$A$2004)-15))))</f>
        <v/>
      </c>
      <c r="I56" s="18" t="str">
        <f aca="false">IF((MAX(HISTORIAL!$A$5:$A$2004)-15)&lt;1,"",IF(INDEX(HISTORIAL!$L$5:$L$2004,(MAX(HISTORIAL!$A$5:$A$2004)-15))="","",INDEX(HISTORIAL!$L$5:$L$2004,(MAX(HISTORIAL!$A$5:$A$2004)-15))))</f>
        <v/>
      </c>
      <c r="J56" s="30" t="str">
        <f aca="false">IF((MAX(HISTORIAL!$A$5:$A$2004)-15)&lt;1,"",IF(INDEX(HISTORIAL!$M$5:$M$2004,(MAX(HISTORIAL!$A$5:$A$2004)-15))="","",INDEX(HISTORIAL!$M$5:$M$2004,(MAX(HISTORIAL!$A$5:$A$2004)-15))))</f>
        <v/>
      </c>
      <c r="K56" s="18" t="str">
        <f aca="false">IF((MAX(HISTORIAL!$A$5:$A$2004)-15)&lt;1,"",IF(INDEX(HISTORIAL!$P$5:$P$2004,(MAX(HISTORIAL!$A$5:$A$2004)-15))="","",INDEX(HISTORIAL!$P$5:$P$2004,(MAX(HISTORIAL!$A$5:$A$2004)-15))))</f>
        <v/>
      </c>
      <c r="L56" s="18" t="str">
        <f aca="false">IF((MAX(HISTORIAL!$A$5:$A$2004)-15)&lt;1,"",IF(INDEX(HISTORIAL!$U$5:$U$2004,(MAX(HISTORIAL!$A$5:$A$2004)-15))="","",INDEX(HISTORIAL!$U$5:$U$2004,(MAX(HISTORIAL!$A$5:$A$2004)-15))))</f>
        <v/>
      </c>
    </row>
    <row r="57" customFormat="false" ht="15" hidden="false" customHeight="true" outlineLevel="0" collapsed="false">
      <c r="A57" s="28" t="str">
        <f aca="false">IF((MAX(HISTORIAL!$A$5:$A$2004)-16)&lt;1,"",IF(INDEX(HISTORIAL!$B$5:$B$2004,(MAX(HISTORIAL!$A$5:$A$2004)-16))="","",INDEX(HISTORIAL!$B$5:$B$2004,(MAX(HISTORIAL!$A$5:$A$2004)-16))))</f>
        <v/>
      </c>
      <c r="B57" s="18" t="str">
        <f aca="false">IF((MAX(HISTORIAL!$A$5:$A$2004)-16)&lt;1,"",IF(INDEX(HISTORIAL!$D$5:$D$2004,(MAX(HISTORIAL!$A$5:$A$2004)-16))="","",INDEX(HISTORIAL!$D$5:$D$2004,(MAX(HISTORIAL!$A$5:$A$2004)-16))))</f>
        <v/>
      </c>
      <c r="C57" s="18" t="str">
        <f aca="false">IF((MAX(HISTORIAL!$A$5:$A$2004)-16)&lt;1,"",IF(INDEX(HISTORIAL!$E$5:$E$2004,(MAX(HISTORIAL!$A$5:$A$2004)-16))="","",INDEX(HISTORIAL!$E$5:$E$2004,(MAX(HISTORIAL!$A$5:$A$2004)-16))))</f>
        <v/>
      </c>
      <c r="D57" s="18" t="str">
        <f aca="false">IF((MAX(HISTORIAL!$A$5:$A$2004)-16)&lt;1,"",IF(INDEX(HISTORIAL!$F$5:$F$2004,(MAX(HISTORIAL!$A$5:$A$2004)-16))="","",INDEX(HISTORIAL!$F$5:$F$2004,(MAX(HISTORIAL!$A$5:$A$2004)-16))))</f>
        <v/>
      </c>
      <c r="E57" s="18" t="str">
        <f aca="false">IF((MAX(HISTORIAL!$A$5:$A$2004)-16)&lt;1,"",IF(INDEX(HISTORIAL!$G$5:$G$2004,(MAX(HISTORIAL!$A$5:$A$2004)-16))="","",INDEX(HISTORIAL!$G$5:$G$2004,(MAX(HISTORIAL!$A$5:$A$2004)-16))))</f>
        <v/>
      </c>
      <c r="F57" s="18" t="str">
        <f aca="false">IF((MAX(HISTORIAL!$A$5:$A$2004)-16)&lt;1,"",IF(INDEX(HISTORIAL!$I$5:$I$2004,(MAX(HISTORIAL!$A$5:$A$2004)-16))="","",INDEX(HISTORIAL!$I$5:$I$2004,(MAX(HISTORIAL!$A$5:$A$2004)-16))))</f>
        <v/>
      </c>
      <c r="G57" s="27" t="str">
        <f aca="false">IF((MAX(HISTORIAL!$A$5:$A$2004)-16)&lt;1,"",IF(INDEX(HISTORIAL!$J$5:$J$2004,(MAX(HISTORIAL!$A$5:$A$2004)-16))="","",INDEX(HISTORIAL!$J$5:$J$2004,(MAX(HISTORIAL!$A$5:$A$2004)-16))))</f>
        <v/>
      </c>
      <c r="H57" s="18" t="str">
        <f aca="false">IF((MAX(HISTORIAL!$A$5:$A$2004)-16)&lt;1,"",IF(INDEX(HISTORIAL!$K$5:$K$2004,(MAX(HISTORIAL!$A$5:$A$2004)-16))="","",INDEX(HISTORIAL!$K$5:$K$2004,(MAX(HISTORIAL!$A$5:$A$2004)-16))))</f>
        <v/>
      </c>
      <c r="I57" s="18" t="str">
        <f aca="false">IF((MAX(HISTORIAL!$A$5:$A$2004)-16)&lt;1,"",IF(INDEX(HISTORIAL!$L$5:$L$2004,(MAX(HISTORIAL!$A$5:$A$2004)-16))="","",INDEX(HISTORIAL!$L$5:$L$2004,(MAX(HISTORIAL!$A$5:$A$2004)-16))))</f>
        <v/>
      </c>
      <c r="J57" s="30" t="str">
        <f aca="false">IF((MAX(HISTORIAL!$A$5:$A$2004)-16)&lt;1,"",IF(INDEX(HISTORIAL!$M$5:$M$2004,(MAX(HISTORIAL!$A$5:$A$2004)-16))="","",INDEX(HISTORIAL!$M$5:$M$2004,(MAX(HISTORIAL!$A$5:$A$2004)-16))))</f>
        <v/>
      </c>
      <c r="K57" s="18" t="str">
        <f aca="false">IF((MAX(HISTORIAL!$A$5:$A$2004)-16)&lt;1,"",IF(INDEX(HISTORIAL!$P$5:$P$2004,(MAX(HISTORIAL!$A$5:$A$2004)-16))="","",INDEX(HISTORIAL!$P$5:$P$2004,(MAX(HISTORIAL!$A$5:$A$2004)-16))))</f>
        <v/>
      </c>
      <c r="L57" s="18" t="str">
        <f aca="false">IF((MAX(HISTORIAL!$A$5:$A$2004)-16)&lt;1,"",IF(INDEX(HISTORIAL!$U$5:$U$2004,(MAX(HISTORIAL!$A$5:$A$2004)-16))="","",INDEX(HISTORIAL!$U$5:$U$2004,(MAX(HISTORIAL!$A$5:$A$2004)-16))))</f>
        <v/>
      </c>
    </row>
    <row r="58" customFormat="false" ht="15" hidden="false" customHeight="true" outlineLevel="0" collapsed="false">
      <c r="A58" s="28" t="str">
        <f aca="false">IF((MAX(HISTORIAL!$A$5:$A$2004)-17)&lt;1,"",IF(INDEX(HISTORIAL!$B$5:$B$2004,(MAX(HISTORIAL!$A$5:$A$2004)-17))="","",INDEX(HISTORIAL!$B$5:$B$2004,(MAX(HISTORIAL!$A$5:$A$2004)-17))))</f>
        <v/>
      </c>
      <c r="B58" s="18" t="str">
        <f aca="false">IF((MAX(HISTORIAL!$A$5:$A$2004)-17)&lt;1,"",IF(INDEX(HISTORIAL!$D$5:$D$2004,(MAX(HISTORIAL!$A$5:$A$2004)-17))="","",INDEX(HISTORIAL!$D$5:$D$2004,(MAX(HISTORIAL!$A$5:$A$2004)-17))))</f>
        <v/>
      </c>
      <c r="C58" s="18" t="str">
        <f aca="false">IF((MAX(HISTORIAL!$A$5:$A$2004)-17)&lt;1,"",IF(INDEX(HISTORIAL!$E$5:$E$2004,(MAX(HISTORIAL!$A$5:$A$2004)-17))="","",INDEX(HISTORIAL!$E$5:$E$2004,(MAX(HISTORIAL!$A$5:$A$2004)-17))))</f>
        <v/>
      </c>
      <c r="D58" s="18" t="str">
        <f aca="false">IF((MAX(HISTORIAL!$A$5:$A$2004)-17)&lt;1,"",IF(INDEX(HISTORIAL!$F$5:$F$2004,(MAX(HISTORIAL!$A$5:$A$2004)-17))="","",INDEX(HISTORIAL!$F$5:$F$2004,(MAX(HISTORIAL!$A$5:$A$2004)-17))))</f>
        <v/>
      </c>
      <c r="E58" s="18" t="str">
        <f aca="false">IF((MAX(HISTORIAL!$A$5:$A$2004)-17)&lt;1,"",IF(INDEX(HISTORIAL!$G$5:$G$2004,(MAX(HISTORIAL!$A$5:$A$2004)-17))="","",INDEX(HISTORIAL!$G$5:$G$2004,(MAX(HISTORIAL!$A$5:$A$2004)-17))))</f>
        <v/>
      </c>
      <c r="F58" s="18" t="str">
        <f aca="false">IF((MAX(HISTORIAL!$A$5:$A$2004)-17)&lt;1,"",IF(INDEX(HISTORIAL!$I$5:$I$2004,(MAX(HISTORIAL!$A$5:$A$2004)-17))="","",INDEX(HISTORIAL!$I$5:$I$2004,(MAX(HISTORIAL!$A$5:$A$2004)-17))))</f>
        <v/>
      </c>
      <c r="G58" s="27" t="str">
        <f aca="false">IF((MAX(HISTORIAL!$A$5:$A$2004)-17)&lt;1,"",IF(INDEX(HISTORIAL!$J$5:$J$2004,(MAX(HISTORIAL!$A$5:$A$2004)-17))="","",INDEX(HISTORIAL!$J$5:$J$2004,(MAX(HISTORIAL!$A$5:$A$2004)-17))))</f>
        <v/>
      </c>
      <c r="H58" s="18" t="str">
        <f aca="false">IF((MAX(HISTORIAL!$A$5:$A$2004)-17)&lt;1,"",IF(INDEX(HISTORIAL!$K$5:$K$2004,(MAX(HISTORIAL!$A$5:$A$2004)-17))="","",INDEX(HISTORIAL!$K$5:$K$2004,(MAX(HISTORIAL!$A$5:$A$2004)-17))))</f>
        <v/>
      </c>
      <c r="I58" s="18" t="str">
        <f aca="false">IF((MAX(HISTORIAL!$A$5:$A$2004)-17)&lt;1,"",IF(INDEX(HISTORIAL!$L$5:$L$2004,(MAX(HISTORIAL!$A$5:$A$2004)-17))="","",INDEX(HISTORIAL!$L$5:$L$2004,(MAX(HISTORIAL!$A$5:$A$2004)-17))))</f>
        <v/>
      </c>
      <c r="J58" s="30" t="str">
        <f aca="false">IF((MAX(HISTORIAL!$A$5:$A$2004)-17)&lt;1,"",IF(INDEX(HISTORIAL!$M$5:$M$2004,(MAX(HISTORIAL!$A$5:$A$2004)-17))="","",INDEX(HISTORIAL!$M$5:$M$2004,(MAX(HISTORIAL!$A$5:$A$2004)-17))))</f>
        <v/>
      </c>
      <c r="K58" s="18" t="str">
        <f aca="false">IF((MAX(HISTORIAL!$A$5:$A$2004)-17)&lt;1,"",IF(INDEX(HISTORIAL!$P$5:$P$2004,(MAX(HISTORIAL!$A$5:$A$2004)-17))="","",INDEX(HISTORIAL!$P$5:$P$2004,(MAX(HISTORIAL!$A$5:$A$2004)-17))))</f>
        <v/>
      </c>
      <c r="L58" s="18" t="str">
        <f aca="false">IF((MAX(HISTORIAL!$A$5:$A$2004)-17)&lt;1,"",IF(INDEX(HISTORIAL!$U$5:$U$2004,(MAX(HISTORIAL!$A$5:$A$2004)-17))="","",INDEX(HISTORIAL!$U$5:$U$2004,(MAX(HISTORIAL!$A$5:$A$2004)-17))))</f>
        <v/>
      </c>
    </row>
    <row r="59" customFormat="false" ht="15" hidden="false" customHeight="true" outlineLevel="0" collapsed="false">
      <c r="A59" s="28" t="str">
        <f aca="false">IF((MAX(HISTORIAL!$A$5:$A$2004)-18)&lt;1,"",IF(INDEX(HISTORIAL!$B$5:$B$2004,(MAX(HISTORIAL!$A$5:$A$2004)-18))="","",INDEX(HISTORIAL!$B$5:$B$2004,(MAX(HISTORIAL!$A$5:$A$2004)-18))))</f>
        <v/>
      </c>
      <c r="B59" s="18" t="str">
        <f aca="false">IF((MAX(HISTORIAL!$A$5:$A$2004)-18)&lt;1,"",IF(INDEX(HISTORIAL!$D$5:$D$2004,(MAX(HISTORIAL!$A$5:$A$2004)-18))="","",INDEX(HISTORIAL!$D$5:$D$2004,(MAX(HISTORIAL!$A$5:$A$2004)-18))))</f>
        <v/>
      </c>
      <c r="C59" s="18" t="str">
        <f aca="false">IF((MAX(HISTORIAL!$A$5:$A$2004)-18)&lt;1,"",IF(INDEX(HISTORIAL!$E$5:$E$2004,(MAX(HISTORIAL!$A$5:$A$2004)-18))="","",INDEX(HISTORIAL!$E$5:$E$2004,(MAX(HISTORIAL!$A$5:$A$2004)-18))))</f>
        <v/>
      </c>
      <c r="D59" s="18" t="str">
        <f aca="false">IF((MAX(HISTORIAL!$A$5:$A$2004)-18)&lt;1,"",IF(INDEX(HISTORIAL!$F$5:$F$2004,(MAX(HISTORIAL!$A$5:$A$2004)-18))="","",INDEX(HISTORIAL!$F$5:$F$2004,(MAX(HISTORIAL!$A$5:$A$2004)-18))))</f>
        <v/>
      </c>
      <c r="E59" s="18" t="str">
        <f aca="false">IF((MAX(HISTORIAL!$A$5:$A$2004)-18)&lt;1,"",IF(INDEX(HISTORIAL!$G$5:$G$2004,(MAX(HISTORIAL!$A$5:$A$2004)-18))="","",INDEX(HISTORIAL!$G$5:$G$2004,(MAX(HISTORIAL!$A$5:$A$2004)-18))))</f>
        <v/>
      </c>
      <c r="F59" s="18" t="str">
        <f aca="false">IF((MAX(HISTORIAL!$A$5:$A$2004)-18)&lt;1,"",IF(INDEX(HISTORIAL!$I$5:$I$2004,(MAX(HISTORIAL!$A$5:$A$2004)-18))="","",INDEX(HISTORIAL!$I$5:$I$2004,(MAX(HISTORIAL!$A$5:$A$2004)-18))))</f>
        <v/>
      </c>
      <c r="G59" s="27" t="str">
        <f aca="false">IF((MAX(HISTORIAL!$A$5:$A$2004)-18)&lt;1,"",IF(INDEX(HISTORIAL!$J$5:$J$2004,(MAX(HISTORIAL!$A$5:$A$2004)-18))="","",INDEX(HISTORIAL!$J$5:$J$2004,(MAX(HISTORIAL!$A$5:$A$2004)-18))))</f>
        <v/>
      </c>
      <c r="H59" s="18" t="str">
        <f aca="false">IF((MAX(HISTORIAL!$A$5:$A$2004)-18)&lt;1,"",IF(INDEX(HISTORIAL!$K$5:$K$2004,(MAX(HISTORIAL!$A$5:$A$2004)-18))="","",INDEX(HISTORIAL!$K$5:$K$2004,(MAX(HISTORIAL!$A$5:$A$2004)-18))))</f>
        <v/>
      </c>
      <c r="I59" s="18" t="str">
        <f aca="false">IF((MAX(HISTORIAL!$A$5:$A$2004)-18)&lt;1,"",IF(INDEX(HISTORIAL!$L$5:$L$2004,(MAX(HISTORIAL!$A$5:$A$2004)-18))="","",INDEX(HISTORIAL!$L$5:$L$2004,(MAX(HISTORIAL!$A$5:$A$2004)-18))))</f>
        <v/>
      </c>
      <c r="J59" s="30" t="str">
        <f aca="false">IF((MAX(HISTORIAL!$A$5:$A$2004)-18)&lt;1,"",IF(INDEX(HISTORIAL!$M$5:$M$2004,(MAX(HISTORIAL!$A$5:$A$2004)-18))="","",INDEX(HISTORIAL!$M$5:$M$2004,(MAX(HISTORIAL!$A$5:$A$2004)-18))))</f>
        <v/>
      </c>
      <c r="K59" s="18" t="str">
        <f aca="false">IF((MAX(HISTORIAL!$A$5:$A$2004)-18)&lt;1,"",IF(INDEX(HISTORIAL!$P$5:$P$2004,(MAX(HISTORIAL!$A$5:$A$2004)-18))="","",INDEX(HISTORIAL!$P$5:$P$2004,(MAX(HISTORIAL!$A$5:$A$2004)-18))))</f>
        <v/>
      </c>
      <c r="L59" s="18" t="str">
        <f aca="false">IF((MAX(HISTORIAL!$A$5:$A$2004)-18)&lt;1,"",IF(INDEX(HISTORIAL!$U$5:$U$2004,(MAX(HISTORIAL!$A$5:$A$2004)-18))="","",INDEX(HISTORIAL!$U$5:$U$2004,(MAX(HISTORIAL!$A$5:$A$2004)-18))))</f>
        <v/>
      </c>
    </row>
    <row r="60" customFormat="false" ht="15" hidden="false" customHeight="true" outlineLevel="0" collapsed="false">
      <c r="A60" s="28" t="str">
        <f aca="false">IF((MAX(HISTORIAL!$A$5:$A$2004)-19)&lt;1,"",IF(INDEX(HISTORIAL!$B$5:$B$2004,(MAX(HISTORIAL!$A$5:$A$2004)-19))="","",INDEX(HISTORIAL!$B$5:$B$2004,(MAX(HISTORIAL!$A$5:$A$2004)-19))))</f>
        <v/>
      </c>
      <c r="B60" s="18" t="str">
        <f aca="false">IF((MAX(HISTORIAL!$A$5:$A$2004)-19)&lt;1,"",IF(INDEX(HISTORIAL!$D$5:$D$2004,(MAX(HISTORIAL!$A$5:$A$2004)-19))="","",INDEX(HISTORIAL!$D$5:$D$2004,(MAX(HISTORIAL!$A$5:$A$2004)-19))))</f>
        <v/>
      </c>
      <c r="C60" s="18" t="str">
        <f aca="false">IF((MAX(HISTORIAL!$A$5:$A$2004)-19)&lt;1,"",IF(INDEX(HISTORIAL!$E$5:$E$2004,(MAX(HISTORIAL!$A$5:$A$2004)-19))="","",INDEX(HISTORIAL!$E$5:$E$2004,(MAX(HISTORIAL!$A$5:$A$2004)-19))))</f>
        <v/>
      </c>
      <c r="D60" s="18" t="str">
        <f aca="false">IF((MAX(HISTORIAL!$A$5:$A$2004)-19)&lt;1,"",IF(INDEX(HISTORIAL!$F$5:$F$2004,(MAX(HISTORIAL!$A$5:$A$2004)-19))="","",INDEX(HISTORIAL!$F$5:$F$2004,(MAX(HISTORIAL!$A$5:$A$2004)-19))))</f>
        <v/>
      </c>
      <c r="E60" s="18" t="str">
        <f aca="false">IF((MAX(HISTORIAL!$A$5:$A$2004)-19)&lt;1,"",IF(INDEX(HISTORIAL!$G$5:$G$2004,(MAX(HISTORIAL!$A$5:$A$2004)-19))="","",INDEX(HISTORIAL!$G$5:$G$2004,(MAX(HISTORIAL!$A$5:$A$2004)-19))))</f>
        <v/>
      </c>
      <c r="F60" s="18" t="str">
        <f aca="false">IF((MAX(HISTORIAL!$A$5:$A$2004)-19)&lt;1,"",IF(INDEX(HISTORIAL!$I$5:$I$2004,(MAX(HISTORIAL!$A$5:$A$2004)-19))="","",INDEX(HISTORIAL!$I$5:$I$2004,(MAX(HISTORIAL!$A$5:$A$2004)-19))))</f>
        <v/>
      </c>
      <c r="G60" s="27" t="str">
        <f aca="false">IF((MAX(HISTORIAL!$A$5:$A$2004)-19)&lt;1,"",IF(INDEX(HISTORIAL!$J$5:$J$2004,(MAX(HISTORIAL!$A$5:$A$2004)-19))="","",INDEX(HISTORIAL!$J$5:$J$2004,(MAX(HISTORIAL!$A$5:$A$2004)-19))))</f>
        <v/>
      </c>
      <c r="H60" s="18" t="str">
        <f aca="false">IF((MAX(HISTORIAL!$A$5:$A$2004)-19)&lt;1,"",IF(INDEX(HISTORIAL!$K$5:$K$2004,(MAX(HISTORIAL!$A$5:$A$2004)-19))="","",INDEX(HISTORIAL!$K$5:$K$2004,(MAX(HISTORIAL!$A$5:$A$2004)-19))))</f>
        <v/>
      </c>
      <c r="I60" s="18" t="str">
        <f aca="false">IF((MAX(HISTORIAL!$A$5:$A$2004)-19)&lt;1,"",IF(INDEX(HISTORIAL!$L$5:$L$2004,(MAX(HISTORIAL!$A$5:$A$2004)-19))="","",INDEX(HISTORIAL!$L$5:$L$2004,(MAX(HISTORIAL!$A$5:$A$2004)-19))))</f>
        <v/>
      </c>
      <c r="J60" s="30" t="str">
        <f aca="false">IF((MAX(HISTORIAL!$A$5:$A$2004)-19)&lt;1,"",IF(INDEX(HISTORIAL!$M$5:$M$2004,(MAX(HISTORIAL!$A$5:$A$2004)-19))="","",INDEX(HISTORIAL!$M$5:$M$2004,(MAX(HISTORIAL!$A$5:$A$2004)-19))))</f>
        <v/>
      </c>
      <c r="K60" s="18" t="str">
        <f aca="false">IF((MAX(HISTORIAL!$A$5:$A$2004)-19)&lt;1,"",IF(INDEX(HISTORIAL!$P$5:$P$2004,(MAX(HISTORIAL!$A$5:$A$2004)-19))="","",INDEX(HISTORIAL!$P$5:$P$2004,(MAX(HISTORIAL!$A$5:$A$2004)-19))))</f>
        <v/>
      </c>
      <c r="L60" s="18" t="str">
        <f aca="false">IF((MAX(HISTORIAL!$A$5:$A$2004)-19)&lt;1,"",IF(INDEX(HISTORIAL!$U$5:$U$2004,(MAX(HISTORIAL!$A$5:$A$2004)-19))="","",INDEX(HISTORIAL!$U$5:$U$2004,(MAX(HISTORIAL!$A$5:$A$2004)-19))))</f>
        <v/>
      </c>
    </row>
    <row r="61" customFormat="false" ht="15" hidden="false" customHeight="true" outlineLevel="0" collapsed="false">
      <c r="A61" s="28" t="str">
        <f aca="false">IF((MAX(HISTORIAL!$A$5:$A$2004)-20)&lt;1,"",IF(INDEX(HISTORIAL!$B$5:$B$2004,(MAX(HISTORIAL!$A$5:$A$2004)-20))="","",INDEX(HISTORIAL!$B$5:$B$2004,(MAX(HISTORIAL!$A$5:$A$2004)-20))))</f>
        <v/>
      </c>
      <c r="B61" s="18" t="str">
        <f aca="false">IF((MAX(HISTORIAL!$A$5:$A$2004)-20)&lt;1,"",IF(INDEX(HISTORIAL!$D$5:$D$2004,(MAX(HISTORIAL!$A$5:$A$2004)-20))="","",INDEX(HISTORIAL!$D$5:$D$2004,(MAX(HISTORIAL!$A$5:$A$2004)-20))))</f>
        <v/>
      </c>
      <c r="C61" s="18" t="str">
        <f aca="false">IF((MAX(HISTORIAL!$A$5:$A$2004)-20)&lt;1,"",IF(INDEX(HISTORIAL!$E$5:$E$2004,(MAX(HISTORIAL!$A$5:$A$2004)-20))="","",INDEX(HISTORIAL!$E$5:$E$2004,(MAX(HISTORIAL!$A$5:$A$2004)-20))))</f>
        <v/>
      </c>
      <c r="D61" s="18" t="str">
        <f aca="false">IF((MAX(HISTORIAL!$A$5:$A$2004)-20)&lt;1,"",IF(INDEX(HISTORIAL!$F$5:$F$2004,(MAX(HISTORIAL!$A$5:$A$2004)-20))="","",INDEX(HISTORIAL!$F$5:$F$2004,(MAX(HISTORIAL!$A$5:$A$2004)-20))))</f>
        <v/>
      </c>
      <c r="E61" s="18" t="str">
        <f aca="false">IF((MAX(HISTORIAL!$A$5:$A$2004)-20)&lt;1,"",IF(INDEX(HISTORIAL!$G$5:$G$2004,(MAX(HISTORIAL!$A$5:$A$2004)-20))="","",INDEX(HISTORIAL!$G$5:$G$2004,(MAX(HISTORIAL!$A$5:$A$2004)-20))))</f>
        <v/>
      </c>
      <c r="F61" s="18" t="str">
        <f aca="false">IF((MAX(HISTORIAL!$A$5:$A$2004)-20)&lt;1,"",IF(INDEX(HISTORIAL!$I$5:$I$2004,(MAX(HISTORIAL!$A$5:$A$2004)-20))="","",INDEX(HISTORIAL!$I$5:$I$2004,(MAX(HISTORIAL!$A$5:$A$2004)-20))))</f>
        <v/>
      </c>
      <c r="G61" s="27" t="str">
        <f aca="false">IF((MAX(HISTORIAL!$A$5:$A$2004)-20)&lt;1,"",IF(INDEX(HISTORIAL!$J$5:$J$2004,(MAX(HISTORIAL!$A$5:$A$2004)-20))="","",INDEX(HISTORIAL!$J$5:$J$2004,(MAX(HISTORIAL!$A$5:$A$2004)-20))))</f>
        <v/>
      </c>
      <c r="H61" s="18" t="str">
        <f aca="false">IF((MAX(HISTORIAL!$A$5:$A$2004)-20)&lt;1,"",IF(INDEX(HISTORIAL!$K$5:$K$2004,(MAX(HISTORIAL!$A$5:$A$2004)-20))="","",INDEX(HISTORIAL!$K$5:$K$2004,(MAX(HISTORIAL!$A$5:$A$2004)-20))))</f>
        <v/>
      </c>
      <c r="I61" s="18" t="str">
        <f aca="false">IF((MAX(HISTORIAL!$A$5:$A$2004)-20)&lt;1,"",IF(INDEX(HISTORIAL!$L$5:$L$2004,(MAX(HISTORIAL!$A$5:$A$2004)-20))="","",INDEX(HISTORIAL!$L$5:$L$2004,(MAX(HISTORIAL!$A$5:$A$2004)-20))))</f>
        <v/>
      </c>
      <c r="J61" s="30" t="str">
        <f aca="false">IF((MAX(HISTORIAL!$A$5:$A$2004)-20)&lt;1,"",IF(INDEX(HISTORIAL!$M$5:$M$2004,(MAX(HISTORIAL!$A$5:$A$2004)-20))="","",INDEX(HISTORIAL!$M$5:$M$2004,(MAX(HISTORIAL!$A$5:$A$2004)-20))))</f>
        <v/>
      </c>
      <c r="K61" s="18" t="str">
        <f aca="false">IF((MAX(HISTORIAL!$A$5:$A$2004)-20)&lt;1,"",IF(INDEX(HISTORIAL!$P$5:$P$2004,(MAX(HISTORIAL!$A$5:$A$2004)-20))="","",INDEX(HISTORIAL!$P$5:$P$2004,(MAX(HISTORIAL!$A$5:$A$2004)-20))))</f>
        <v/>
      </c>
      <c r="L61" s="18" t="str">
        <f aca="false">IF((MAX(HISTORIAL!$A$5:$A$2004)-20)&lt;1,"",IF(INDEX(HISTORIAL!$U$5:$U$2004,(MAX(HISTORIAL!$A$5:$A$2004)-20))="","",INDEX(HISTORIAL!$U$5:$U$2004,(MAX(HISTORIAL!$A$5:$A$2004)-20))))</f>
        <v/>
      </c>
    </row>
    <row r="62" customFormat="false" ht="15" hidden="false" customHeight="true" outlineLevel="0" collapsed="false">
      <c r="A62" s="28" t="str">
        <f aca="false">IF((MAX(HISTORIAL!$A$5:$A$2004)-21)&lt;1,"",IF(INDEX(HISTORIAL!$B$5:$B$2004,(MAX(HISTORIAL!$A$5:$A$2004)-21))="","",INDEX(HISTORIAL!$B$5:$B$2004,(MAX(HISTORIAL!$A$5:$A$2004)-21))))</f>
        <v/>
      </c>
      <c r="B62" s="18" t="str">
        <f aca="false">IF((MAX(HISTORIAL!$A$5:$A$2004)-21)&lt;1,"",IF(INDEX(HISTORIAL!$D$5:$D$2004,(MAX(HISTORIAL!$A$5:$A$2004)-21))="","",INDEX(HISTORIAL!$D$5:$D$2004,(MAX(HISTORIAL!$A$5:$A$2004)-21))))</f>
        <v/>
      </c>
      <c r="C62" s="18" t="str">
        <f aca="false">IF((MAX(HISTORIAL!$A$5:$A$2004)-21)&lt;1,"",IF(INDEX(HISTORIAL!$E$5:$E$2004,(MAX(HISTORIAL!$A$5:$A$2004)-21))="","",INDEX(HISTORIAL!$E$5:$E$2004,(MAX(HISTORIAL!$A$5:$A$2004)-21))))</f>
        <v/>
      </c>
      <c r="D62" s="18" t="str">
        <f aca="false">IF((MAX(HISTORIAL!$A$5:$A$2004)-21)&lt;1,"",IF(INDEX(HISTORIAL!$F$5:$F$2004,(MAX(HISTORIAL!$A$5:$A$2004)-21))="","",INDEX(HISTORIAL!$F$5:$F$2004,(MAX(HISTORIAL!$A$5:$A$2004)-21))))</f>
        <v/>
      </c>
      <c r="E62" s="18" t="str">
        <f aca="false">IF((MAX(HISTORIAL!$A$5:$A$2004)-21)&lt;1,"",IF(INDEX(HISTORIAL!$G$5:$G$2004,(MAX(HISTORIAL!$A$5:$A$2004)-21))="","",INDEX(HISTORIAL!$G$5:$G$2004,(MAX(HISTORIAL!$A$5:$A$2004)-21))))</f>
        <v/>
      </c>
      <c r="F62" s="18" t="str">
        <f aca="false">IF((MAX(HISTORIAL!$A$5:$A$2004)-21)&lt;1,"",IF(INDEX(HISTORIAL!$I$5:$I$2004,(MAX(HISTORIAL!$A$5:$A$2004)-21))="","",INDEX(HISTORIAL!$I$5:$I$2004,(MAX(HISTORIAL!$A$5:$A$2004)-21))))</f>
        <v/>
      </c>
      <c r="G62" s="27" t="str">
        <f aca="false">IF((MAX(HISTORIAL!$A$5:$A$2004)-21)&lt;1,"",IF(INDEX(HISTORIAL!$J$5:$J$2004,(MAX(HISTORIAL!$A$5:$A$2004)-21))="","",INDEX(HISTORIAL!$J$5:$J$2004,(MAX(HISTORIAL!$A$5:$A$2004)-21))))</f>
        <v/>
      </c>
      <c r="H62" s="18" t="str">
        <f aca="false">IF((MAX(HISTORIAL!$A$5:$A$2004)-21)&lt;1,"",IF(INDEX(HISTORIAL!$K$5:$K$2004,(MAX(HISTORIAL!$A$5:$A$2004)-21))="","",INDEX(HISTORIAL!$K$5:$K$2004,(MAX(HISTORIAL!$A$5:$A$2004)-21))))</f>
        <v/>
      </c>
      <c r="I62" s="18" t="str">
        <f aca="false">IF((MAX(HISTORIAL!$A$5:$A$2004)-21)&lt;1,"",IF(INDEX(HISTORIAL!$L$5:$L$2004,(MAX(HISTORIAL!$A$5:$A$2004)-21))="","",INDEX(HISTORIAL!$L$5:$L$2004,(MAX(HISTORIAL!$A$5:$A$2004)-21))))</f>
        <v/>
      </c>
      <c r="J62" s="30" t="str">
        <f aca="false">IF((MAX(HISTORIAL!$A$5:$A$2004)-21)&lt;1,"",IF(INDEX(HISTORIAL!$M$5:$M$2004,(MAX(HISTORIAL!$A$5:$A$2004)-21))="","",INDEX(HISTORIAL!$M$5:$M$2004,(MAX(HISTORIAL!$A$5:$A$2004)-21))))</f>
        <v/>
      </c>
      <c r="K62" s="18" t="str">
        <f aca="false">IF((MAX(HISTORIAL!$A$5:$A$2004)-21)&lt;1,"",IF(INDEX(HISTORIAL!$P$5:$P$2004,(MAX(HISTORIAL!$A$5:$A$2004)-21))="","",INDEX(HISTORIAL!$P$5:$P$2004,(MAX(HISTORIAL!$A$5:$A$2004)-21))))</f>
        <v/>
      </c>
      <c r="L62" s="18" t="str">
        <f aca="false">IF((MAX(HISTORIAL!$A$5:$A$2004)-21)&lt;1,"",IF(INDEX(HISTORIAL!$U$5:$U$2004,(MAX(HISTORIAL!$A$5:$A$2004)-21))="","",INDEX(HISTORIAL!$U$5:$U$2004,(MAX(HISTORIAL!$A$5:$A$2004)-21))))</f>
        <v/>
      </c>
    </row>
    <row r="63" customFormat="false" ht="15" hidden="false" customHeight="true" outlineLevel="0" collapsed="false">
      <c r="A63" s="28" t="str">
        <f aca="false">IF((MAX(HISTORIAL!$A$5:$A$2004)-22)&lt;1,"",IF(INDEX(HISTORIAL!$B$5:$B$2004,(MAX(HISTORIAL!$A$5:$A$2004)-22))="","",INDEX(HISTORIAL!$B$5:$B$2004,(MAX(HISTORIAL!$A$5:$A$2004)-22))))</f>
        <v/>
      </c>
      <c r="B63" s="18" t="str">
        <f aca="false">IF((MAX(HISTORIAL!$A$5:$A$2004)-22)&lt;1,"",IF(INDEX(HISTORIAL!$D$5:$D$2004,(MAX(HISTORIAL!$A$5:$A$2004)-22))="","",INDEX(HISTORIAL!$D$5:$D$2004,(MAX(HISTORIAL!$A$5:$A$2004)-22))))</f>
        <v/>
      </c>
      <c r="C63" s="18" t="str">
        <f aca="false">IF((MAX(HISTORIAL!$A$5:$A$2004)-22)&lt;1,"",IF(INDEX(HISTORIAL!$E$5:$E$2004,(MAX(HISTORIAL!$A$5:$A$2004)-22))="","",INDEX(HISTORIAL!$E$5:$E$2004,(MAX(HISTORIAL!$A$5:$A$2004)-22))))</f>
        <v/>
      </c>
      <c r="D63" s="18" t="str">
        <f aca="false">IF((MAX(HISTORIAL!$A$5:$A$2004)-22)&lt;1,"",IF(INDEX(HISTORIAL!$F$5:$F$2004,(MAX(HISTORIAL!$A$5:$A$2004)-22))="","",INDEX(HISTORIAL!$F$5:$F$2004,(MAX(HISTORIAL!$A$5:$A$2004)-22))))</f>
        <v/>
      </c>
      <c r="E63" s="18" t="str">
        <f aca="false">IF((MAX(HISTORIAL!$A$5:$A$2004)-22)&lt;1,"",IF(INDEX(HISTORIAL!$G$5:$G$2004,(MAX(HISTORIAL!$A$5:$A$2004)-22))="","",INDEX(HISTORIAL!$G$5:$G$2004,(MAX(HISTORIAL!$A$5:$A$2004)-22))))</f>
        <v/>
      </c>
      <c r="F63" s="18" t="str">
        <f aca="false">IF((MAX(HISTORIAL!$A$5:$A$2004)-22)&lt;1,"",IF(INDEX(HISTORIAL!$I$5:$I$2004,(MAX(HISTORIAL!$A$5:$A$2004)-22))="","",INDEX(HISTORIAL!$I$5:$I$2004,(MAX(HISTORIAL!$A$5:$A$2004)-22))))</f>
        <v/>
      </c>
      <c r="G63" s="27" t="str">
        <f aca="false">IF((MAX(HISTORIAL!$A$5:$A$2004)-22)&lt;1,"",IF(INDEX(HISTORIAL!$J$5:$J$2004,(MAX(HISTORIAL!$A$5:$A$2004)-22))="","",INDEX(HISTORIAL!$J$5:$J$2004,(MAX(HISTORIAL!$A$5:$A$2004)-22))))</f>
        <v/>
      </c>
      <c r="H63" s="18" t="str">
        <f aca="false">IF((MAX(HISTORIAL!$A$5:$A$2004)-22)&lt;1,"",IF(INDEX(HISTORIAL!$K$5:$K$2004,(MAX(HISTORIAL!$A$5:$A$2004)-22))="","",INDEX(HISTORIAL!$K$5:$K$2004,(MAX(HISTORIAL!$A$5:$A$2004)-22))))</f>
        <v/>
      </c>
      <c r="I63" s="18" t="str">
        <f aca="false">IF((MAX(HISTORIAL!$A$5:$A$2004)-22)&lt;1,"",IF(INDEX(HISTORIAL!$L$5:$L$2004,(MAX(HISTORIAL!$A$5:$A$2004)-22))="","",INDEX(HISTORIAL!$L$5:$L$2004,(MAX(HISTORIAL!$A$5:$A$2004)-22))))</f>
        <v/>
      </c>
      <c r="J63" s="30" t="str">
        <f aca="false">IF((MAX(HISTORIAL!$A$5:$A$2004)-22)&lt;1,"",IF(INDEX(HISTORIAL!$M$5:$M$2004,(MAX(HISTORIAL!$A$5:$A$2004)-22))="","",INDEX(HISTORIAL!$M$5:$M$2004,(MAX(HISTORIAL!$A$5:$A$2004)-22))))</f>
        <v/>
      </c>
      <c r="K63" s="18" t="str">
        <f aca="false">IF((MAX(HISTORIAL!$A$5:$A$2004)-22)&lt;1,"",IF(INDEX(HISTORIAL!$P$5:$P$2004,(MAX(HISTORIAL!$A$5:$A$2004)-22))="","",INDEX(HISTORIAL!$P$5:$P$2004,(MAX(HISTORIAL!$A$5:$A$2004)-22))))</f>
        <v/>
      </c>
      <c r="L63" s="18" t="str">
        <f aca="false">IF((MAX(HISTORIAL!$A$5:$A$2004)-22)&lt;1,"",IF(INDEX(HISTORIAL!$U$5:$U$2004,(MAX(HISTORIAL!$A$5:$A$2004)-22))="","",INDEX(HISTORIAL!$U$5:$U$2004,(MAX(HISTORIAL!$A$5:$A$2004)-22))))</f>
        <v/>
      </c>
    </row>
    <row r="64" customFormat="false" ht="15" hidden="false" customHeight="true" outlineLevel="0" collapsed="false">
      <c r="A64" s="28" t="str">
        <f aca="false">IF((MAX(HISTORIAL!$A$5:$A$2004)-23)&lt;1,"",IF(INDEX(HISTORIAL!$B$5:$B$2004,(MAX(HISTORIAL!$A$5:$A$2004)-23))="","",INDEX(HISTORIAL!$B$5:$B$2004,(MAX(HISTORIAL!$A$5:$A$2004)-23))))</f>
        <v/>
      </c>
      <c r="B64" s="18" t="str">
        <f aca="false">IF((MAX(HISTORIAL!$A$5:$A$2004)-23)&lt;1,"",IF(INDEX(HISTORIAL!$D$5:$D$2004,(MAX(HISTORIAL!$A$5:$A$2004)-23))="","",INDEX(HISTORIAL!$D$5:$D$2004,(MAX(HISTORIAL!$A$5:$A$2004)-23))))</f>
        <v/>
      </c>
      <c r="C64" s="18" t="str">
        <f aca="false">IF((MAX(HISTORIAL!$A$5:$A$2004)-23)&lt;1,"",IF(INDEX(HISTORIAL!$E$5:$E$2004,(MAX(HISTORIAL!$A$5:$A$2004)-23))="","",INDEX(HISTORIAL!$E$5:$E$2004,(MAX(HISTORIAL!$A$5:$A$2004)-23))))</f>
        <v/>
      </c>
      <c r="D64" s="18" t="str">
        <f aca="false">IF((MAX(HISTORIAL!$A$5:$A$2004)-23)&lt;1,"",IF(INDEX(HISTORIAL!$F$5:$F$2004,(MAX(HISTORIAL!$A$5:$A$2004)-23))="","",INDEX(HISTORIAL!$F$5:$F$2004,(MAX(HISTORIAL!$A$5:$A$2004)-23))))</f>
        <v/>
      </c>
      <c r="E64" s="18" t="str">
        <f aca="false">IF((MAX(HISTORIAL!$A$5:$A$2004)-23)&lt;1,"",IF(INDEX(HISTORIAL!$G$5:$G$2004,(MAX(HISTORIAL!$A$5:$A$2004)-23))="","",INDEX(HISTORIAL!$G$5:$G$2004,(MAX(HISTORIAL!$A$5:$A$2004)-23))))</f>
        <v/>
      </c>
      <c r="F64" s="18" t="str">
        <f aca="false">IF((MAX(HISTORIAL!$A$5:$A$2004)-23)&lt;1,"",IF(INDEX(HISTORIAL!$I$5:$I$2004,(MAX(HISTORIAL!$A$5:$A$2004)-23))="","",INDEX(HISTORIAL!$I$5:$I$2004,(MAX(HISTORIAL!$A$5:$A$2004)-23))))</f>
        <v/>
      </c>
      <c r="G64" s="27" t="str">
        <f aca="false">IF((MAX(HISTORIAL!$A$5:$A$2004)-23)&lt;1,"",IF(INDEX(HISTORIAL!$J$5:$J$2004,(MAX(HISTORIAL!$A$5:$A$2004)-23))="","",INDEX(HISTORIAL!$J$5:$J$2004,(MAX(HISTORIAL!$A$5:$A$2004)-23))))</f>
        <v/>
      </c>
      <c r="H64" s="18" t="str">
        <f aca="false">IF((MAX(HISTORIAL!$A$5:$A$2004)-23)&lt;1,"",IF(INDEX(HISTORIAL!$K$5:$K$2004,(MAX(HISTORIAL!$A$5:$A$2004)-23))="","",INDEX(HISTORIAL!$K$5:$K$2004,(MAX(HISTORIAL!$A$5:$A$2004)-23))))</f>
        <v/>
      </c>
      <c r="I64" s="18" t="str">
        <f aca="false">IF((MAX(HISTORIAL!$A$5:$A$2004)-23)&lt;1,"",IF(INDEX(HISTORIAL!$L$5:$L$2004,(MAX(HISTORIAL!$A$5:$A$2004)-23))="","",INDEX(HISTORIAL!$L$5:$L$2004,(MAX(HISTORIAL!$A$5:$A$2004)-23))))</f>
        <v/>
      </c>
      <c r="J64" s="30" t="str">
        <f aca="false">IF((MAX(HISTORIAL!$A$5:$A$2004)-23)&lt;1,"",IF(INDEX(HISTORIAL!$M$5:$M$2004,(MAX(HISTORIAL!$A$5:$A$2004)-23))="","",INDEX(HISTORIAL!$M$5:$M$2004,(MAX(HISTORIAL!$A$5:$A$2004)-23))))</f>
        <v/>
      </c>
      <c r="K64" s="18" t="str">
        <f aca="false">IF((MAX(HISTORIAL!$A$5:$A$2004)-23)&lt;1,"",IF(INDEX(HISTORIAL!$P$5:$P$2004,(MAX(HISTORIAL!$A$5:$A$2004)-23))="","",INDEX(HISTORIAL!$P$5:$P$2004,(MAX(HISTORIAL!$A$5:$A$2004)-23))))</f>
        <v/>
      </c>
      <c r="L64" s="18" t="str">
        <f aca="false">IF((MAX(HISTORIAL!$A$5:$A$2004)-23)&lt;1,"",IF(INDEX(HISTORIAL!$U$5:$U$2004,(MAX(HISTORIAL!$A$5:$A$2004)-23))="","",INDEX(HISTORIAL!$U$5:$U$2004,(MAX(HISTORIAL!$A$5:$A$2004)-23))))</f>
        <v/>
      </c>
    </row>
    <row r="65" customFormat="false" ht="15" hidden="false" customHeight="true" outlineLevel="0" collapsed="false">
      <c r="A65" s="28" t="str">
        <f aca="false">IF((MAX(HISTORIAL!$A$5:$A$2004)-24)&lt;1,"",IF(INDEX(HISTORIAL!$B$5:$B$2004,(MAX(HISTORIAL!$A$5:$A$2004)-24))="","",INDEX(HISTORIAL!$B$5:$B$2004,(MAX(HISTORIAL!$A$5:$A$2004)-24))))</f>
        <v/>
      </c>
      <c r="B65" s="18" t="str">
        <f aca="false">IF((MAX(HISTORIAL!$A$5:$A$2004)-24)&lt;1,"",IF(INDEX(HISTORIAL!$D$5:$D$2004,(MAX(HISTORIAL!$A$5:$A$2004)-24))="","",INDEX(HISTORIAL!$D$5:$D$2004,(MAX(HISTORIAL!$A$5:$A$2004)-24))))</f>
        <v/>
      </c>
      <c r="C65" s="18" t="str">
        <f aca="false">IF((MAX(HISTORIAL!$A$5:$A$2004)-24)&lt;1,"",IF(INDEX(HISTORIAL!$E$5:$E$2004,(MAX(HISTORIAL!$A$5:$A$2004)-24))="","",INDEX(HISTORIAL!$E$5:$E$2004,(MAX(HISTORIAL!$A$5:$A$2004)-24))))</f>
        <v/>
      </c>
      <c r="D65" s="18" t="str">
        <f aca="false">IF((MAX(HISTORIAL!$A$5:$A$2004)-24)&lt;1,"",IF(INDEX(HISTORIAL!$F$5:$F$2004,(MAX(HISTORIAL!$A$5:$A$2004)-24))="","",INDEX(HISTORIAL!$F$5:$F$2004,(MAX(HISTORIAL!$A$5:$A$2004)-24))))</f>
        <v/>
      </c>
      <c r="E65" s="18" t="str">
        <f aca="false">IF((MAX(HISTORIAL!$A$5:$A$2004)-24)&lt;1,"",IF(INDEX(HISTORIAL!$G$5:$G$2004,(MAX(HISTORIAL!$A$5:$A$2004)-24))="","",INDEX(HISTORIAL!$G$5:$G$2004,(MAX(HISTORIAL!$A$5:$A$2004)-24))))</f>
        <v/>
      </c>
      <c r="F65" s="18" t="str">
        <f aca="false">IF((MAX(HISTORIAL!$A$5:$A$2004)-24)&lt;1,"",IF(INDEX(HISTORIAL!$I$5:$I$2004,(MAX(HISTORIAL!$A$5:$A$2004)-24))="","",INDEX(HISTORIAL!$I$5:$I$2004,(MAX(HISTORIAL!$A$5:$A$2004)-24))))</f>
        <v/>
      </c>
      <c r="G65" s="27" t="str">
        <f aca="false">IF((MAX(HISTORIAL!$A$5:$A$2004)-24)&lt;1,"",IF(INDEX(HISTORIAL!$J$5:$J$2004,(MAX(HISTORIAL!$A$5:$A$2004)-24))="","",INDEX(HISTORIAL!$J$5:$J$2004,(MAX(HISTORIAL!$A$5:$A$2004)-24))))</f>
        <v/>
      </c>
      <c r="H65" s="18" t="str">
        <f aca="false">IF((MAX(HISTORIAL!$A$5:$A$2004)-24)&lt;1,"",IF(INDEX(HISTORIAL!$K$5:$K$2004,(MAX(HISTORIAL!$A$5:$A$2004)-24))="","",INDEX(HISTORIAL!$K$5:$K$2004,(MAX(HISTORIAL!$A$5:$A$2004)-24))))</f>
        <v/>
      </c>
      <c r="I65" s="18" t="str">
        <f aca="false">IF((MAX(HISTORIAL!$A$5:$A$2004)-24)&lt;1,"",IF(INDEX(HISTORIAL!$L$5:$L$2004,(MAX(HISTORIAL!$A$5:$A$2004)-24))="","",INDEX(HISTORIAL!$L$5:$L$2004,(MAX(HISTORIAL!$A$5:$A$2004)-24))))</f>
        <v/>
      </c>
      <c r="J65" s="30" t="str">
        <f aca="false">IF((MAX(HISTORIAL!$A$5:$A$2004)-24)&lt;1,"",IF(INDEX(HISTORIAL!$M$5:$M$2004,(MAX(HISTORIAL!$A$5:$A$2004)-24))="","",INDEX(HISTORIAL!$M$5:$M$2004,(MAX(HISTORIAL!$A$5:$A$2004)-24))))</f>
        <v/>
      </c>
      <c r="K65" s="18" t="str">
        <f aca="false">IF((MAX(HISTORIAL!$A$5:$A$2004)-24)&lt;1,"",IF(INDEX(HISTORIAL!$P$5:$P$2004,(MAX(HISTORIAL!$A$5:$A$2004)-24))="","",INDEX(HISTORIAL!$P$5:$P$2004,(MAX(HISTORIAL!$A$5:$A$2004)-24))))</f>
        <v/>
      </c>
      <c r="L65" s="18" t="str">
        <f aca="false">IF((MAX(HISTORIAL!$A$5:$A$2004)-24)&lt;1,"",IF(INDEX(HISTORIAL!$U$5:$U$2004,(MAX(HISTORIAL!$A$5:$A$2004)-24))="","",INDEX(HISTORIAL!$U$5:$U$2004,(MAX(HISTORIAL!$A$5:$A$2004)-24))))</f>
        <v/>
      </c>
    </row>
    <row r="67" customFormat="false" ht="15" hidden="false" customHeight="true" outlineLevel="0" collapsed="false">
      <c r="A67" s="33" t="s">
        <v>582</v>
      </c>
    </row>
    <row r="68" customFormat="false" ht="15" hidden="false" customHeight="true" outlineLevel="0" collapsed="false">
      <c r="A68" s="5" t="s">
        <v>381</v>
      </c>
      <c r="B68" s="5" t="s">
        <v>474</v>
      </c>
      <c r="D68" s="5" t="s">
        <v>583</v>
      </c>
      <c r="E68" s="5"/>
      <c r="F68" s="5"/>
      <c r="G68" s="5"/>
      <c r="H68" s="5"/>
      <c r="I68" s="5"/>
      <c r="J68" s="5"/>
      <c r="K68" s="5"/>
      <c r="L68" s="5"/>
    </row>
    <row r="69" customFormat="false" ht="30" hidden="false" customHeight="true" outlineLevel="0" collapsed="false">
      <c r="A69" s="28" t="n">
        <f aca="false">IF((SUMPRODUCT(MAX(('INCIDENCIAS Y CAMBIOS'!$C$5:$C$505&lt;&gt;"")*ROW('INCIDENCIAS Y CAMBIOS'!$C$5:$C$505)))-0)&lt;5,"",INDEX('INCIDENCIAS Y CAMBIOS'!$A:$A,(SUMPRODUCT(MAX(('INCIDENCIAS Y CAMBIOS'!$C$5:$C$505&lt;&gt;"")*ROW('INCIDENCIAS Y CAMBIOS'!$C$5:$C$505)))-0)))</f>
        <v>46292</v>
      </c>
      <c r="B69" s="18" t="str">
        <f aca="false">IF((SUMPRODUCT(MAX(('INCIDENCIAS Y CAMBIOS'!$C$5:$C$505&lt;&gt;"")*ROW('INCIDENCIAS Y CAMBIOS'!$C$5:$C$505)))-0)&lt;5,"",INDEX('INCIDENCIAS Y CAMBIOS'!$B:$B,(SUMPRODUCT(MAX(('INCIDENCIAS Y CAMBIOS'!$C$5:$C$505&lt;&gt;"")*ROW('INCIDENCIAS Y CAMBIOS'!$C$5:$C$505)))-0))&amp;"")</f>
        <v>Cambio de material</v>
      </c>
      <c r="C69" s="18"/>
      <c r="D69" s="18" t="str">
        <f aca="false">IF((SUMPRODUCT(MAX(('INCIDENCIAS Y CAMBIOS'!$C$5:$C$505&lt;&gt;"")*ROW('INCIDENCIAS Y CAMBIOS'!$C$5:$C$505)))-0)&lt;5,"",INDEX('INCIDENCIAS Y CAMBIOS'!$C:$C,(SUMPRODUCT(MAX(('INCIDENCIAS Y CAMBIOS'!$C$5:$C$505&lt;&gt;"")*ROW('INCIDENCIAS Y CAMBIOS'!$C$5:$C$505)))-0))&amp;"")</f>
        <v>Material confirmado por el usuario: barra 10 kg; discos de 1 kg por lado (incremento 2 kg); pilas de polea de 2 en 2 kg; jalón máx. 60 kg con opción de remo a una mano con mancuerna; trapecio a elección de la IA → encogimientos con barra.</v>
      </c>
      <c r="E69" s="18"/>
      <c r="F69" s="18"/>
      <c r="G69" s="18"/>
      <c r="H69" s="18"/>
      <c r="I69" s="18"/>
      <c r="J69" s="18"/>
      <c r="K69" s="18"/>
      <c r="L69" s="18"/>
    </row>
    <row r="70" customFormat="false" ht="30" hidden="false" customHeight="true" outlineLevel="0" collapsed="false">
      <c r="A70" s="28" t="n">
        <f aca="false">IF((SUMPRODUCT(MAX(('INCIDENCIAS Y CAMBIOS'!$C$5:$C$505&lt;&gt;"")*ROW('INCIDENCIAS Y CAMBIOS'!$C$5:$C$505)))-1)&lt;5,"",INDEX('INCIDENCIAS Y CAMBIOS'!$A:$A,(SUMPRODUCT(MAX(('INCIDENCIAS Y CAMBIOS'!$C$5:$C$505&lt;&gt;"")*ROW('INCIDENCIAS Y CAMBIOS'!$C$5:$C$505)))-1)))</f>
        <v>46292</v>
      </c>
      <c r="B70" s="18" t="str">
        <f aca="false">IF((SUMPRODUCT(MAX(('INCIDENCIAS Y CAMBIOS'!$C$5:$C$505&lt;&gt;"")*ROW('INCIDENCIAS Y CAMBIOS'!$C$5:$C$505)))-1)&lt;5,"",INDEX('INCIDENCIAS Y CAMBIOS'!$B:$B,(SUMPRODUCT(MAX(('INCIDENCIAS Y CAMBIOS'!$C$5:$C$505&lt;&gt;"")*ROW('INCIDENCIAS Y CAMBIOS'!$C$5:$C$505)))-1))&amp;"")</f>
        <v>Creación del sistema</v>
      </c>
      <c r="C70" s="18"/>
      <c r="D70" s="18" t="str">
        <f aca="false">IF((SUMPRODUCT(MAX(('INCIDENCIAS Y CAMBIOS'!$C$5:$C$505&lt;&gt;"")*ROW('INCIDENCIAS Y CAMBIOS'!$C$5:$C$505)))-1)&lt;5,"",INDEX('INCIDENCIAS Y CAMBIOS'!$C:$C,(SUMPRODUCT(MAX(('INCIDENCIAS Y CAMBIOS'!$C$5:$C$505&lt;&gt;"")*ROW('INCIDENCIAS Y CAMBIOS'!$C$5:$C$505)))-1))&amp;"")</f>
        <v>Creación del archivo. Sin datos de entrenamiento todavía. Supuestos pendientes de confirmar: barra de 20 kg; incremento de pilas de polea (2 kg por defecto); implemento de trapecio; carga máxima de la pila del jalón.</v>
      </c>
      <c r="E70" s="18"/>
      <c r="F70" s="18"/>
      <c r="G70" s="18"/>
      <c r="H70" s="18"/>
      <c r="I70" s="18"/>
      <c r="J70" s="18"/>
      <c r="K70" s="18"/>
      <c r="L70" s="18"/>
    </row>
    <row r="71" customFormat="false" ht="30" hidden="false" customHeight="true" outlineLevel="0" collapsed="false">
      <c r="A71" s="28" t="str">
        <f aca="false">IF((SUMPRODUCT(MAX(('INCIDENCIAS Y CAMBIOS'!$C$5:$C$505&lt;&gt;"")*ROW('INCIDENCIAS Y CAMBIOS'!$C$5:$C$505)))-2)&lt;5,"",INDEX('INCIDENCIAS Y CAMBIOS'!$A:$A,(SUMPRODUCT(MAX(('INCIDENCIAS Y CAMBIOS'!$C$5:$C$505&lt;&gt;"")*ROW('INCIDENCIAS Y CAMBIOS'!$C$5:$C$505)))-2)))</f>
        <v/>
      </c>
      <c r="B71" s="18" t="str">
        <f aca="false">IF((SUMPRODUCT(MAX(('INCIDENCIAS Y CAMBIOS'!$C$5:$C$505&lt;&gt;"")*ROW('INCIDENCIAS Y CAMBIOS'!$C$5:$C$505)))-2)&lt;5,"",INDEX('INCIDENCIAS Y CAMBIOS'!$B:$B,(SUMPRODUCT(MAX(('INCIDENCIAS Y CAMBIOS'!$C$5:$C$505&lt;&gt;"")*ROW('INCIDENCIAS Y CAMBIOS'!$C$5:$C$505)))-2))&amp;"")</f>
        <v/>
      </c>
      <c r="C71" s="18"/>
      <c r="D71" s="18" t="str">
        <f aca="false">IF((SUMPRODUCT(MAX(('INCIDENCIAS Y CAMBIOS'!$C$5:$C$505&lt;&gt;"")*ROW('INCIDENCIAS Y CAMBIOS'!$C$5:$C$505)))-2)&lt;5,"",INDEX('INCIDENCIAS Y CAMBIOS'!$C:$C,(SUMPRODUCT(MAX(('INCIDENCIAS Y CAMBIOS'!$C$5:$C$505&lt;&gt;"")*ROW('INCIDENCIAS Y CAMBIOS'!$C$5:$C$505)))-2))&amp;"")</f>
        <v/>
      </c>
      <c r="E71" s="18"/>
      <c r="F71" s="18"/>
      <c r="G71" s="18"/>
      <c r="H71" s="18"/>
      <c r="I71" s="18"/>
      <c r="J71" s="18"/>
      <c r="K71" s="18"/>
      <c r="L71" s="18"/>
    </row>
    <row r="72" customFormat="false" ht="30" hidden="false" customHeight="true" outlineLevel="0" collapsed="false">
      <c r="A72" s="28" t="str">
        <f aca="false">IF((SUMPRODUCT(MAX(('INCIDENCIAS Y CAMBIOS'!$C$5:$C$505&lt;&gt;"")*ROW('INCIDENCIAS Y CAMBIOS'!$C$5:$C$505)))-3)&lt;5,"",INDEX('INCIDENCIAS Y CAMBIOS'!$A:$A,(SUMPRODUCT(MAX(('INCIDENCIAS Y CAMBIOS'!$C$5:$C$505&lt;&gt;"")*ROW('INCIDENCIAS Y CAMBIOS'!$C$5:$C$505)))-3)))</f>
        <v/>
      </c>
      <c r="B72" s="18" t="str">
        <f aca="false">IF((SUMPRODUCT(MAX(('INCIDENCIAS Y CAMBIOS'!$C$5:$C$505&lt;&gt;"")*ROW('INCIDENCIAS Y CAMBIOS'!$C$5:$C$505)))-3)&lt;5,"",INDEX('INCIDENCIAS Y CAMBIOS'!$B:$B,(SUMPRODUCT(MAX(('INCIDENCIAS Y CAMBIOS'!$C$5:$C$505&lt;&gt;"")*ROW('INCIDENCIAS Y CAMBIOS'!$C$5:$C$505)))-3))&amp;"")</f>
        <v/>
      </c>
      <c r="C72" s="18"/>
      <c r="D72" s="18" t="str">
        <f aca="false">IF((SUMPRODUCT(MAX(('INCIDENCIAS Y CAMBIOS'!$C$5:$C$505&lt;&gt;"")*ROW('INCIDENCIAS Y CAMBIOS'!$C$5:$C$505)))-3)&lt;5,"",INDEX('INCIDENCIAS Y CAMBIOS'!$C:$C,(SUMPRODUCT(MAX(('INCIDENCIAS Y CAMBIOS'!$C$5:$C$505&lt;&gt;"")*ROW('INCIDENCIAS Y CAMBIOS'!$C$5:$C$505)))-3))&amp;"")</f>
        <v/>
      </c>
      <c r="E72" s="18"/>
      <c r="F72" s="18"/>
      <c r="G72" s="18"/>
      <c r="H72" s="18"/>
      <c r="I72" s="18"/>
      <c r="J72" s="18"/>
      <c r="K72" s="18"/>
      <c r="L72" s="18"/>
    </row>
    <row r="73" customFormat="false" ht="30" hidden="false" customHeight="true" outlineLevel="0" collapsed="false">
      <c r="A73" s="28" t="str">
        <f aca="false">IF((SUMPRODUCT(MAX(('INCIDENCIAS Y CAMBIOS'!$C$5:$C$505&lt;&gt;"")*ROW('INCIDENCIAS Y CAMBIOS'!$C$5:$C$505)))-4)&lt;5,"",INDEX('INCIDENCIAS Y CAMBIOS'!$A:$A,(SUMPRODUCT(MAX(('INCIDENCIAS Y CAMBIOS'!$C$5:$C$505&lt;&gt;"")*ROW('INCIDENCIAS Y CAMBIOS'!$C$5:$C$505)))-4)))</f>
        <v/>
      </c>
      <c r="B73" s="18" t="str">
        <f aca="false">IF((SUMPRODUCT(MAX(('INCIDENCIAS Y CAMBIOS'!$C$5:$C$505&lt;&gt;"")*ROW('INCIDENCIAS Y CAMBIOS'!$C$5:$C$505)))-4)&lt;5,"",INDEX('INCIDENCIAS Y CAMBIOS'!$B:$B,(SUMPRODUCT(MAX(('INCIDENCIAS Y CAMBIOS'!$C$5:$C$505&lt;&gt;"")*ROW('INCIDENCIAS Y CAMBIOS'!$C$5:$C$505)))-4))&amp;"")</f>
        <v/>
      </c>
      <c r="C73" s="18"/>
      <c r="D73" s="18" t="str">
        <f aca="false">IF((SUMPRODUCT(MAX(('INCIDENCIAS Y CAMBIOS'!$C$5:$C$505&lt;&gt;"")*ROW('INCIDENCIAS Y CAMBIOS'!$C$5:$C$505)))-4)&lt;5,"",INDEX('INCIDENCIAS Y CAMBIOS'!$C:$C,(SUMPRODUCT(MAX(('INCIDENCIAS Y CAMBIOS'!$C$5:$C$505&lt;&gt;"")*ROW('INCIDENCIAS Y CAMBIOS'!$C$5:$C$505)))-4))&amp;"")</f>
        <v/>
      </c>
      <c r="E73" s="18"/>
      <c r="F73" s="18"/>
      <c r="G73" s="18"/>
      <c r="H73" s="18"/>
      <c r="I73" s="18"/>
      <c r="J73" s="18"/>
      <c r="K73" s="18"/>
      <c r="L73" s="18"/>
    </row>
    <row r="75" customFormat="false" ht="15" hidden="false" customHeight="true" outlineLevel="0" collapsed="false">
      <c r="A75" s="33" t="s">
        <v>584</v>
      </c>
    </row>
    <row r="76" customFormat="false" ht="61.5" hidden="false" customHeight="true" outlineLevel="0" collapsed="false">
      <c r="A76" s="40" t="s">
        <v>585</v>
      </c>
      <c r="B76" s="40"/>
      <c r="C76" s="40"/>
      <c r="D76" s="40"/>
      <c r="E76" s="40"/>
      <c r="F76" s="40"/>
      <c r="G76" s="40"/>
      <c r="H76" s="40"/>
      <c r="I76" s="40"/>
      <c r="J76" s="40"/>
      <c r="K76" s="40"/>
      <c r="L76" s="40"/>
    </row>
  </sheetData>
  <mergeCells count="42">
    <mergeCell ref="A3:L3"/>
    <mergeCell ref="B5:L5"/>
    <mergeCell ref="B6:L6"/>
    <mergeCell ref="B7:L7"/>
    <mergeCell ref="B8:L8"/>
    <mergeCell ref="B9:L9"/>
    <mergeCell ref="B10:L10"/>
    <mergeCell ref="B11:L11"/>
    <mergeCell ref="B12:L12"/>
    <mergeCell ref="B13:L13"/>
    <mergeCell ref="B14:L14"/>
    <mergeCell ref="B15:L15"/>
    <mergeCell ref="B16:L16"/>
    <mergeCell ref="B17:L17"/>
    <mergeCell ref="I20:K20"/>
    <mergeCell ref="I21:K21"/>
    <mergeCell ref="I22:K22"/>
    <mergeCell ref="I23:K23"/>
    <mergeCell ref="F26:L26"/>
    <mergeCell ref="F27:L27"/>
    <mergeCell ref="F28:L28"/>
    <mergeCell ref="F29:L29"/>
    <mergeCell ref="F30:L30"/>
    <mergeCell ref="F31:L31"/>
    <mergeCell ref="F32:L32"/>
    <mergeCell ref="F33:L33"/>
    <mergeCell ref="F34:L34"/>
    <mergeCell ref="F35:L35"/>
    <mergeCell ref="F36:L36"/>
    <mergeCell ref="F37:L37"/>
    <mergeCell ref="D68:L68"/>
    <mergeCell ref="B69:C69"/>
    <mergeCell ref="D69:L69"/>
    <mergeCell ref="B70:C70"/>
    <mergeCell ref="D70:L70"/>
    <mergeCell ref="B71:C71"/>
    <mergeCell ref="D71:L71"/>
    <mergeCell ref="B72:C72"/>
    <mergeCell ref="D72:L72"/>
    <mergeCell ref="B73:C73"/>
    <mergeCell ref="D73:L73"/>
    <mergeCell ref="A76:L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M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9"/>
    <col collapsed="false" customWidth="true" hidden="false" outlineLevel="0" max="4" min="4" style="1" width="11"/>
    <col collapsed="false" customWidth="true" hidden="false" outlineLevel="0" max="6" min="5" style="1" width="9"/>
    <col collapsed="false" customWidth="true" hidden="false" outlineLevel="0" max="7" min="7" style="1" width="10"/>
    <col collapsed="false" customWidth="true" hidden="false" outlineLevel="0" max="8" min="8" style="1" width="11"/>
    <col collapsed="false" customWidth="true" hidden="false" outlineLevel="0" max="9" min="9" style="1" width="9"/>
    <col collapsed="false" customWidth="true" hidden="false" outlineLevel="0" max="10" min="10" style="1" width="10"/>
    <col collapsed="false" customWidth="true" hidden="false" outlineLevel="0" max="11" min="11" style="1" width="11"/>
    <col collapsed="false" customWidth="true" hidden="false" outlineLevel="0" max="12" min="12" style="1" width="10"/>
  </cols>
  <sheetData>
    <row r="1" customFormat="false" ht="27.75" hidden="false" customHeight="true" outlineLevel="0" collapsed="false">
      <c r="A1" s="2" t="s">
        <v>586</v>
      </c>
      <c r="B1" s="3"/>
      <c r="C1" s="3"/>
      <c r="D1" s="3"/>
      <c r="E1" s="3"/>
      <c r="F1" s="3"/>
      <c r="G1" s="3"/>
      <c r="H1" s="3"/>
      <c r="I1" s="3"/>
      <c r="J1" s="3"/>
      <c r="K1" s="3"/>
      <c r="L1" s="3"/>
      <c r="M1" s="3"/>
    </row>
    <row r="2" customFormat="false" ht="15" hidden="false" customHeight="true" outlineLevel="0" collapsed="false">
      <c r="A2" s="4" t="s">
        <v>587</v>
      </c>
    </row>
    <row r="4" customFormat="false" ht="57.75" hidden="false" customHeight="true" outlineLevel="0" collapsed="false">
      <c r="A4" s="5" t="s">
        <v>261</v>
      </c>
      <c r="B4" s="5" t="s">
        <v>588</v>
      </c>
      <c r="C4" s="5" t="s">
        <v>458</v>
      </c>
      <c r="D4" s="5" t="s">
        <v>381</v>
      </c>
      <c r="E4" s="5" t="s">
        <v>530</v>
      </c>
      <c r="F4" s="5" t="s">
        <v>589</v>
      </c>
      <c r="G4" s="5" t="s">
        <v>459</v>
      </c>
      <c r="H4" s="5" t="s">
        <v>590</v>
      </c>
      <c r="I4" s="5" t="s">
        <v>458</v>
      </c>
      <c r="J4" s="5" t="s">
        <v>591</v>
      </c>
      <c r="K4" s="5" t="s">
        <v>592</v>
      </c>
      <c r="L4" s="5" t="s">
        <v>593</v>
      </c>
    </row>
    <row r="5" customFormat="false" ht="15" hidden="false" customHeight="true" outlineLevel="0" collapsed="false">
      <c r="A5" s="10" t="s">
        <v>274</v>
      </c>
      <c r="B5" s="27" t="str">
        <f aca="false">IF(_xlfn.MAXIFS(HISTORIAL!$J$5:$J$2004,HISTORIAL!$E$5:$E$2004,$A5,HISTORIAL!$F$5:$F$2004,"Bilbo")=0,"",_xlfn.MAXIFS(HISTORIAL!$J$5:$J$2004,HISTORIAL!$E$5:$E$2004,$A5,HISTORIAL!$F$5:$F$2004,"Bilbo"))</f>
        <v/>
      </c>
      <c r="C5" s="18" t="str">
        <f aca="false">IF(B5="","",_xlfn.MAXIFS(HISTORIAL!$K$5:$K$2004,HISTORIAL!$E$5:$E$2004,$A5,HISTORIAL!$F$5:$F$2004,"Bilbo",HISTORIAL!$J$5:$J$2004,B5))</f>
        <v/>
      </c>
      <c r="D5" s="28" t="str">
        <f aca="false">IF(B5="","",_xlfn.MAXIFS(HISTORIAL!$B$5:$B$2004,HISTORIAL!$E$5:$E$2004,$A5,HISTORIAL!$F$5:$F$2004,"Bilbo",HISTORIAL!$J$5:$J$2004,B5,HISTORIAL!$K$5:$K$2004,C5))</f>
        <v/>
      </c>
      <c r="E5" s="18" t="str">
        <f aca="false">IF(_xlfn.MAXIFS(HISTORIAL!$K$5:$K$2004,HISTORIAL!$E$5:$E$2004,$A5,HISTORIAL!$F$5:$F$2004,"Bilbo")=0,"",_xlfn.MAXIFS(HISTORIAL!$K$5:$K$2004,HISTORIAL!$E$5:$E$2004,$A5,HISTORIAL!$F$5:$F$2004,"Bilbo"))</f>
        <v/>
      </c>
      <c r="F5" s="27" t="str">
        <f aca="false">IF(E5="","",_xlfn.MAXIFS(HISTORIAL!$J$5:$J$2004,HISTORIAL!$E$5:$E$2004,$A5,HISTORIAL!$F$5:$F$2004,"Bilbo",HISTORIAL!$K$5:$K$2004,E5))</f>
        <v/>
      </c>
      <c r="G5" s="27" t="str">
        <f aca="false">IF(_xlfn.MAXIFS(HISTORIAL!$T$5:$T$2004,HISTORIAL!$E$5:$E$2004,$A5,HISTORIAL!$F$5:$F$2004,"Bilbo")=0,"",_xlfn.MAXIFS(HISTORIAL!$T$5:$T$2004,HISTORIAL!$E$5:$E$2004,$A5,HISTORIAL!$F$5:$F$2004,"Bilbo"))</f>
        <v/>
      </c>
      <c r="H5" s="27" t="str">
        <f aca="false">IF(MAX(_xlfn.MAXIFS(HISTORIAL!$J$5:$J$2004,HISTORIAL!$E$5:$E$2004,$A5,HISTORIAL!$F$5:$F$2004,"Post-Bilbo"),_xlfn.MAXIFS(HISTORIAL!$J$5:$J$2004,HISTORIAL!$E$5:$E$2004,$A5,HISTORIAL!$F$5:$F$2004,"Trabajo"))=0,"",MAX(_xlfn.MAXIFS(HISTORIAL!$J$5:$J$2004,HISTORIAL!$E$5:$E$2004,$A5,HISTORIAL!$F$5:$F$2004,"Post-Bilbo"),_xlfn.MAXIFS(HISTORIAL!$J$5:$J$2004,HISTORIAL!$E$5:$E$2004,$A5,HISTORIAL!$F$5:$F$2004,"Trabajo")))</f>
        <v/>
      </c>
      <c r="I5" s="18" t="str">
        <f aca="false">IF(H5="","",MAX(_xlfn.MAXIFS(HISTORIAL!$K$5:$K$2004,HISTORIAL!$E$5:$E$2004,$A5,HISTORIAL!$F$5:$F$2004,"Post-Bilbo",HISTORIAL!$J$5:$J$2004,H5),_xlfn.MAXIFS(HISTORIAL!$K$5:$K$2004,HISTORIAL!$E$5:$E$2004,$A5,HISTORIAL!$F$5:$F$2004,"Trabajo",HISTORIAL!$J$5:$J$2004,H5)))</f>
        <v/>
      </c>
      <c r="J5" s="27" t="str">
        <f aca="false">IF(_xlfn.MAXIFS(HISTORIAL!$S$5:$S$2004,HISTORIAL!$E$5:$E$2004,$A5)=0,"",_xlfn.MAXIFS(HISTORIAL!$S$5:$S$2004,HISTORIAL!$E$5:$E$2004,$A5))</f>
        <v/>
      </c>
      <c r="K5" s="26" t="str">
        <f aca="false">IF(MAX(_xlfn.MAXIFS(HISTORIAL!$R$5:$R$2004,HISTORIAL!$E$5:$E$2004,$A5,HISTORIAL!$F$5:$F$2004,"Post-Bilbo"),_xlfn.MAXIFS(HISTORIAL!$R$5:$R$2004,HISTORIAL!$E$5:$E$2004,$A5,HISTORIAL!$F$5:$F$2004,"Trabajo"))=0,"",MAX(_xlfn.MAXIFS(HISTORIAL!$R$5:$R$2004,HISTORIAL!$E$5:$E$2004,$A5,HISTORIAL!$F$5:$F$2004,"Post-Bilbo"),_xlfn.MAXIFS(HISTORIAL!$R$5:$R$2004,HISTORIAL!$E$5:$E$2004,$A5,HISTORIAL!$F$5:$F$2004,"Trabajo")))</f>
        <v/>
      </c>
      <c r="L5" s="27" t="str">
        <f aca="false">IF(_xlfn.MAXIFS(HISTORIAL!$J$5:$J$2004,HISTORIAL!$E$5:$E$2004,$A5,HISTORIAL!$F$5:$F$2004,"Potencia")=0,"",_xlfn.MAXIFS(HISTORIAL!$J$5:$J$2004,HISTORIAL!$E$5:$E$2004,$A5,HISTORIAL!$F$5:$F$2004,"Potencia"))</f>
        <v/>
      </c>
    </row>
    <row r="6" customFormat="false" ht="15" hidden="false" customHeight="true" outlineLevel="0" collapsed="false">
      <c r="A6" s="10" t="s">
        <v>282</v>
      </c>
      <c r="B6" s="27" t="str">
        <f aca="false">IF(_xlfn.MAXIFS(HISTORIAL!$J$5:$J$2004,HISTORIAL!$E$5:$E$2004,$A6,HISTORIAL!$F$5:$F$2004,"Bilbo")=0,"",_xlfn.MAXIFS(HISTORIAL!$J$5:$J$2004,HISTORIAL!$E$5:$E$2004,$A6,HISTORIAL!$F$5:$F$2004,"Bilbo"))</f>
        <v/>
      </c>
      <c r="C6" s="18" t="str">
        <f aca="false">IF(B6="","",_xlfn.MAXIFS(HISTORIAL!$K$5:$K$2004,HISTORIAL!$E$5:$E$2004,$A6,HISTORIAL!$F$5:$F$2004,"Bilbo",HISTORIAL!$J$5:$J$2004,B6))</f>
        <v/>
      </c>
      <c r="D6" s="28" t="str">
        <f aca="false">IF(B6="","",_xlfn.MAXIFS(HISTORIAL!$B$5:$B$2004,HISTORIAL!$E$5:$E$2004,$A6,HISTORIAL!$F$5:$F$2004,"Bilbo",HISTORIAL!$J$5:$J$2004,B6,HISTORIAL!$K$5:$K$2004,C6))</f>
        <v/>
      </c>
      <c r="E6" s="18" t="str">
        <f aca="false">IF(_xlfn.MAXIFS(HISTORIAL!$K$5:$K$2004,HISTORIAL!$E$5:$E$2004,$A6,HISTORIAL!$F$5:$F$2004,"Bilbo")=0,"",_xlfn.MAXIFS(HISTORIAL!$K$5:$K$2004,HISTORIAL!$E$5:$E$2004,$A6,HISTORIAL!$F$5:$F$2004,"Bilbo"))</f>
        <v/>
      </c>
      <c r="F6" s="27" t="str">
        <f aca="false">IF(E6="","",_xlfn.MAXIFS(HISTORIAL!$J$5:$J$2004,HISTORIAL!$E$5:$E$2004,$A6,HISTORIAL!$F$5:$F$2004,"Bilbo",HISTORIAL!$K$5:$K$2004,E6))</f>
        <v/>
      </c>
      <c r="G6" s="27" t="str">
        <f aca="false">IF(_xlfn.MAXIFS(HISTORIAL!$T$5:$T$2004,HISTORIAL!$E$5:$E$2004,$A6,HISTORIAL!$F$5:$F$2004,"Bilbo")=0,"",_xlfn.MAXIFS(HISTORIAL!$T$5:$T$2004,HISTORIAL!$E$5:$E$2004,$A6,HISTORIAL!$F$5:$F$2004,"Bilbo"))</f>
        <v/>
      </c>
      <c r="H6" s="27" t="str">
        <f aca="false">IF(MAX(_xlfn.MAXIFS(HISTORIAL!$J$5:$J$2004,HISTORIAL!$E$5:$E$2004,$A6,HISTORIAL!$F$5:$F$2004,"Post-Bilbo"),_xlfn.MAXIFS(HISTORIAL!$J$5:$J$2004,HISTORIAL!$E$5:$E$2004,$A6,HISTORIAL!$F$5:$F$2004,"Trabajo"))=0,"",MAX(_xlfn.MAXIFS(HISTORIAL!$J$5:$J$2004,HISTORIAL!$E$5:$E$2004,$A6,HISTORIAL!$F$5:$F$2004,"Post-Bilbo"),_xlfn.MAXIFS(HISTORIAL!$J$5:$J$2004,HISTORIAL!$E$5:$E$2004,$A6,HISTORIAL!$F$5:$F$2004,"Trabajo")))</f>
        <v/>
      </c>
      <c r="I6" s="18" t="str">
        <f aca="false">IF(H6="","",MAX(_xlfn.MAXIFS(HISTORIAL!$K$5:$K$2004,HISTORIAL!$E$5:$E$2004,$A6,HISTORIAL!$F$5:$F$2004,"Post-Bilbo",HISTORIAL!$J$5:$J$2004,H6),_xlfn.MAXIFS(HISTORIAL!$K$5:$K$2004,HISTORIAL!$E$5:$E$2004,$A6,HISTORIAL!$F$5:$F$2004,"Trabajo",HISTORIAL!$J$5:$J$2004,H6)))</f>
        <v/>
      </c>
      <c r="J6" s="27" t="str">
        <f aca="false">IF(_xlfn.MAXIFS(HISTORIAL!$S$5:$S$2004,HISTORIAL!$E$5:$E$2004,$A6)=0,"",_xlfn.MAXIFS(HISTORIAL!$S$5:$S$2004,HISTORIAL!$E$5:$E$2004,$A6))</f>
        <v/>
      </c>
      <c r="K6" s="26" t="str">
        <f aca="false">IF(MAX(_xlfn.MAXIFS(HISTORIAL!$R$5:$R$2004,HISTORIAL!$E$5:$E$2004,$A6,HISTORIAL!$F$5:$F$2004,"Post-Bilbo"),_xlfn.MAXIFS(HISTORIAL!$R$5:$R$2004,HISTORIAL!$E$5:$E$2004,$A6,HISTORIAL!$F$5:$F$2004,"Trabajo"))=0,"",MAX(_xlfn.MAXIFS(HISTORIAL!$R$5:$R$2004,HISTORIAL!$E$5:$E$2004,$A6,HISTORIAL!$F$5:$F$2004,"Post-Bilbo"),_xlfn.MAXIFS(HISTORIAL!$R$5:$R$2004,HISTORIAL!$E$5:$E$2004,$A6,HISTORIAL!$F$5:$F$2004,"Trabajo")))</f>
        <v/>
      </c>
      <c r="L6" s="27" t="str">
        <f aca="false">IF(_xlfn.MAXIFS(HISTORIAL!$J$5:$J$2004,HISTORIAL!$E$5:$E$2004,$A6,HISTORIAL!$F$5:$F$2004,"Potencia")=0,"",_xlfn.MAXIFS(HISTORIAL!$J$5:$J$2004,HISTORIAL!$E$5:$E$2004,$A6,HISTORIAL!$F$5:$F$2004,"Potencia"))</f>
        <v/>
      </c>
    </row>
    <row r="7" customFormat="false" ht="15" hidden="false" customHeight="true" outlineLevel="0" collapsed="false">
      <c r="A7" s="10" t="s">
        <v>283</v>
      </c>
      <c r="B7" s="27" t="str">
        <f aca="false">IF(_xlfn.MAXIFS(HISTORIAL!$J$5:$J$2004,HISTORIAL!$E$5:$E$2004,$A7,HISTORIAL!$F$5:$F$2004,"Bilbo")=0,"",_xlfn.MAXIFS(HISTORIAL!$J$5:$J$2004,HISTORIAL!$E$5:$E$2004,$A7,HISTORIAL!$F$5:$F$2004,"Bilbo"))</f>
        <v/>
      </c>
      <c r="C7" s="18" t="str">
        <f aca="false">IF(B7="","",_xlfn.MAXIFS(HISTORIAL!$K$5:$K$2004,HISTORIAL!$E$5:$E$2004,$A7,HISTORIAL!$F$5:$F$2004,"Bilbo",HISTORIAL!$J$5:$J$2004,B7))</f>
        <v/>
      </c>
      <c r="D7" s="28" t="str">
        <f aca="false">IF(B7="","",_xlfn.MAXIFS(HISTORIAL!$B$5:$B$2004,HISTORIAL!$E$5:$E$2004,$A7,HISTORIAL!$F$5:$F$2004,"Bilbo",HISTORIAL!$J$5:$J$2004,B7,HISTORIAL!$K$5:$K$2004,C7))</f>
        <v/>
      </c>
      <c r="E7" s="18" t="str">
        <f aca="false">IF(_xlfn.MAXIFS(HISTORIAL!$K$5:$K$2004,HISTORIAL!$E$5:$E$2004,$A7,HISTORIAL!$F$5:$F$2004,"Bilbo")=0,"",_xlfn.MAXIFS(HISTORIAL!$K$5:$K$2004,HISTORIAL!$E$5:$E$2004,$A7,HISTORIAL!$F$5:$F$2004,"Bilbo"))</f>
        <v/>
      </c>
      <c r="F7" s="27" t="str">
        <f aca="false">IF(E7="","",_xlfn.MAXIFS(HISTORIAL!$J$5:$J$2004,HISTORIAL!$E$5:$E$2004,$A7,HISTORIAL!$F$5:$F$2004,"Bilbo",HISTORIAL!$K$5:$K$2004,E7))</f>
        <v/>
      </c>
      <c r="G7" s="27" t="str">
        <f aca="false">IF(_xlfn.MAXIFS(HISTORIAL!$T$5:$T$2004,HISTORIAL!$E$5:$E$2004,$A7,HISTORIAL!$F$5:$F$2004,"Bilbo")=0,"",_xlfn.MAXIFS(HISTORIAL!$T$5:$T$2004,HISTORIAL!$E$5:$E$2004,$A7,HISTORIAL!$F$5:$F$2004,"Bilbo"))</f>
        <v/>
      </c>
      <c r="H7" s="27" t="str">
        <f aca="false">IF(MAX(_xlfn.MAXIFS(HISTORIAL!$J$5:$J$2004,HISTORIAL!$E$5:$E$2004,$A7,HISTORIAL!$F$5:$F$2004,"Post-Bilbo"),_xlfn.MAXIFS(HISTORIAL!$J$5:$J$2004,HISTORIAL!$E$5:$E$2004,$A7,HISTORIAL!$F$5:$F$2004,"Trabajo"))=0,"",MAX(_xlfn.MAXIFS(HISTORIAL!$J$5:$J$2004,HISTORIAL!$E$5:$E$2004,$A7,HISTORIAL!$F$5:$F$2004,"Post-Bilbo"),_xlfn.MAXIFS(HISTORIAL!$J$5:$J$2004,HISTORIAL!$E$5:$E$2004,$A7,HISTORIAL!$F$5:$F$2004,"Trabajo")))</f>
        <v/>
      </c>
      <c r="I7" s="18" t="str">
        <f aca="false">IF(H7="","",MAX(_xlfn.MAXIFS(HISTORIAL!$K$5:$K$2004,HISTORIAL!$E$5:$E$2004,$A7,HISTORIAL!$F$5:$F$2004,"Post-Bilbo",HISTORIAL!$J$5:$J$2004,H7),_xlfn.MAXIFS(HISTORIAL!$K$5:$K$2004,HISTORIAL!$E$5:$E$2004,$A7,HISTORIAL!$F$5:$F$2004,"Trabajo",HISTORIAL!$J$5:$J$2004,H7)))</f>
        <v/>
      </c>
      <c r="J7" s="27" t="str">
        <f aca="false">IF(_xlfn.MAXIFS(HISTORIAL!$S$5:$S$2004,HISTORIAL!$E$5:$E$2004,$A7)=0,"",_xlfn.MAXIFS(HISTORIAL!$S$5:$S$2004,HISTORIAL!$E$5:$E$2004,$A7))</f>
        <v/>
      </c>
      <c r="K7" s="26" t="str">
        <f aca="false">IF(MAX(_xlfn.MAXIFS(HISTORIAL!$R$5:$R$2004,HISTORIAL!$E$5:$E$2004,$A7,HISTORIAL!$F$5:$F$2004,"Post-Bilbo"),_xlfn.MAXIFS(HISTORIAL!$R$5:$R$2004,HISTORIAL!$E$5:$E$2004,$A7,HISTORIAL!$F$5:$F$2004,"Trabajo"))=0,"",MAX(_xlfn.MAXIFS(HISTORIAL!$R$5:$R$2004,HISTORIAL!$E$5:$E$2004,$A7,HISTORIAL!$F$5:$F$2004,"Post-Bilbo"),_xlfn.MAXIFS(HISTORIAL!$R$5:$R$2004,HISTORIAL!$E$5:$E$2004,$A7,HISTORIAL!$F$5:$F$2004,"Trabajo")))</f>
        <v/>
      </c>
      <c r="L7" s="27" t="str">
        <f aca="false">IF(_xlfn.MAXIFS(HISTORIAL!$J$5:$J$2004,HISTORIAL!$E$5:$E$2004,$A7,HISTORIAL!$F$5:$F$2004,"Potencia")=0,"",_xlfn.MAXIFS(HISTORIAL!$J$5:$J$2004,HISTORIAL!$E$5:$E$2004,$A7,HISTORIAL!$F$5:$F$2004,"Potencia"))</f>
        <v/>
      </c>
    </row>
    <row r="8" customFormat="false" ht="15" hidden="false" customHeight="true" outlineLevel="0" collapsed="false">
      <c r="A8" s="10" t="s">
        <v>286</v>
      </c>
      <c r="B8" s="27" t="str">
        <f aca="false">IF(_xlfn.MAXIFS(HISTORIAL!$J$5:$J$2004,HISTORIAL!$E$5:$E$2004,$A8,HISTORIAL!$F$5:$F$2004,"Bilbo")=0,"",_xlfn.MAXIFS(HISTORIAL!$J$5:$J$2004,HISTORIAL!$E$5:$E$2004,$A8,HISTORIAL!$F$5:$F$2004,"Bilbo"))</f>
        <v/>
      </c>
      <c r="C8" s="18" t="str">
        <f aca="false">IF(B8="","",_xlfn.MAXIFS(HISTORIAL!$K$5:$K$2004,HISTORIAL!$E$5:$E$2004,$A8,HISTORIAL!$F$5:$F$2004,"Bilbo",HISTORIAL!$J$5:$J$2004,B8))</f>
        <v/>
      </c>
      <c r="D8" s="28" t="str">
        <f aca="false">IF(B8="","",_xlfn.MAXIFS(HISTORIAL!$B$5:$B$2004,HISTORIAL!$E$5:$E$2004,$A8,HISTORIAL!$F$5:$F$2004,"Bilbo",HISTORIAL!$J$5:$J$2004,B8,HISTORIAL!$K$5:$K$2004,C8))</f>
        <v/>
      </c>
      <c r="E8" s="18" t="str">
        <f aca="false">IF(_xlfn.MAXIFS(HISTORIAL!$K$5:$K$2004,HISTORIAL!$E$5:$E$2004,$A8,HISTORIAL!$F$5:$F$2004,"Bilbo")=0,"",_xlfn.MAXIFS(HISTORIAL!$K$5:$K$2004,HISTORIAL!$E$5:$E$2004,$A8,HISTORIAL!$F$5:$F$2004,"Bilbo"))</f>
        <v/>
      </c>
      <c r="F8" s="27" t="str">
        <f aca="false">IF(E8="","",_xlfn.MAXIFS(HISTORIAL!$J$5:$J$2004,HISTORIAL!$E$5:$E$2004,$A8,HISTORIAL!$F$5:$F$2004,"Bilbo",HISTORIAL!$K$5:$K$2004,E8))</f>
        <v/>
      </c>
      <c r="G8" s="27" t="str">
        <f aca="false">IF(_xlfn.MAXIFS(HISTORIAL!$T$5:$T$2004,HISTORIAL!$E$5:$E$2004,$A8,HISTORIAL!$F$5:$F$2004,"Bilbo")=0,"",_xlfn.MAXIFS(HISTORIAL!$T$5:$T$2004,HISTORIAL!$E$5:$E$2004,$A8,HISTORIAL!$F$5:$F$2004,"Bilbo"))</f>
        <v/>
      </c>
      <c r="H8" s="27" t="str">
        <f aca="false">IF(MAX(_xlfn.MAXIFS(HISTORIAL!$J$5:$J$2004,HISTORIAL!$E$5:$E$2004,$A8,HISTORIAL!$F$5:$F$2004,"Post-Bilbo"),_xlfn.MAXIFS(HISTORIAL!$J$5:$J$2004,HISTORIAL!$E$5:$E$2004,$A8,HISTORIAL!$F$5:$F$2004,"Trabajo"))=0,"",MAX(_xlfn.MAXIFS(HISTORIAL!$J$5:$J$2004,HISTORIAL!$E$5:$E$2004,$A8,HISTORIAL!$F$5:$F$2004,"Post-Bilbo"),_xlfn.MAXIFS(HISTORIAL!$J$5:$J$2004,HISTORIAL!$E$5:$E$2004,$A8,HISTORIAL!$F$5:$F$2004,"Trabajo")))</f>
        <v/>
      </c>
      <c r="I8" s="18" t="str">
        <f aca="false">IF(H8="","",MAX(_xlfn.MAXIFS(HISTORIAL!$K$5:$K$2004,HISTORIAL!$E$5:$E$2004,$A8,HISTORIAL!$F$5:$F$2004,"Post-Bilbo",HISTORIAL!$J$5:$J$2004,H8),_xlfn.MAXIFS(HISTORIAL!$K$5:$K$2004,HISTORIAL!$E$5:$E$2004,$A8,HISTORIAL!$F$5:$F$2004,"Trabajo",HISTORIAL!$J$5:$J$2004,H8)))</f>
        <v/>
      </c>
      <c r="J8" s="27" t="str">
        <f aca="false">IF(_xlfn.MAXIFS(HISTORIAL!$S$5:$S$2004,HISTORIAL!$E$5:$E$2004,$A8)=0,"",_xlfn.MAXIFS(HISTORIAL!$S$5:$S$2004,HISTORIAL!$E$5:$E$2004,$A8))</f>
        <v/>
      </c>
      <c r="K8" s="26" t="str">
        <f aca="false">IF(MAX(_xlfn.MAXIFS(HISTORIAL!$R$5:$R$2004,HISTORIAL!$E$5:$E$2004,$A8,HISTORIAL!$F$5:$F$2004,"Post-Bilbo"),_xlfn.MAXIFS(HISTORIAL!$R$5:$R$2004,HISTORIAL!$E$5:$E$2004,$A8,HISTORIAL!$F$5:$F$2004,"Trabajo"))=0,"",MAX(_xlfn.MAXIFS(HISTORIAL!$R$5:$R$2004,HISTORIAL!$E$5:$E$2004,$A8,HISTORIAL!$F$5:$F$2004,"Post-Bilbo"),_xlfn.MAXIFS(HISTORIAL!$R$5:$R$2004,HISTORIAL!$E$5:$E$2004,$A8,HISTORIAL!$F$5:$F$2004,"Trabajo")))</f>
        <v/>
      </c>
      <c r="L8" s="27" t="str">
        <f aca="false">IF(_xlfn.MAXIFS(HISTORIAL!$J$5:$J$2004,HISTORIAL!$E$5:$E$2004,$A8,HISTORIAL!$F$5:$F$2004,"Potencia")=0,"",_xlfn.MAXIFS(HISTORIAL!$J$5:$J$2004,HISTORIAL!$E$5:$E$2004,$A8,HISTORIAL!$F$5:$F$2004,"Potencia"))</f>
        <v/>
      </c>
    </row>
    <row r="9" customFormat="false" ht="15" hidden="false" customHeight="true" outlineLevel="0" collapsed="false">
      <c r="A9" s="10" t="s">
        <v>292</v>
      </c>
      <c r="B9" s="27" t="str">
        <f aca="false">IF(_xlfn.MAXIFS(HISTORIAL!$J$5:$J$2004,HISTORIAL!$E$5:$E$2004,$A9,HISTORIAL!$F$5:$F$2004,"Bilbo")=0,"",_xlfn.MAXIFS(HISTORIAL!$J$5:$J$2004,HISTORIAL!$E$5:$E$2004,$A9,HISTORIAL!$F$5:$F$2004,"Bilbo"))</f>
        <v/>
      </c>
      <c r="C9" s="18" t="str">
        <f aca="false">IF(B9="","",_xlfn.MAXIFS(HISTORIAL!$K$5:$K$2004,HISTORIAL!$E$5:$E$2004,$A9,HISTORIAL!$F$5:$F$2004,"Bilbo",HISTORIAL!$J$5:$J$2004,B9))</f>
        <v/>
      </c>
      <c r="D9" s="28" t="str">
        <f aca="false">IF(B9="","",_xlfn.MAXIFS(HISTORIAL!$B$5:$B$2004,HISTORIAL!$E$5:$E$2004,$A9,HISTORIAL!$F$5:$F$2004,"Bilbo",HISTORIAL!$J$5:$J$2004,B9,HISTORIAL!$K$5:$K$2004,C9))</f>
        <v/>
      </c>
      <c r="E9" s="18" t="str">
        <f aca="false">IF(_xlfn.MAXIFS(HISTORIAL!$K$5:$K$2004,HISTORIAL!$E$5:$E$2004,$A9,HISTORIAL!$F$5:$F$2004,"Bilbo")=0,"",_xlfn.MAXIFS(HISTORIAL!$K$5:$K$2004,HISTORIAL!$E$5:$E$2004,$A9,HISTORIAL!$F$5:$F$2004,"Bilbo"))</f>
        <v/>
      </c>
      <c r="F9" s="27" t="str">
        <f aca="false">IF(E9="","",_xlfn.MAXIFS(HISTORIAL!$J$5:$J$2004,HISTORIAL!$E$5:$E$2004,$A9,HISTORIAL!$F$5:$F$2004,"Bilbo",HISTORIAL!$K$5:$K$2004,E9))</f>
        <v/>
      </c>
      <c r="G9" s="27" t="str">
        <f aca="false">IF(_xlfn.MAXIFS(HISTORIAL!$T$5:$T$2004,HISTORIAL!$E$5:$E$2004,$A9,HISTORIAL!$F$5:$F$2004,"Bilbo")=0,"",_xlfn.MAXIFS(HISTORIAL!$T$5:$T$2004,HISTORIAL!$E$5:$E$2004,$A9,HISTORIAL!$F$5:$F$2004,"Bilbo"))</f>
        <v/>
      </c>
      <c r="H9" s="27" t="str">
        <f aca="false">IF(MAX(_xlfn.MAXIFS(HISTORIAL!$J$5:$J$2004,HISTORIAL!$E$5:$E$2004,$A9,HISTORIAL!$F$5:$F$2004,"Post-Bilbo"),_xlfn.MAXIFS(HISTORIAL!$J$5:$J$2004,HISTORIAL!$E$5:$E$2004,$A9,HISTORIAL!$F$5:$F$2004,"Trabajo"))=0,"",MAX(_xlfn.MAXIFS(HISTORIAL!$J$5:$J$2004,HISTORIAL!$E$5:$E$2004,$A9,HISTORIAL!$F$5:$F$2004,"Post-Bilbo"),_xlfn.MAXIFS(HISTORIAL!$J$5:$J$2004,HISTORIAL!$E$5:$E$2004,$A9,HISTORIAL!$F$5:$F$2004,"Trabajo")))</f>
        <v/>
      </c>
      <c r="I9" s="18" t="str">
        <f aca="false">IF(H9="","",MAX(_xlfn.MAXIFS(HISTORIAL!$K$5:$K$2004,HISTORIAL!$E$5:$E$2004,$A9,HISTORIAL!$F$5:$F$2004,"Post-Bilbo",HISTORIAL!$J$5:$J$2004,H9),_xlfn.MAXIFS(HISTORIAL!$K$5:$K$2004,HISTORIAL!$E$5:$E$2004,$A9,HISTORIAL!$F$5:$F$2004,"Trabajo",HISTORIAL!$J$5:$J$2004,H9)))</f>
        <v/>
      </c>
      <c r="J9" s="27" t="str">
        <f aca="false">IF(_xlfn.MAXIFS(HISTORIAL!$S$5:$S$2004,HISTORIAL!$E$5:$E$2004,$A9)=0,"",_xlfn.MAXIFS(HISTORIAL!$S$5:$S$2004,HISTORIAL!$E$5:$E$2004,$A9))</f>
        <v/>
      </c>
      <c r="K9" s="26" t="str">
        <f aca="false">IF(MAX(_xlfn.MAXIFS(HISTORIAL!$R$5:$R$2004,HISTORIAL!$E$5:$E$2004,$A9,HISTORIAL!$F$5:$F$2004,"Post-Bilbo"),_xlfn.MAXIFS(HISTORIAL!$R$5:$R$2004,HISTORIAL!$E$5:$E$2004,$A9,HISTORIAL!$F$5:$F$2004,"Trabajo"))=0,"",MAX(_xlfn.MAXIFS(HISTORIAL!$R$5:$R$2004,HISTORIAL!$E$5:$E$2004,$A9,HISTORIAL!$F$5:$F$2004,"Post-Bilbo"),_xlfn.MAXIFS(HISTORIAL!$R$5:$R$2004,HISTORIAL!$E$5:$E$2004,$A9,HISTORIAL!$F$5:$F$2004,"Trabajo")))</f>
        <v/>
      </c>
      <c r="L9" s="27" t="str">
        <f aca="false">IF(_xlfn.MAXIFS(HISTORIAL!$J$5:$J$2004,HISTORIAL!$E$5:$E$2004,$A9,HISTORIAL!$F$5:$F$2004,"Potencia")=0,"",_xlfn.MAXIFS(HISTORIAL!$J$5:$J$2004,HISTORIAL!$E$5:$E$2004,$A9,HISTORIAL!$F$5:$F$2004,"Potencia"))</f>
        <v/>
      </c>
    </row>
    <row r="10" customFormat="false" ht="15" hidden="false" customHeight="true" outlineLevel="0" collapsed="false">
      <c r="A10" s="10" t="s">
        <v>296</v>
      </c>
      <c r="B10" s="27" t="str">
        <f aca="false">IF(_xlfn.MAXIFS(HISTORIAL!$J$5:$J$2004,HISTORIAL!$E$5:$E$2004,$A10,HISTORIAL!$F$5:$F$2004,"Bilbo")=0,"",_xlfn.MAXIFS(HISTORIAL!$J$5:$J$2004,HISTORIAL!$E$5:$E$2004,$A10,HISTORIAL!$F$5:$F$2004,"Bilbo"))</f>
        <v/>
      </c>
      <c r="C10" s="18" t="str">
        <f aca="false">IF(B10="","",_xlfn.MAXIFS(HISTORIAL!$K$5:$K$2004,HISTORIAL!$E$5:$E$2004,$A10,HISTORIAL!$F$5:$F$2004,"Bilbo",HISTORIAL!$J$5:$J$2004,B10))</f>
        <v/>
      </c>
      <c r="D10" s="28" t="str">
        <f aca="false">IF(B10="","",_xlfn.MAXIFS(HISTORIAL!$B$5:$B$2004,HISTORIAL!$E$5:$E$2004,$A10,HISTORIAL!$F$5:$F$2004,"Bilbo",HISTORIAL!$J$5:$J$2004,B10,HISTORIAL!$K$5:$K$2004,C10))</f>
        <v/>
      </c>
      <c r="E10" s="18" t="str">
        <f aca="false">IF(_xlfn.MAXIFS(HISTORIAL!$K$5:$K$2004,HISTORIAL!$E$5:$E$2004,$A10,HISTORIAL!$F$5:$F$2004,"Bilbo")=0,"",_xlfn.MAXIFS(HISTORIAL!$K$5:$K$2004,HISTORIAL!$E$5:$E$2004,$A10,HISTORIAL!$F$5:$F$2004,"Bilbo"))</f>
        <v/>
      </c>
      <c r="F10" s="27" t="str">
        <f aca="false">IF(E10="","",_xlfn.MAXIFS(HISTORIAL!$J$5:$J$2004,HISTORIAL!$E$5:$E$2004,$A10,HISTORIAL!$F$5:$F$2004,"Bilbo",HISTORIAL!$K$5:$K$2004,E10))</f>
        <v/>
      </c>
      <c r="G10" s="27" t="str">
        <f aca="false">IF(_xlfn.MAXIFS(HISTORIAL!$T$5:$T$2004,HISTORIAL!$E$5:$E$2004,$A10,HISTORIAL!$F$5:$F$2004,"Bilbo")=0,"",_xlfn.MAXIFS(HISTORIAL!$T$5:$T$2004,HISTORIAL!$E$5:$E$2004,$A10,HISTORIAL!$F$5:$F$2004,"Bilbo"))</f>
        <v/>
      </c>
      <c r="H10" s="27" t="str">
        <f aca="false">IF(MAX(_xlfn.MAXIFS(HISTORIAL!$J$5:$J$2004,HISTORIAL!$E$5:$E$2004,$A10,HISTORIAL!$F$5:$F$2004,"Post-Bilbo"),_xlfn.MAXIFS(HISTORIAL!$J$5:$J$2004,HISTORIAL!$E$5:$E$2004,$A10,HISTORIAL!$F$5:$F$2004,"Trabajo"))=0,"",MAX(_xlfn.MAXIFS(HISTORIAL!$J$5:$J$2004,HISTORIAL!$E$5:$E$2004,$A10,HISTORIAL!$F$5:$F$2004,"Post-Bilbo"),_xlfn.MAXIFS(HISTORIAL!$J$5:$J$2004,HISTORIAL!$E$5:$E$2004,$A10,HISTORIAL!$F$5:$F$2004,"Trabajo")))</f>
        <v/>
      </c>
      <c r="I10" s="18" t="str">
        <f aca="false">IF(H10="","",MAX(_xlfn.MAXIFS(HISTORIAL!$K$5:$K$2004,HISTORIAL!$E$5:$E$2004,$A10,HISTORIAL!$F$5:$F$2004,"Post-Bilbo",HISTORIAL!$J$5:$J$2004,H10),_xlfn.MAXIFS(HISTORIAL!$K$5:$K$2004,HISTORIAL!$E$5:$E$2004,$A10,HISTORIAL!$F$5:$F$2004,"Trabajo",HISTORIAL!$J$5:$J$2004,H10)))</f>
        <v/>
      </c>
      <c r="J10" s="27" t="str">
        <f aca="false">IF(_xlfn.MAXIFS(HISTORIAL!$S$5:$S$2004,HISTORIAL!$E$5:$E$2004,$A10)=0,"",_xlfn.MAXIFS(HISTORIAL!$S$5:$S$2004,HISTORIAL!$E$5:$E$2004,$A10))</f>
        <v/>
      </c>
      <c r="K10" s="26" t="str">
        <f aca="false">IF(MAX(_xlfn.MAXIFS(HISTORIAL!$R$5:$R$2004,HISTORIAL!$E$5:$E$2004,$A10,HISTORIAL!$F$5:$F$2004,"Post-Bilbo"),_xlfn.MAXIFS(HISTORIAL!$R$5:$R$2004,HISTORIAL!$E$5:$E$2004,$A10,HISTORIAL!$F$5:$F$2004,"Trabajo"))=0,"",MAX(_xlfn.MAXIFS(HISTORIAL!$R$5:$R$2004,HISTORIAL!$E$5:$E$2004,$A10,HISTORIAL!$F$5:$F$2004,"Post-Bilbo"),_xlfn.MAXIFS(HISTORIAL!$R$5:$R$2004,HISTORIAL!$E$5:$E$2004,$A10,HISTORIAL!$F$5:$F$2004,"Trabajo")))</f>
        <v/>
      </c>
      <c r="L10" s="27" t="str">
        <f aca="false">IF(_xlfn.MAXIFS(HISTORIAL!$J$5:$J$2004,HISTORIAL!$E$5:$E$2004,$A10,HISTORIAL!$F$5:$F$2004,"Potencia")=0,"",_xlfn.MAXIFS(HISTORIAL!$J$5:$J$2004,HISTORIAL!$E$5:$E$2004,$A10,HISTORIAL!$F$5:$F$2004,"Potencia"))</f>
        <v/>
      </c>
    </row>
    <row r="11" customFormat="false" ht="15" hidden="false" customHeight="true" outlineLevel="0" collapsed="false">
      <c r="A11" s="10" t="s">
        <v>297</v>
      </c>
      <c r="B11" s="27" t="str">
        <f aca="false">IF(_xlfn.MAXIFS(HISTORIAL!$J$5:$J$2004,HISTORIAL!$E$5:$E$2004,$A11,HISTORIAL!$F$5:$F$2004,"Bilbo")=0,"",_xlfn.MAXIFS(HISTORIAL!$J$5:$J$2004,HISTORIAL!$E$5:$E$2004,$A11,HISTORIAL!$F$5:$F$2004,"Bilbo"))</f>
        <v/>
      </c>
      <c r="C11" s="18" t="str">
        <f aca="false">IF(B11="","",_xlfn.MAXIFS(HISTORIAL!$K$5:$K$2004,HISTORIAL!$E$5:$E$2004,$A11,HISTORIAL!$F$5:$F$2004,"Bilbo",HISTORIAL!$J$5:$J$2004,B11))</f>
        <v/>
      </c>
      <c r="D11" s="28" t="str">
        <f aca="false">IF(B11="","",_xlfn.MAXIFS(HISTORIAL!$B$5:$B$2004,HISTORIAL!$E$5:$E$2004,$A11,HISTORIAL!$F$5:$F$2004,"Bilbo",HISTORIAL!$J$5:$J$2004,B11,HISTORIAL!$K$5:$K$2004,C11))</f>
        <v/>
      </c>
      <c r="E11" s="18" t="str">
        <f aca="false">IF(_xlfn.MAXIFS(HISTORIAL!$K$5:$K$2004,HISTORIAL!$E$5:$E$2004,$A11,HISTORIAL!$F$5:$F$2004,"Bilbo")=0,"",_xlfn.MAXIFS(HISTORIAL!$K$5:$K$2004,HISTORIAL!$E$5:$E$2004,$A11,HISTORIAL!$F$5:$F$2004,"Bilbo"))</f>
        <v/>
      </c>
      <c r="F11" s="27" t="str">
        <f aca="false">IF(E11="","",_xlfn.MAXIFS(HISTORIAL!$J$5:$J$2004,HISTORIAL!$E$5:$E$2004,$A11,HISTORIAL!$F$5:$F$2004,"Bilbo",HISTORIAL!$K$5:$K$2004,E11))</f>
        <v/>
      </c>
      <c r="G11" s="27" t="str">
        <f aca="false">IF(_xlfn.MAXIFS(HISTORIAL!$T$5:$T$2004,HISTORIAL!$E$5:$E$2004,$A11,HISTORIAL!$F$5:$F$2004,"Bilbo")=0,"",_xlfn.MAXIFS(HISTORIAL!$T$5:$T$2004,HISTORIAL!$E$5:$E$2004,$A11,HISTORIAL!$F$5:$F$2004,"Bilbo"))</f>
        <v/>
      </c>
      <c r="H11" s="27" t="str">
        <f aca="false">IF(MAX(_xlfn.MAXIFS(HISTORIAL!$J$5:$J$2004,HISTORIAL!$E$5:$E$2004,$A11,HISTORIAL!$F$5:$F$2004,"Post-Bilbo"),_xlfn.MAXIFS(HISTORIAL!$J$5:$J$2004,HISTORIAL!$E$5:$E$2004,$A11,HISTORIAL!$F$5:$F$2004,"Trabajo"))=0,"",MAX(_xlfn.MAXIFS(HISTORIAL!$J$5:$J$2004,HISTORIAL!$E$5:$E$2004,$A11,HISTORIAL!$F$5:$F$2004,"Post-Bilbo"),_xlfn.MAXIFS(HISTORIAL!$J$5:$J$2004,HISTORIAL!$E$5:$E$2004,$A11,HISTORIAL!$F$5:$F$2004,"Trabajo")))</f>
        <v/>
      </c>
      <c r="I11" s="18" t="str">
        <f aca="false">IF(H11="","",MAX(_xlfn.MAXIFS(HISTORIAL!$K$5:$K$2004,HISTORIAL!$E$5:$E$2004,$A11,HISTORIAL!$F$5:$F$2004,"Post-Bilbo",HISTORIAL!$J$5:$J$2004,H11),_xlfn.MAXIFS(HISTORIAL!$K$5:$K$2004,HISTORIAL!$E$5:$E$2004,$A11,HISTORIAL!$F$5:$F$2004,"Trabajo",HISTORIAL!$J$5:$J$2004,H11)))</f>
        <v/>
      </c>
      <c r="J11" s="27" t="str">
        <f aca="false">IF(_xlfn.MAXIFS(HISTORIAL!$S$5:$S$2004,HISTORIAL!$E$5:$E$2004,$A11)=0,"",_xlfn.MAXIFS(HISTORIAL!$S$5:$S$2004,HISTORIAL!$E$5:$E$2004,$A11))</f>
        <v/>
      </c>
      <c r="K11" s="26" t="str">
        <f aca="false">IF(MAX(_xlfn.MAXIFS(HISTORIAL!$R$5:$R$2004,HISTORIAL!$E$5:$E$2004,$A11,HISTORIAL!$F$5:$F$2004,"Post-Bilbo"),_xlfn.MAXIFS(HISTORIAL!$R$5:$R$2004,HISTORIAL!$E$5:$E$2004,$A11,HISTORIAL!$F$5:$F$2004,"Trabajo"))=0,"",MAX(_xlfn.MAXIFS(HISTORIAL!$R$5:$R$2004,HISTORIAL!$E$5:$E$2004,$A11,HISTORIAL!$F$5:$F$2004,"Post-Bilbo"),_xlfn.MAXIFS(HISTORIAL!$R$5:$R$2004,HISTORIAL!$E$5:$E$2004,$A11,HISTORIAL!$F$5:$F$2004,"Trabajo")))</f>
        <v/>
      </c>
      <c r="L11" s="27" t="str">
        <f aca="false">IF(_xlfn.MAXIFS(HISTORIAL!$J$5:$J$2004,HISTORIAL!$E$5:$E$2004,$A11,HISTORIAL!$F$5:$F$2004,"Potencia")=0,"",_xlfn.MAXIFS(HISTORIAL!$J$5:$J$2004,HISTORIAL!$E$5:$E$2004,$A11,HISTORIAL!$F$5:$F$2004,"Potencia"))</f>
        <v/>
      </c>
    </row>
    <row r="12" customFormat="false" ht="15" hidden="false" customHeight="true" outlineLevel="0" collapsed="false">
      <c r="A12" s="10" t="s">
        <v>301</v>
      </c>
      <c r="B12" s="27" t="str">
        <f aca="false">IF(_xlfn.MAXIFS(HISTORIAL!$J$5:$J$2004,HISTORIAL!$E$5:$E$2004,$A12,HISTORIAL!$F$5:$F$2004,"Bilbo")=0,"",_xlfn.MAXIFS(HISTORIAL!$J$5:$J$2004,HISTORIAL!$E$5:$E$2004,$A12,HISTORIAL!$F$5:$F$2004,"Bilbo"))</f>
        <v/>
      </c>
      <c r="C12" s="18" t="str">
        <f aca="false">IF(B12="","",_xlfn.MAXIFS(HISTORIAL!$K$5:$K$2004,HISTORIAL!$E$5:$E$2004,$A12,HISTORIAL!$F$5:$F$2004,"Bilbo",HISTORIAL!$J$5:$J$2004,B12))</f>
        <v/>
      </c>
      <c r="D12" s="28" t="str">
        <f aca="false">IF(B12="","",_xlfn.MAXIFS(HISTORIAL!$B$5:$B$2004,HISTORIAL!$E$5:$E$2004,$A12,HISTORIAL!$F$5:$F$2004,"Bilbo",HISTORIAL!$J$5:$J$2004,B12,HISTORIAL!$K$5:$K$2004,C12))</f>
        <v/>
      </c>
      <c r="E12" s="18" t="str">
        <f aca="false">IF(_xlfn.MAXIFS(HISTORIAL!$K$5:$K$2004,HISTORIAL!$E$5:$E$2004,$A12,HISTORIAL!$F$5:$F$2004,"Bilbo")=0,"",_xlfn.MAXIFS(HISTORIAL!$K$5:$K$2004,HISTORIAL!$E$5:$E$2004,$A12,HISTORIAL!$F$5:$F$2004,"Bilbo"))</f>
        <v/>
      </c>
      <c r="F12" s="27" t="str">
        <f aca="false">IF(E12="","",_xlfn.MAXIFS(HISTORIAL!$J$5:$J$2004,HISTORIAL!$E$5:$E$2004,$A12,HISTORIAL!$F$5:$F$2004,"Bilbo",HISTORIAL!$K$5:$K$2004,E12))</f>
        <v/>
      </c>
      <c r="G12" s="27" t="str">
        <f aca="false">IF(_xlfn.MAXIFS(HISTORIAL!$T$5:$T$2004,HISTORIAL!$E$5:$E$2004,$A12,HISTORIAL!$F$5:$F$2004,"Bilbo")=0,"",_xlfn.MAXIFS(HISTORIAL!$T$5:$T$2004,HISTORIAL!$E$5:$E$2004,$A12,HISTORIAL!$F$5:$F$2004,"Bilbo"))</f>
        <v/>
      </c>
      <c r="H12" s="27" t="str">
        <f aca="false">IF(MAX(_xlfn.MAXIFS(HISTORIAL!$J$5:$J$2004,HISTORIAL!$E$5:$E$2004,$A12,HISTORIAL!$F$5:$F$2004,"Post-Bilbo"),_xlfn.MAXIFS(HISTORIAL!$J$5:$J$2004,HISTORIAL!$E$5:$E$2004,$A12,HISTORIAL!$F$5:$F$2004,"Trabajo"))=0,"",MAX(_xlfn.MAXIFS(HISTORIAL!$J$5:$J$2004,HISTORIAL!$E$5:$E$2004,$A12,HISTORIAL!$F$5:$F$2004,"Post-Bilbo"),_xlfn.MAXIFS(HISTORIAL!$J$5:$J$2004,HISTORIAL!$E$5:$E$2004,$A12,HISTORIAL!$F$5:$F$2004,"Trabajo")))</f>
        <v/>
      </c>
      <c r="I12" s="18" t="str">
        <f aca="false">IF(H12="","",MAX(_xlfn.MAXIFS(HISTORIAL!$K$5:$K$2004,HISTORIAL!$E$5:$E$2004,$A12,HISTORIAL!$F$5:$F$2004,"Post-Bilbo",HISTORIAL!$J$5:$J$2004,H12),_xlfn.MAXIFS(HISTORIAL!$K$5:$K$2004,HISTORIAL!$E$5:$E$2004,$A12,HISTORIAL!$F$5:$F$2004,"Trabajo",HISTORIAL!$J$5:$J$2004,H12)))</f>
        <v/>
      </c>
      <c r="J12" s="27" t="str">
        <f aca="false">IF(_xlfn.MAXIFS(HISTORIAL!$S$5:$S$2004,HISTORIAL!$E$5:$E$2004,$A12)=0,"",_xlfn.MAXIFS(HISTORIAL!$S$5:$S$2004,HISTORIAL!$E$5:$E$2004,$A12))</f>
        <v/>
      </c>
      <c r="K12" s="26" t="str">
        <f aca="false">IF(MAX(_xlfn.MAXIFS(HISTORIAL!$R$5:$R$2004,HISTORIAL!$E$5:$E$2004,$A12,HISTORIAL!$F$5:$F$2004,"Post-Bilbo"),_xlfn.MAXIFS(HISTORIAL!$R$5:$R$2004,HISTORIAL!$E$5:$E$2004,$A12,HISTORIAL!$F$5:$F$2004,"Trabajo"))=0,"",MAX(_xlfn.MAXIFS(HISTORIAL!$R$5:$R$2004,HISTORIAL!$E$5:$E$2004,$A12,HISTORIAL!$F$5:$F$2004,"Post-Bilbo"),_xlfn.MAXIFS(HISTORIAL!$R$5:$R$2004,HISTORIAL!$E$5:$E$2004,$A12,HISTORIAL!$F$5:$F$2004,"Trabajo")))</f>
        <v/>
      </c>
      <c r="L12" s="27" t="str">
        <f aca="false">IF(_xlfn.MAXIFS(HISTORIAL!$J$5:$J$2004,HISTORIAL!$E$5:$E$2004,$A12,HISTORIAL!$F$5:$F$2004,"Potencia")=0,"",_xlfn.MAXIFS(HISTORIAL!$J$5:$J$2004,HISTORIAL!$E$5:$E$2004,$A12,HISTORIAL!$F$5:$F$2004,"Potencia"))</f>
        <v/>
      </c>
    </row>
    <row r="13" customFormat="false" ht="15" hidden="false" customHeight="true" outlineLevel="0" collapsed="false">
      <c r="A13" s="10" t="s">
        <v>243</v>
      </c>
      <c r="B13" s="27" t="str">
        <f aca="false">IF(_xlfn.MAXIFS(HISTORIAL!$J$5:$J$2004,HISTORIAL!$E$5:$E$2004,$A13,HISTORIAL!$F$5:$F$2004,"Bilbo")=0,"",_xlfn.MAXIFS(HISTORIAL!$J$5:$J$2004,HISTORIAL!$E$5:$E$2004,$A13,HISTORIAL!$F$5:$F$2004,"Bilbo"))</f>
        <v/>
      </c>
      <c r="C13" s="18" t="str">
        <f aca="false">IF(B13="","",_xlfn.MAXIFS(HISTORIAL!$K$5:$K$2004,HISTORIAL!$E$5:$E$2004,$A13,HISTORIAL!$F$5:$F$2004,"Bilbo",HISTORIAL!$J$5:$J$2004,B13))</f>
        <v/>
      </c>
      <c r="D13" s="28" t="str">
        <f aca="false">IF(B13="","",_xlfn.MAXIFS(HISTORIAL!$B$5:$B$2004,HISTORIAL!$E$5:$E$2004,$A13,HISTORIAL!$F$5:$F$2004,"Bilbo",HISTORIAL!$J$5:$J$2004,B13,HISTORIAL!$K$5:$K$2004,C13))</f>
        <v/>
      </c>
      <c r="E13" s="18" t="str">
        <f aca="false">IF(_xlfn.MAXIFS(HISTORIAL!$K$5:$K$2004,HISTORIAL!$E$5:$E$2004,$A13,HISTORIAL!$F$5:$F$2004,"Bilbo")=0,"",_xlfn.MAXIFS(HISTORIAL!$K$5:$K$2004,HISTORIAL!$E$5:$E$2004,$A13,HISTORIAL!$F$5:$F$2004,"Bilbo"))</f>
        <v/>
      </c>
      <c r="F13" s="27" t="str">
        <f aca="false">IF(E13="","",_xlfn.MAXIFS(HISTORIAL!$J$5:$J$2004,HISTORIAL!$E$5:$E$2004,$A13,HISTORIAL!$F$5:$F$2004,"Bilbo",HISTORIAL!$K$5:$K$2004,E13))</f>
        <v/>
      </c>
      <c r="G13" s="27" t="str">
        <f aca="false">IF(_xlfn.MAXIFS(HISTORIAL!$T$5:$T$2004,HISTORIAL!$E$5:$E$2004,$A13,HISTORIAL!$F$5:$F$2004,"Bilbo")=0,"",_xlfn.MAXIFS(HISTORIAL!$T$5:$T$2004,HISTORIAL!$E$5:$E$2004,$A13,HISTORIAL!$F$5:$F$2004,"Bilbo"))</f>
        <v/>
      </c>
      <c r="H13" s="27" t="str">
        <f aca="false">IF(MAX(_xlfn.MAXIFS(HISTORIAL!$J$5:$J$2004,HISTORIAL!$E$5:$E$2004,$A13,HISTORIAL!$F$5:$F$2004,"Post-Bilbo"),_xlfn.MAXIFS(HISTORIAL!$J$5:$J$2004,HISTORIAL!$E$5:$E$2004,$A13,HISTORIAL!$F$5:$F$2004,"Trabajo"))=0,"",MAX(_xlfn.MAXIFS(HISTORIAL!$J$5:$J$2004,HISTORIAL!$E$5:$E$2004,$A13,HISTORIAL!$F$5:$F$2004,"Post-Bilbo"),_xlfn.MAXIFS(HISTORIAL!$J$5:$J$2004,HISTORIAL!$E$5:$E$2004,$A13,HISTORIAL!$F$5:$F$2004,"Trabajo")))</f>
        <v/>
      </c>
      <c r="I13" s="18" t="str">
        <f aca="false">IF(H13="","",MAX(_xlfn.MAXIFS(HISTORIAL!$K$5:$K$2004,HISTORIAL!$E$5:$E$2004,$A13,HISTORIAL!$F$5:$F$2004,"Post-Bilbo",HISTORIAL!$J$5:$J$2004,H13),_xlfn.MAXIFS(HISTORIAL!$K$5:$K$2004,HISTORIAL!$E$5:$E$2004,$A13,HISTORIAL!$F$5:$F$2004,"Trabajo",HISTORIAL!$J$5:$J$2004,H13)))</f>
        <v/>
      </c>
      <c r="J13" s="27" t="str">
        <f aca="false">IF(_xlfn.MAXIFS(HISTORIAL!$S$5:$S$2004,HISTORIAL!$E$5:$E$2004,$A13)=0,"",_xlfn.MAXIFS(HISTORIAL!$S$5:$S$2004,HISTORIAL!$E$5:$E$2004,$A13))</f>
        <v/>
      </c>
      <c r="K13" s="26" t="str">
        <f aca="false">IF(MAX(_xlfn.MAXIFS(HISTORIAL!$R$5:$R$2004,HISTORIAL!$E$5:$E$2004,$A13,HISTORIAL!$F$5:$F$2004,"Post-Bilbo"),_xlfn.MAXIFS(HISTORIAL!$R$5:$R$2004,HISTORIAL!$E$5:$E$2004,$A13,HISTORIAL!$F$5:$F$2004,"Trabajo"))=0,"",MAX(_xlfn.MAXIFS(HISTORIAL!$R$5:$R$2004,HISTORIAL!$E$5:$E$2004,$A13,HISTORIAL!$F$5:$F$2004,"Post-Bilbo"),_xlfn.MAXIFS(HISTORIAL!$R$5:$R$2004,HISTORIAL!$E$5:$E$2004,$A13,HISTORIAL!$F$5:$F$2004,"Trabajo")))</f>
        <v/>
      </c>
      <c r="L13" s="27" t="str">
        <f aca="false">IF(_xlfn.MAXIFS(HISTORIAL!$J$5:$J$2004,HISTORIAL!$E$5:$E$2004,$A13,HISTORIAL!$F$5:$F$2004,"Potencia")=0,"",_xlfn.MAXIFS(HISTORIAL!$J$5:$J$2004,HISTORIAL!$E$5:$E$2004,$A13,HISTORIAL!$F$5:$F$2004,"Potencia"))</f>
        <v/>
      </c>
    </row>
    <row r="14" customFormat="false" ht="15" hidden="false" customHeight="true" outlineLevel="0" collapsed="false">
      <c r="A14" s="10" t="s">
        <v>306</v>
      </c>
      <c r="B14" s="27" t="str">
        <f aca="false">IF(_xlfn.MAXIFS(HISTORIAL!$J$5:$J$2004,HISTORIAL!$E$5:$E$2004,$A14,HISTORIAL!$F$5:$F$2004,"Bilbo")=0,"",_xlfn.MAXIFS(HISTORIAL!$J$5:$J$2004,HISTORIAL!$E$5:$E$2004,$A14,HISTORIAL!$F$5:$F$2004,"Bilbo"))</f>
        <v/>
      </c>
      <c r="C14" s="18" t="str">
        <f aca="false">IF(B14="","",_xlfn.MAXIFS(HISTORIAL!$K$5:$K$2004,HISTORIAL!$E$5:$E$2004,$A14,HISTORIAL!$F$5:$F$2004,"Bilbo",HISTORIAL!$J$5:$J$2004,B14))</f>
        <v/>
      </c>
      <c r="D14" s="28" t="str">
        <f aca="false">IF(B14="","",_xlfn.MAXIFS(HISTORIAL!$B$5:$B$2004,HISTORIAL!$E$5:$E$2004,$A14,HISTORIAL!$F$5:$F$2004,"Bilbo",HISTORIAL!$J$5:$J$2004,B14,HISTORIAL!$K$5:$K$2004,C14))</f>
        <v/>
      </c>
      <c r="E14" s="18" t="str">
        <f aca="false">IF(_xlfn.MAXIFS(HISTORIAL!$K$5:$K$2004,HISTORIAL!$E$5:$E$2004,$A14,HISTORIAL!$F$5:$F$2004,"Bilbo")=0,"",_xlfn.MAXIFS(HISTORIAL!$K$5:$K$2004,HISTORIAL!$E$5:$E$2004,$A14,HISTORIAL!$F$5:$F$2004,"Bilbo"))</f>
        <v/>
      </c>
      <c r="F14" s="27" t="str">
        <f aca="false">IF(E14="","",_xlfn.MAXIFS(HISTORIAL!$J$5:$J$2004,HISTORIAL!$E$5:$E$2004,$A14,HISTORIAL!$F$5:$F$2004,"Bilbo",HISTORIAL!$K$5:$K$2004,E14))</f>
        <v/>
      </c>
      <c r="G14" s="27" t="str">
        <f aca="false">IF(_xlfn.MAXIFS(HISTORIAL!$T$5:$T$2004,HISTORIAL!$E$5:$E$2004,$A14,HISTORIAL!$F$5:$F$2004,"Bilbo")=0,"",_xlfn.MAXIFS(HISTORIAL!$T$5:$T$2004,HISTORIAL!$E$5:$E$2004,$A14,HISTORIAL!$F$5:$F$2004,"Bilbo"))</f>
        <v/>
      </c>
      <c r="H14" s="27" t="str">
        <f aca="false">IF(MAX(_xlfn.MAXIFS(HISTORIAL!$J$5:$J$2004,HISTORIAL!$E$5:$E$2004,$A14,HISTORIAL!$F$5:$F$2004,"Post-Bilbo"),_xlfn.MAXIFS(HISTORIAL!$J$5:$J$2004,HISTORIAL!$E$5:$E$2004,$A14,HISTORIAL!$F$5:$F$2004,"Trabajo"))=0,"",MAX(_xlfn.MAXIFS(HISTORIAL!$J$5:$J$2004,HISTORIAL!$E$5:$E$2004,$A14,HISTORIAL!$F$5:$F$2004,"Post-Bilbo"),_xlfn.MAXIFS(HISTORIAL!$J$5:$J$2004,HISTORIAL!$E$5:$E$2004,$A14,HISTORIAL!$F$5:$F$2004,"Trabajo")))</f>
        <v/>
      </c>
      <c r="I14" s="18" t="str">
        <f aca="false">IF(H14="","",MAX(_xlfn.MAXIFS(HISTORIAL!$K$5:$K$2004,HISTORIAL!$E$5:$E$2004,$A14,HISTORIAL!$F$5:$F$2004,"Post-Bilbo",HISTORIAL!$J$5:$J$2004,H14),_xlfn.MAXIFS(HISTORIAL!$K$5:$K$2004,HISTORIAL!$E$5:$E$2004,$A14,HISTORIAL!$F$5:$F$2004,"Trabajo",HISTORIAL!$J$5:$J$2004,H14)))</f>
        <v/>
      </c>
      <c r="J14" s="27" t="str">
        <f aca="false">IF(_xlfn.MAXIFS(HISTORIAL!$S$5:$S$2004,HISTORIAL!$E$5:$E$2004,$A14)=0,"",_xlfn.MAXIFS(HISTORIAL!$S$5:$S$2004,HISTORIAL!$E$5:$E$2004,$A14))</f>
        <v/>
      </c>
      <c r="K14" s="26" t="str">
        <f aca="false">IF(MAX(_xlfn.MAXIFS(HISTORIAL!$R$5:$R$2004,HISTORIAL!$E$5:$E$2004,$A14,HISTORIAL!$F$5:$F$2004,"Post-Bilbo"),_xlfn.MAXIFS(HISTORIAL!$R$5:$R$2004,HISTORIAL!$E$5:$E$2004,$A14,HISTORIAL!$F$5:$F$2004,"Trabajo"))=0,"",MAX(_xlfn.MAXIFS(HISTORIAL!$R$5:$R$2004,HISTORIAL!$E$5:$E$2004,$A14,HISTORIAL!$F$5:$F$2004,"Post-Bilbo"),_xlfn.MAXIFS(HISTORIAL!$R$5:$R$2004,HISTORIAL!$E$5:$E$2004,$A14,HISTORIAL!$F$5:$F$2004,"Trabajo")))</f>
        <v/>
      </c>
      <c r="L14" s="27" t="str">
        <f aca="false">IF(_xlfn.MAXIFS(HISTORIAL!$J$5:$J$2004,HISTORIAL!$E$5:$E$2004,$A14,HISTORIAL!$F$5:$F$2004,"Potencia")=0,"",_xlfn.MAXIFS(HISTORIAL!$J$5:$J$2004,HISTORIAL!$E$5:$E$2004,$A14,HISTORIAL!$F$5:$F$2004,"Potencia"))</f>
        <v/>
      </c>
    </row>
    <row r="15" customFormat="false" ht="15" hidden="false" customHeight="true" outlineLevel="0" collapsed="false">
      <c r="A15" s="10" t="s">
        <v>308</v>
      </c>
      <c r="B15" s="27" t="str">
        <f aca="false">IF(_xlfn.MAXIFS(HISTORIAL!$J$5:$J$2004,HISTORIAL!$E$5:$E$2004,$A15,HISTORIAL!$F$5:$F$2004,"Bilbo")=0,"",_xlfn.MAXIFS(HISTORIAL!$J$5:$J$2004,HISTORIAL!$E$5:$E$2004,$A15,HISTORIAL!$F$5:$F$2004,"Bilbo"))</f>
        <v/>
      </c>
      <c r="C15" s="18" t="str">
        <f aca="false">IF(B15="","",_xlfn.MAXIFS(HISTORIAL!$K$5:$K$2004,HISTORIAL!$E$5:$E$2004,$A15,HISTORIAL!$F$5:$F$2004,"Bilbo",HISTORIAL!$J$5:$J$2004,B15))</f>
        <v/>
      </c>
      <c r="D15" s="28" t="str">
        <f aca="false">IF(B15="","",_xlfn.MAXIFS(HISTORIAL!$B$5:$B$2004,HISTORIAL!$E$5:$E$2004,$A15,HISTORIAL!$F$5:$F$2004,"Bilbo",HISTORIAL!$J$5:$J$2004,B15,HISTORIAL!$K$5:$K$2004,C15))</f>
        <v/>
      </c>
      <c r="E15" s="18" t="str">
        <f aca="false">IF(_xlfn.MAXIFS(HISTORIAL!$K$5:$K$2004,HISTORIAL!$E$5:$E$2004,$A15,HISTORIAL!$F$5:$F$2004,"Bilbo")=0,"",_xlfn.MAXIFS(HISTORIAL!$K$5:$K$2004,HISTORIAL!$E$5:$E$2004,$A15,HISTORIAL!$F$5:$F$2004,"Bilbo"))</f>
        <v/>
      </c>
      <c r="F15" s="27" t="str">
        <f aca="false">IF(E15="","",_xlfn.MAXIFS(HISTORIAL!$J$5:$J$2004,HISTORIAL!$E$5:$E$2004,$A15,HISTORIAL!$F$5:$F$2004,"Bilbo",HISTORIAL!$K$5:$K$2004,E15))</f>
        <v/>
      </c>
      <c r="G15" s="27" t="str">
        <f aca="false">IF(_xlfn.MAXIFS(HISTORIAL!$T$5:$T$2004,HISTORIAL!$E$5:$E$2004,$A15,HISTORIAL!$F$5:$F$2004,"Bilbo")=0,"",_xlfn.MAXIFS(HISTORIAL!$T$5:$T$2004,HISTORIAL!$E$5:$E$2004,$A15,HISTORIAL!$F$5:$F$2004,"Bilbo"))</f>
        <v/>
      </c>
      <c r="H15" s="27" t="str">
        <f aca="false">IF(MAX(_xlfn.MAXIFS(HISTORIAL!$J$5:$J$2004,HISTORIAL!$E$5:$E$2004,$A15,HISTORIAL!$F$5:$F$2004,"Post-Bilbo"),_xlfn.MAXIFS(HISTORIAL!$J$5:$J$2004,HISTORIAL!$E$5:$E$2004,$A15,HISTORIAL!$F$5:$F$2004,"Trabajo"))=0,"",MAX(_xlfn.MAXIFS(HISTORIAL!$J$5:$J$2004,HISTORIAL!$E$5:$E$2004,$A15,HISTORIAL!$F$5:$F$2004,"Post-Bilbo"),_xlfn.MAXIFS(HISTORIAL!$J$5:$J$2004,HISTORIAL!$E$5:$E$2004,$A15,HISTORIAL!$F$5:$F$2004,"Trabajo")))</f>
        <v/>
      </c>
      <c r="I15" s="18" t="str">
        <f aca="false">IF(H15="","",MAX(_xlfn.MAXIFS(HISTORIAL!$K$5:$K$2004,HISTORIAL!$E$5:$E$2004,$A15,HISTORIAL!$F$5:$F$2004,"Post-Bilbo",HISTORIAL!$J$5:$J$2004,H15),_xlfn.MAXIFS(HISTORIAL!$K$5:$K$2004,HISTORIAL!$E$5:$E$2004,$A15,HISTORIAL!$F$5:$F$2004,"Trabajo",HISTORIAL!$J$5:$J$2004,H15)))</f>
        <v/>
      </c>
      <c r="J15" s="27" t="str">
        <f aca="false">IF(_xlfn.MAXIFS(HISTORIAL!$S$5:$S$2004,HISTORIAL!$E$5:$E$2004,$A15)=0,"",_xlfn.MAXIFS(HISTORIAL!$S$5:$S$2004,HISTORIAL!$E$5:$E$2004,$A15))</f>
        <v/>
      </c>
      <c r="K15" s="26" t="str">
        <f aca="false">IF(MAX(_xlfn.MAXIFS(HISTORIAL!$R$5:$R$2004,HISTORIAL!$E$5:$E$2004,$A15,HISTORIAL!$F$5:$F$2004,"Post-Bilbo"),_xlfn.MAXIFS(HISTORIAL!$R$5:$R$2004,HISTORIAL!$E$5:$E$2004,$A15,HISTORIAL!$F$5:$F$2004,"Trabajo"))=0,"",MAX(_xlfn.MAXIFS(HISTORIAL!$R$5:$R$2004,HISTORIAL!$E$5:$E$2004,$A15,HISTORIAL!$F$5:$F$2004,"Post-Bilbo"),_xlfn.MAXIFS(HISTORIAL!$R$5:$R$2004,HISTORIAL!$E$5:$E$2004,$A15,HISTORIAL!$F$5:$F$2004,"Trabajo")))</f>
        <v/>
      </c>
      <c r="L15" s="27" t="str">
        <f aca="false">IF(_xlfn.MAXIFS(HISTORIAL!$J$5:$J$2004,HISTORIAL!$E$5:$E$2004,$A15,HISTORIAL!$F$5:$F$2004,"Potencia")=0,"",_xlfn.MAXIFS(HISTORIAL!$J$5:$J$2004,HISTORIAL!$E$5:$E$2004,$A15,HISTORIAL!$F$5:$F$2004,"Potencia"))</f>
        <v/>
      </c>
    </row>
    <row r="16" customFormat="false" ht="15" hidden="false" customHeight="true" outlineLevel="0" collapsed="false">
      <c r="A16" s="10" t="s">
        <v>309</v>
      </c>
      <c r="B16" s="27" t="str">
        <f aca="false">IF(_xlfn.MAXIFS(HISTORIAL!$J$5:$J$2004,HISTORIAL!$E$5:$E$2004,$A16,HISTORIAL!$F$5:$F$2004,"Bilbo")=0,"",_xlfn.MAXIFS(HISTORIAL!$J$5:$J$2004,HISTORIAL!$E$5:$E$2004,$A16,HISTORIAL!$F$5:$F$2004,"Bilbo"))</f>
        <v/>
      </c>
      <c r="C16" s="18" t="str">
        <f aca="false">IF(B16="","",_xlfn.MAXIFS(HISTORIAL!$K$5:$K$2004,HISTORIAL!$E$5:$E$2004,$A16,HISTORIAL!$F$5:$F$2004,"Bilbo",HISTORIAL!$J$5:$J$2004,B16))</f>
        <v/>
      </c>
      <c r="D16" s="28" t="str">
        <f aca="false">IF(B16="","",_xlfn.MAXIFS(HISTORIAL!$B$5:$B$2004,HISTORIAL!$E$5:$E$2004,$A16,HISTORIAL!$F$5:$F$2004,"Bilbo",HISTORIAL!$J$5:$J$2004,B16,HISTORIAL!$K$5:$K$2004,C16))</f>
        <v/>
      </c>
      <c r="E16" s="18" t="str">
        <f aca="false">IF(_xlfn.MAXIFS(HISTORIAL!$K$5:$K$2004,HISTORIAL!$E$5:$E$2004,$A16,HISTORIAL!$F$5:$F$2004,"Bilbo")=0,"",_xlfn.MAXIFS(HISTORIAL!$K$5:$K$2004,HISTORIAL!$E$5:$E$2004,$A16,HISTORIAL!$F$5:$F$2004,"Bilbo"))</f>
        <v/>
      </c>
      <c r="F16" s="27" t="str">
        <f aca="false">IF(E16="","",_xlfn.MAXIFS(HISTORIAL!$J$5:$J$2004,HISTORIAL!$E$5:$E$2004,$A16,HISTORIAL!$F$5:$F$2004,"Bilbo",HISTORIAL!$K$5:$K$2004,E16))</f>
        <v/>
      </c>
      <c r="G16" s="27" t="str">
        <f aca="false">IF(_xlfn.MAXIFS(HISTORIAL!$T$5:$T$2004,HISTORIAL!$E$5:$E$2004,$A16,HISTORIAL!$F$5:$F$2004,"Bilbo")=0,"",_xlfn.MAXIFS(HISTORIAL!$T$5:$T$2004,HISTORIAL!$E$5:$E$2004,$A16,HISTORIAL!$F$5:$F$2004,"Bilbo"))</f>
        <v/>
      </c>
      <c r="H16" s="27" t="str">
        <f aca="false">IF(MAX(_xlfn.MAXIFS(HISTORIAL!$J$5:$J$2004,HISTORIAL!$E$5:$E$2004,$A16,HISTORIAL!$F$5:$F$2004,"Post-Bilbo"),_xlfn.MAXIFS(HISTORIAL!$J$5:$J$2004,HISTORIAL!$E$5:$E$2004,$A16,HISTORIAL!$F$5:$F$2004,"Trabajo"))=0,"",MAX(_xlfn.MAXIFS(HISTORIAL!$J$5:$J$2004,HISTORIAL!$E$5:$E$2004,$A16,HISTORIAL!$F$5:$F$2004,"Post-Bilbo"),_xlfn.MAXIFS(HISTORIAL!$J$5:$J$2004,HISTORIAL!$E$5:$E$2004,$A16,HISTORIAL!$F$5:$F$2004,"Trabajo")))</f>
        <v/>
      </c>
      <c r="I16" s="18" t="str">
        <f aca="false">IF(H16="","",MAX(_xlfn.MAXIFS(HISTORIAL!$K$5:$K$2004,HISTORIAL!$E$5:$E$2004,$A16,HISTORIAL!$F$5:$F$2004,"Post-Bilbo",HISTORIAL!$J$5:$J$2004,H16),_xlfn.MAXIFS(HISTORIAL!$K$5:$K$2004,HISTORIAL!$E$5:$E$2004,$A16,HISTORIAL!$F$5:$F$2004,"Trabajo",HISTORIAL!$J$5:$J$2004,H16)))</f>
        <v/>
      </c>
      <c r="J16" s="27" t="str">
        <f aca="false">IF(_xlfn.MAXIFS(HISTORIAL!$S$5:$S$2004,HISTORIAL!$E$5:$E$2004,$A16)=0,"",_xlfn.MAXIFS(HISTORIAL!$S$5:$S$2004,HISTORIAL!$E$5:$E$2004,$A16))</f>
        <v/>
      </c>
      <c r="K16" s="26" t="str">
        <f aca="false">IF(MAX(_xlfn.MAXIFS(HISTORIAL!$R$5:$R$2004,HISTORIAL!$E$5:$E$2004,$A16,HISTORIAL!$F$5:$F$2004,"Post-Bilbo"),_xlfn.MAXIFS(HISTORIAL!$R$5:$R$2004,HISTORIAL!$E$5:$E$2004,$A16,HISTORIAL!$F$5:$F$2004,"Trabajo"))=0,"",MAX(_xlfn.MAXIFS(HISTORIAL!$R$5:$R$2004,HISTORIAL!$E$5:$E$2004,$A16,HISTORIAL!$F$5:$F$2004,"Post-Bilbo"),_xlfn.MAXIFS(HISTORIAL!$R$5:$R$2004,HISTORIAL!$E$5:$E$2004,$A16,HISTORIAL!$F$5:$F$2004,"Trabajo")))</f>
        <v/>
      </c>
      <c r="L16" s="27" t="str">
        <f aca="false">IF(_xlfn.MAXIFS(HISTORIAL!$J$5:$J$2004,HISTORIAL!$E$5:$E$2004,$A16,HISTORIAL!$F$5:$F$2004,"Potencia")=0,"",_xlfn.MAXIFS(HISTORIAL!$J$5:$J$2004,HISTORIAL!$E$5:$E$2004,$A16,HISTORIAL!$F$5:$F$2004,"Potencia"))</f>
        <v/>
      </c>
    </row>
    <row r="17" customFormat="false" ht="15" hidden="false" customHeight="true" outlineLevel="0" collapsed="false">
      <c r="A17" s="10" t="s">
        <v>315</v>
      </c>
      <c r="B17" s="27" t="str">
        <f aca="false">IF(_xlfn.MAXIFS(HISTORIAL!$J$5:$J$2004,HISTORIAL!$E$5:$E$2004,$A17,HISTORIAL!$F$5:$F$2004,"Bilbo")=0,"",_xlfn.MAXIFS(HISTORIAL!$J$5:$J$2004,HISTORIAL!$E$5:$E$2004,$A17,HISTORIAL!$F$5:$F$2004,"Bilbo"))</f>
        <v/>
      </c>
      <c r="C17" s="18" t="str">
        <f aca="false">IF(B17="","",_xlfn.MAXIFS(HISTORIAL!$K$5:$K$2004,HISTORIAL!$E$5:$E$2004,$A17,HISTORIAL!$F$5:$F$2004,"Bilbo",HISTORIAL!$J$5:$J$2004,B17))</f>
        <v/>
      </c>
      <c r="D17" s="28" t="str">
        <f aca="false">IF(B17="","",_xlfn.MAXIFS(HISTORIAL!$B$5:$B$2004,HISTORIAL!$E$5:$E$2004,$A17,HISTORIAL!$F$5:$F$2004,"Bilbo",HISTORIAL!$J$5:$J$2004,B17,HISTORIAL!$K$5:$K$2004,C17))</f>
        <v/>
      </c>
      <c r="E17" s="18" t="str">
        <f aca="false">IF(_xlfn.MAXIFS(HISTORIAL!$K$5:$K$2004,HISTORIAL!$E$5:$E$2004,$A17,HISTORIAL!$F$5:$F$2004,"Bilbo")=0,"",_xlfn.MAXIFS(HISTORIAL!$K$5:$K$2004,HISTORIAL!$E$5:$E$2004,$A17,HISTORIAL!$F$5:$F$2004,"Bilbo"))</f>
        <v/>
      </c>
      <c r="F17" s="27" t="str">
        <f aca="false">IF(E17="","",_xlfn.MAXIFS(HISTORIAL!$J$5:$J$2004,HISTORIAL!$E$5:$E$2004,$A17,HISTORIAL!$F$5:$F$2004,"Bilbo",HISTORIAL!$K$5:$K$2004,E17))</f>
        <v/>
      </c>
      <c r="G17" s="27" t="str">
        <f aca="false">IF(_xlfn.MAXIFS(HISTORIAL!$T$5:$T$2004,HISTORIAL!$E$5:$E$2004,$A17,HISTORIAL!$F$5:$F$2004,"Bilbo")=0,"",_xlfn.MAXIFS(HISTORIAL!$T$5:$T$2004,HISTORIAL!$E$5:$E$2004,$A17,HISTORIAL!$F$5:$F$2004,"Bilbo"))</f>
        <v/>
      </c>
      <c r="H17" s="27" t="str">
        <f aca="false">IF(MAX(_xlfn.MAXIFS(HISTORIAL!$J$5:$J$2004,HISTORIAL!$E$5:$E$2004,$A17,HISTORIAL!$F$5:$F$2004,"Post-Bilbo"),_xlfn.MAXIFS(HISTORIAL!$J$5:$J$2004,HISTORIAL!$E$5:$E$2004,$A17,HISTORIAL!$F$5:$F$2004,"Trabajo"))=0,"",MAX(_xlfn.MAXIFS(HISTORIAL!$J$5:$J$2004,HISTORIAL!$E$5:$E$2004,$A17,HISTORIAL!$F$5:$F$2004,"Post-Bilbo"),_xlfn.MAXIFS(HISTORIAL!$J$5:$J$2004,HISTORIAL!$E$5:$E$2004,$A17,HISTORIAL!$F$5:$F$2004,"Trabajo")))</f>
        <v/>
      </c>
      <c r="I17" s="18" t="str">
        <f aca="false">IF(H17="","",MAX(_xlfn.MAXIFS(HISTORIAL!$K$5:$K$2004,HISTORIAL!$E$5:$E$2004,$A17,HISTORIAL!$F$5:$F$2004,"Post-Bilbo",HISTORIAL!$J$5:$J$2004,H17),_xlfn.MAXIFS(HISTORIAL!$K$5:$K$2004,HISTORIAL!$E$5:$E$2004,$A17,HISTORIAL!$F$5:$F$2004,"Trabajo",HISTORIAL!$J$5:$J$2004,H17)))</f>
        <v/>
      </c>
      <c r="J17" s="27" t="str">
        <f aca="false">IF(_xlfn.MAXIFS(HISTORIAL!$S$5:$S$2004,HISTORIAL!$E$5:$E$2004,$A17)=0,"",_xlfn.MAXIFS(HISTORIAL!$S$5:$S$2004,HISTORIAL!$E$5:$E$2004,$A17))</f>
        <v/>
      </c>
      <c r="K17" s="26" t="str">
        <f aca="false">IF(MAX(_xlfn.MAXIFS(HISTORIAL!$R$5:$R$2004,HISTORIAL!$E$5:$E$2004,$A17,HISTORIAL!$F$5:$F$2004,"Post-Bilbo"),_xlfn.MAXIFS(HISTORIAL!$R$5:$R$2004,HISTORIAL!$E$5:$E$2004,$A17,HISTORIAL!$F$5:$F$2004,"Trabajo"))=0,"",MAX(_xlfn.MAXIFS(HISTORIAL!$R$5:$R$2004,HISTORIAL!$E$5:$E$2004,$A17,HISTORIAL!$F$5:$F$2004,"Post-Bilbo"),_xlfn.MAXIFS(HISTORIAL!$R$5:$R$2004,HISTORIAL!$E$5:$E$2004,$A17,HISTORIAL!$F$5:$F$2004,"Trabajo")))</f>
        <v/>
      </c>
      <c r="L17" s="27" t="str">
        <f aca="false">IF(_xlfn.MAXIFS(HISTORIAL!$J$5:$J$2004,HISTORIAL!$E$5:$E$2004,$A17,HISTORIAL!$F$5:$F$2004,"Potencia")=0,"",_xlfn.MAXIFS(HISTORIAL!$J$5:$J$2004,HISTORIAL!$E$5:$E$2004,$A17,HISTORIAL!$F$5:$F$2004,"Potencia"))</f>
        <v/>
      </c>
    </row>
    <row r="18" customFormat="false" ht="15" hidden="false" customHeight="true" outlineLevel="0" collapsed="false">
      <c r="A18" s="10" t="s">
        <v>318</v>
      </c>
      <c r="B18" s="27" t="str">
        <f aca="false">IF(_xlfn.MAXIFS(HISTORIAL!$J$5:$J$2004,HISTORIAL!$E$5:$E$2004,$A18,HISTORIAL!$F$5:$F$2004,"Bilbo")=0,"",_xlfn.MAXIFS(HISTORIAL!$J$5:$J$2004,HISTORIAL!$E$5:$E$2004,$A18,HISTORIAL!$F$5:$F$2004,"Bilbo"))</f>
        <v/>
      </c>
      <c r="C18" s="18" t="str">
        <f aca="false">IF(B18="","",_xlfn.MAXIFS(HISTORIAL!$K$5:$K$2004,HISTORIAL!$E$5:$E$2004,$A18,HISTORIAL!$F$5:$F$2004,"Bilbo",HISTORIAL!$J$5:$J$2004,B18))</f>
        <v/>
      </c>
      <c r="D18" s="28" t="str">
        <f aca="false">IF(B18="","",_xlfn.MAXIFS(HISTORIAL!$B$5:$B$2004,HISTORIAL!$E$5:$E$2004,$A18,HISTORIAL!$F$5:$F$2004,"Bilbo",HISTORIAL!$J$5:$J$2004,B18,HISTORIAL!$K$5:$K$2004,C18))</f>
        <v/>
      </c>
      <c r="E18" s="18" t="str">
        <f aca="false">IF(_xlfn.MAXIFS(HISTORIAL!$K$5:$K$2004,HISTORIAL!$E$5:$E$2004,$A18,HISTORIAL!$F$5:$F$2004,"Bilbo")=0,"",_xlfn.MAXIFS(HISTORIAL!$K$5:$K$2004,HISTORIAL!$E$5:$E$2004,$A18,HISTORIAL!$F$5:$F$2004,"Bilbo"))</f>
        <v/>
      </c>
      <c r="F18" s="27" t="str">
        <f aca="false">IF(E18="","",_xlfn.MAXIFS(HISTORIAL!$J$5:$J$2004,HISTORIAL!$E$5:$E$2004,$A18,HISTORIAL!$F$5:$F$2004,"Bilbo",HISTORIAL!$K$5:$K$2004,E18))</f>
        <v/>
      </c>
      <c r="G18" s="27" t="str">
        <f aca="false">IF(_xlfn.MAXIFS(HISTORIAL!$T$5:$T$2004,HISTORIAL!$E$5:$E$2004,$A18,HISTORIAL!$F$5:$F$2004,"Bilbo")=0,"",_xlfn.MAXIFS(HISTORIAL!$T$5:$T$2004,HISTORIAL!$E$5:$E$2004,$A18,HISTORIAL!$F$5:$F$2004,"Bilbo"))</f>
        <v/>
      </c>
      <c r="H18" s="27" t="str">
        <f aca="false">IF(MAX(_xlfn.MAXIFS(HISTORIAL!$J$5:$J$2004,HISTORIAL!$E$5:$E$2004,$A18,HISTORIAL!$F$5:$F$2004,"Post-Bilbo"),_xlfn.MAXIFS(HISTORIAL!$J$5:$J$2004,HISTORIAL!$E$5:$E$2004,$A18,HISTORIAL!$F$5:$F$2004,"Trabajo"))=0,"",MAX(_xlfn.MAXIFS(HISTORIAL!$J$5:$J$2004,HISTORIAL!$E$5:$E$2004,$A18,HISTORIAL!$F$5:$F$2004,"Post-Bilbo"),_xlfn.MAXIFS(HISTORIAL!$J$5:$J$2004,HISTORIAL!$E$5:$E$2004,$A18,HISTORIAL!$F$5:$F$2004,"Trabajo")))</f>
        <v/>
      </c>
      <c r="I18" s="18" t="str">
        <f aca="false">IF(H18="","",MAX(_xlfn.MAXIFS(HISTORIAL!$K$5:$K$2004,HISTORIAL!$E$5:$E$2004,$A18,HISTORIAL!$F$5:$F$2004,"Post-Bilbo",HISTORIAL!$J$5:$J$2004,H18),_xlfn.MAXIFS(HISTORIAL!$K$5:$K$2004,HISTORIAL!$E$5:$E$2004,$A18,HISTORIAL!$F$5:$F$2004,"Trabajo",HISTORIAL!$J$5:$J$2004,H18)))</f>
        <v/>
      </c>
      <c r="J18" s="27" t="str">
        <f aca="false">IF(_xlfn.MAXIFS(HISTORIAL!$S$5:$S$2004,HISTORIAL!$E$5:$E$2004,$A18)=0,"",_xlfn.MAXIFS(HISTORIAL!$S$5:$S$2004,HISTORIAL!$E$5:$E$2004,$A18))</f>
        <v/>
      </c>
      <c r="K18" s="26" t="str">
        <f aca="false">IF(MAX(_xlfn.MAXIFS(HISTORIAL!$R$5:$R$2004,HISTORIAL!$E$5:$E$2004,$A18,HISTORIAL!$F$5:$F$2004,"Post-Bilbo"),_xlfn.MAXIFS(HISTORIAL!$R$5:$R$2004,HISTORIAL!$E$5:$E$2004,$A18,HISTORIAL!$F$5:$F$2004,"Trabajo"))=0,"",MAX(_xlfn.MAXIFS(HISTORIAL!$R$5:$R$2004,HISTORIAL!$E$5:$E$2004,$A18,HISTORIAL!$F$5:$F$2004,"Post-Bilbo"),_xlfn.MAXIFS(HISTORIAL!$R$5:$R$2004,HISTORIAL!$E$5:$E$2004,$A18,HISTORIAL!$F$5:$F$2004,"Trabajo")))</f>
        <v/>
      </c>
      <c r="L18" s="27" t="str">
        <f aca="false">IF(_xlfn.MAXIFS(HISTORIAL!$J$5:$J$2004,HISTORIAL!$E$5:$E$2004,$A18,HISTORIAL!$F$5:$F$2004,"Potencia")=0,"",_xlfn.MAXIFS(HISTORIAL!$J$5:$J$2004,HISTORIAL!$E$5:$E$2004,$A18,HISTORIAL!$F$5:$F$2004,"Potencia"))</f>
        <v/>
      </c>
    </row>
    <row r="21" customFormat="false" ht="15" hidden="false" customHeight="true" outlineLevel="0" collapsed="false">
      <c r="A21" s="33" t="s">
        <v>594</v>
      </c>
    </row>
    <row r="22" customFormat="false" ht="34.5" hidden="false" customHeight="true" outlineLevel="0" collapsed="false">
      <c r="A22" s="5" t="s">
        <v>508</v>
      </c>
      <c r="B22" s="5" t="s">
        <v>274</v>
      </c>
      <c r="C22" s="5" t="s">
        <v>282</v>
      </c>
      <c r="D22" s="5" t="s">
        <v>283</v>
      </c>
      <c r="F22" s="10" t="s">
        <v>595</v>
      </c>
      <c r="G22" s="25" t="n">
        <f aca="false">CONFIGURACIÓN!$C$8</f>
        <v>2</v>
      </c>
      <c r="H22" s="10" t="s">
        <v>596</v>
      </c>
      <c r="I22" s="11" t="n">
        <v>10</v>
      </c>
    </row>
    <row r="23" customFormat="false" ht="15" hidden="false" customHeight="true" outlineLevel="0" collapsed="false">
      <c r="A23" s="27" t="n">
        <f aca="false">$I$22+0*$G$22</f>
        <v>10</v>
      </c>
      <c r="B23" s="18" t="str">
        <f aca="false">IF(_xlfn.MAXIFS(HISTORIAL!$K$5:$K$2004,HISTORIAL!$E$5:$E$2004,"Press banca",HISTORIAL!$F$5:$F$2004,"Bilbo",HISTORIAL!$J$5:$J$2004,$A23)=0,"",_xlfn.MAXIFS(HISTORIAL!$K$5:$K$2004,HISTORIAL!$E$5:$E$2004,"Press banca",HISTORIAL!$F$5:$F$2004,"Bilbo",HISTORIAL!$J$5:$J$2004,$A23))</f>
        <v/>
      </c>
      <c r="C23" s="18" t="str">
        <f aca="false">IF(_xlfn.MAXIFS(HISTORIAL!$K$5:$K$2004,HISTORIAL!$E$5:$E$2004,"Press militar",HISTORIAL!$F$5:$F$2004,"Bilbo",HISTORIAL!$J$5:$J$2004,$A23)=0,"",_xlfn.MAXIFS(HISTORIAL!$K$5:$K$2004,HISTORIAL!$E$5:$E$2004,"Press militar",HISTORIAL!$F$5:$F$2004,"Bilbo",HISTORIAL!$J$5:$J$2004,$A23))</f>
        <v/>
      </c>
      <c r="D23" s="18" t="str">
        <f aca="false">IF(_xlfn.MAXIFS(HISTORIAL!$K$5:$K$2004,HISTORIAL!$E$5:$E$2004,"Remo bajo en polea",HISTORIAL!$F$5:$F$2004,"Bilbo",HISTORIAL!$J$5:$J$2004,$A23)=0,"",_xlfn.MAXIFS(HISTORIAL!$K$5:$K$2004,HISTORIAL!$E$5:$E$2004,"Remo bajo en polea",HISTORIAL!$F$5:$F$2004,"Bilbo",HISTORIAL!$J$5:$J$2004,$A23))</f>
        <v/>
      </c>
    </row>
    <row r="24" customFormat="false" ht="15" hidden="false" customHeight="true" outlineLevel="0" collapsed="false">
      <c r="A24" s="27" t="n">
        <f aca="false">$I$22+1*$G$22</f>
        <v>12</v>
      </c>
      <c r="B24" s="18" t="str">
        <f aca="false">IF(_xlfn.MAXIFS(HISTORIAL!$K$5:$K$2004,HISTORIAL!$E$5:$E$2004,"Press banca",HISTORIAL!$F$5:$F$2004,"Bilbo",HISTORIAL!$J$5:$J$2004,$A24)=0,"",_xlfn.MAXIFS(HISTORIAL!$K$5:$K$2004,HISTORIAL!$E$5:$E$2004,"Press banca",HISTORIAL!$F$5:$F$2004,"Bilbo",HISTORIAL!$J$5:$J$2004,$A24))</f>
        <v/>
      </c>
      <c r="C24" s="18" t="str">
        <f aca="false">IF(_xlfn.MAXIFS(HISTORIAL!$K$5:$K$2004,HISTORIAL!$E$5:$E$2004,"Press militar",HISTORIAL!$F$5:$F$2004,"Bilbo",HISTORIAL!$J$5:$J$2004,$A24)=0,"",_xlfn.MAXIFS(HISTORIAL!$K$5:$K$2004,HISTORIAL!$E$5:$E$2004,"Press militar",HISTORIAL!$F$5:$F$2004,"Bilbo",HISTORIAL!$J$5:$J$2004,$A24))</f>
        <v/>
      </c>
      <c r="D24" s="18" t="str">
        <f aca="false">IF(_xlfn.MAXIFS(HISTORIAL!$K$5:$K$2004,HISTORIAL!$E$5:$E$2004,"Remo bajo en polea",HISTORIAL!$F$5:$F$2004,"Bilbo",HISTORIAL!$J$5:$J$2004,$A24)=0,"",_xlfn.MAXIFS(HISTORIAL!$K$5:$K$2004,HISTORIAL!$E$5:$E$2004,"Remo bajo en polea",HISTORIAL!$F$5:$F$2004,"Bilbo",HISTORIAL!$J$5:$J$2004,$A24))</f>
        <v/>
      </c>
    </row>
    <row r="25" customFormat="false" ht="15" hidden="false" customHeight="true" outlineLevel="0" collapsed="false">
      <c r="A25" s="27" t="n">
        <f aca="false">$I$22+2*$G$22</f>
        <v>14</v>
      </c>
      <c r="B25" s="18" t="str">
        <f aca="false">IF(_xlfn.MAXIFS(HISTORIAL!$K$5:$K$2004,HISTORIAL!$E$5:$E$2004,"Press banca",HISTORIAL!$F$5:$F$2004,"Bilbo",HISTORIAL!$J$5:$J$2004,$A25)=0,"",_xlfn.MAXIFS(HISTORIAL!$K$5:$K$2004,HISTORIAL!$E$5:$E$2004,"Press banca",HISTORIAL!$F$5:$F$2004,"Bilbo",HISTORIAL!$J$5:$J$2004,$A25))</f>
        <v/>
      </c>
      <c r="C25" s="18" t="str">
        <f aca="false">IF(_xlfn.MAXIFS(HISTORIAL!$K$5:$K$2004,HISTORIAL!$E$5:$E$2004,"Press militar",HISTORIAL!$F$5:$F$2004,"Bilbo",HISTORIAL!$J$5:$J$2004,$A25)=0,"",_xlfn.MAXIFS(HISTORIAL!$K$5:$K$2004,HISTORIAL!$E$5:$E$2004,"Press militar",HISTORIAL!$F$5:$F$2004,"Bilbo",HISTORIAL!$J$5:$J$2004,$A25))</f>
        <v/>
      </c>
      <c r="D25" s="18" t="str">
        <f aca="false">IF(_xlfn.MAXIFS(HISTORIAL!$K$5:$K$2004,HISTORIAL!$E$5:$E$2004,"Remo bajo en polea",HISTORIAL!$F$5:$F$2004,"Bilbo",HISTORIAL!$J$5:$J$2004,$A25)=0,"",_xlfn.MAXIFS(HISTORIAL!$K$5:$K$2004,HISTORIAL!$E$5:$E$2004,"Remo bajo en polea",HISTORIAL!$F$5:$F$2004,"Bilbo",HISTORIAL!$J$5:$J$2004,$A25))</f>
        <v/>
      </c>
    </row>
    <row r="26" customFormat="false" ht="15" hidden="false" customHeight="true" outlineLevel="0" collapsed="false">
      <c r="A26" s="27" t="n">
        <f aca="false">$I$22+3*$G$22</f>
        <v>16</v>
      </c>
      <c r="B26" s="18" t="str">
        <f aca="false">IF(_xlfn.MAXIFS(HISTORIAL!$K$5:$K$2004,HISTORIAL!$E$5:$E$2004,"Press banca",HISTORIAL!$F$5:$F$2004,"Bilbo",HISTORIAL!$J$5:$J$2004,$A26)=0,"",_xlfn.MAXIFS(HISTORIAL!$K$5:$K$2004,HISTORIAL!$E$5:$E$2004,"Press banca",HISTORIAL!$F$5:$F$2004,"Bilbo",HISTORIAL!$J$5:$J$2004,$A26))</f>
        <v/>
      </c>
      <c r="C26" s="18" t="str">
        <f aca="false">IF(_xlfn.MAXIFS(HISTORIAL!$K$5:$K$2004,HISTORIAL!$E$5:$E$2004,"Press militar",HISTORIAL!$F$5:$F$2004,"Bilbo",HISTORIAL!$J$5:$J$2004,$A26)=0,"",_xlfn.MAXIFS(HISTORIAL!$K$5:$K$2004,HISTORIAL!$E$5:$E$2004,"Press militar",HISTORIAL!$F$5:$F$2004,"Bilbo",HISTORIAL!$J$5:$J$2004,$A26))</f>
        <v/>
      </c>
      <c r="D26" s="18" t="str">
        <f aca="false">IF(_xlfn.MAXIFS(HISTORIAL!$K$5:$K$2004,HISTORIAL!$E$5:$E$2004,"Remo bajo en polea",HISTORIAL!$F$5:$F$2004,"Bilbo",HISTORIAL!$J$5:$J$2004,$A26)=0,"",_xlfn.MAXIFS(HISTORIAL!$K$5:$K$2004,HISTORIAL!$E$5:$E$2004,"Remo bajo en polea",HISTORIAL!$F$5:$F$2004,"Bilbo",HISTORIAL!$J$5:$J$2004,$A26))</f>
        <v/>
      </c>
    </row>
    <row r="27" customFormat="false" ht="15" hidden="false" customHeight="true" outlineLevel="0" collapsed="false">
      <c r="A27" s="27" t="n">
        <f aca="false">$I$22+4*$G$22</f>
        <v>18</v>
      </c>
      <c r="B27" s="18" t="str">
        <f aca="false">IF(_xlfn.MAXIFS(HISTORIAL!$K$5:$K$2004,HISTORIAL!$E$5:$E$2004,"Press banca",HISTORIAL!$F$5:$F$2004,"Bilbo",HISTORIAL!$J$5:$J$2004,$A27)=0,"",_xlfn.MAXIFS(HISTORIAL!$K$5:$K$2004,HISTORIAL!$E$5:$E$2004,"Press banca",HISTORIAL!$F$5:$F$2004,"Bilbo",HISTORIAL!$J$5:$J$2004,$A27))</f>
        <v/>
      </c>
      <c r="C27" s="18" t="str">
        <f aca="false">IF(_xlfn.MAXIFS(HISTORIAL!$K$5:$K$2004,HISTORIAL!$E$5:$E$2004,"Press militar",HISTORIAL!$F$5:$F$2004,"Bilbo",HISTORIAL!$J$5:$J$2004,$A27)=0,"",_xlfn.MAXIFS(HISTORIAL!$K$5:$K$2004,HISTORIAL!$E$5:$E$2004,"Press militar",HISTORIAL!$F$5:$F$2004,"Bilbo",HISTORIAL!$J$5:$J$2004,$A27))</f>
        <v/>
      </c>
      <c r="D27" s="18" t="str">
        <f aca="false">IF(_xlfn.MAXIFS(HISTORIAL!$K$5:$K$2004,HISTORIAL!$E$5:$E$2004,"Remo bajo en polea",HISTORIAL!$F$5:$F$2004,"Bilbo",HISTORIAL!$J$5:$J$2004,$A27)=0,"",_xlfn.MAXIFS(HISTORIAL!$K$5:$K$2004,HISTORIAL!$E$5:$E$2004,"Remo bajo en polea",HISTORIAL!$F$5:$F$2004,"Bilbo",HISTORIAL!$J$5:$J$2004,$A27))</f>
        <v/>
      </c>
    </row>
    <row r="28" customFormat="false" ht="15" hidden="false" customHeight="true" outlineLevel="0" collapsed="false">
      <c r="A28" s="27" t="n">
        <f aca="false">$I$22+5*$G$22</f>
        <v>20</v>
      </c>
      <c r="B28" s="18" t="str">
        <f aca="false">IF(_xlfn.MAXIFS(HISTORIAL!$K$5:$K$2004,HISTORIAL!$E$5:$E$2004,"Press banca",HISTORIAL!$F$5:$F$2004,"Bilbo",HISTORIAL!$J$5:$J$2004,$A28)=0,"",_xlfn.MAXIFS(HISTORIAL!$K$5:$K$2004,HISTORIAL!$E$5:$E$2004,"Press banca",HISTORIAL!$F$5:$F$2004,"Bilbo",HISTORIAL!$J$5:$J$2004,$A28))</f>
        <v/>
      </c>
      <c r="C28" s="18" t="str">
        <f aca="false">IF(_xlfn.MAXIFS(HISTORIAL!$K$5:$K$2004,HISTORIAL!$E$5:$E$2004,"Press militar",HISTORIAL!$F$5:$F$2004,"Bilbo",HISTORIAL!$J$5:$J$2004,$A28)=0,"",_xlfn.MAXIFS(HISTORIAL!$K$5:$K$2004,HISTORIAL!$E$5:$E$2004,"Press militar",HISTORIAL!$F$5:$F$2004,"Bilbo",HISTORIAL!$J$5:$J$2004,$A28))</f>
        <v/>
      </c>
      <c r="D28" s="18" t="str">
        <f aca="false">IF(_xlfn.MAXIFS(HISTORIAL!$K$5:$K$2004,HISTORIAL!$E$5:$E$2004,"Remo bajo en polea",HISTORIAL!$F$5:$F$2004,"Bilbo",HISTORIAL!$J$5:$J$2004,$A28)=0,"",_xlfn.MAXIFS(HISTORIAL!$K$5:$K$2004,HISTORIAL!$E$5:$E$2004,"Remo bajo en polea",HISTORIAL!$F$5:$F$2004,"Bilbo",HISTORIAL!$J$5:$J$2004,$A28))</f>
        <v/>
      </c>
    </row>
    <row r="29" customFormat="false" ht="15" hidden="false" customHeight="true" outlineLevel="0" collapsed="false">
      <c r="A29" s="27" t="n">
        <f aca="false">$I$22+6*$G$22</f>
        <v>22</v>
      </c>
      <c r="B29" s="18" t="str">
        <f aca="false">IF(_xlfn.MAXIFS(HISTORIAL!$K$5:$K$2004,HISTORIAL!$E$5:$E$2004,"Press banca",HISTORIAL!$F$5:$F$2004,"Bilbo",HISTORIAL!$J$5:$J$2004,$A29)=0,"",_xlfn.MAXIFS(HISTORIAL!$K$5:$K$2004,HISTORIAL!$E$5:$E$2004,"Press banca",HISTORIAL!$F$5:$F$2004,"Bilbo",HISTORIAL!$J$5:$J$2004,$A29))</f>
        <v/>
      </c>
      <c r="C29" s="18" t="str">
        <f aca="false">IF(_xlfn.MAXIFS(HISTORIAL!$K$5:$K$2004,HISTORIAL!$E$5:$E$2004,"Press militar",HISTORIAL!$F$5:$F$2004,"Bilbo",HISTORIAL!$J$5:$J$2004,$A29)=0,"",_xlfn.MAXIFS(HISTORIAL!$K$5:$K$2004,HISTORIAL!$E$5:$E$2004,"Press militar",HISTORIAL!$F$5:$F$2004,"Bilbo",HISTORIAL!$J$5:$J$2004,$A29))</f>
        <v/>
      </c>
      <c r="D29" s="18" t="str">
        <f aca="false">IF(_xlfn.MAXIFS(HISTORIAL!$K$5:$K$2004,HISTORIAL!$E$5:$E$2004,"Remo bajo en polea",HISTORIAL!$F$5:$F$2004,"Bilbo",HISTORIAL!$J$5:$J$2004,$A29)=0,"",_xlfn.MAXIFS(HISTORIAL!$K$5:$K$2004,HISTORIAL!$E$5:$E$2004,"Remo bajo en polea",HISTORIAL!$F$5:$F$2004,"Bilbo",HISTORIAL!$J$5:$J$2004,$A29))</f>
        <v/>
      </c>
    </row>
    <row r="30" customFormat="false" ht="15" hidden="false" customHeight="true" outlineLevel="0" collapsed="false">
      <c r="A30" s="27" t="n">
        <f aca="false">$I$22+7*$G$22</f>
        <v>24</v>
      </c>
      <c r="B30" s="18" t="str">
        <f aca="false">IF(_xlfn.MAXIFS(HISTORIAL!$K$5:$K$2004,HISTORIAL!$E$5:$E$2004,"Press banca",HISTORIAL!$F$5:$F$2004,"Bilbo",HISTORIAL!$J$5:$J$2004,$A30)=0,"",_xlfn.MAXIFS(HISTORIAL!$K$5:$K$2004,HISTORIAL!$E$5:$E$2004,"Press banca",HISTORIAL!$F$5:$F$2004,"Bilbo",HISTORIAL!$J$5:$J$2004,$A30))</f>
        <v/>
      </c>
      <c r="C30" s="18" t="str">
        <f aca="false">IF(_xlfn.MAXIFS(HISTORIAL!$K$5:$K$2004,HISTORIAL!$E$5:$E$2004,"Press militar",HISTORIAL!$F$5:$F$2004,"Bilbo",HISTORIAL!$J$5:$J$2004,$A30)=0,"",_xlfn.MAXIFS(HISTORIAL!$K$5:$K$2004,HISTORIAL!$E$5:$E$2004,"Press militar",HISTORIAL!$F$5:$F$2004,"Bilbo",HISTORIAL!$J$5:$J$2004,$A30))</f>
        <v/>
      </c>
      <c r="D30" s="18" t="str">
        <f aca="false">IF(_xlfn.MAXIFS(HISTORIAL!$K$5:$K$2004,HISTORIAL!$E$5:$E$2004,"Remo bajo en polea",HISTORIAL!$F$5:$F$2004,"Bilbo",HISTORIAL!$J$5:$J$2004,$A30)=0,"",_xlfn.MAXIFS(HISTORIAL!$K$5:$K$2004,HISTORIAL!$E$5:$E$2004,"Remo bajo en polea",HISTORIAL!$F$5:$F$2004,"Bilbo",HISTORIAL!$J$5:$J$2004,$A30))</f>
        <v/>
      </c>
    </row>
    <row r="31" customFormat="false" ht="15" hidden="false" customHeight="true" outlineLevel="0" collapsed="false">
      <c r="A31" s="27" t="n">
        <f aca="false">$I$22+8*$G$22</f>
        <v>26</v>
      </c>
      <c r="B31" s="18" t="str">
        <f aca="false">IF(_xlfn.MAXIFS(HISTORIAL!$K$5:$K$2004,HISTORIAL!$E$5:$E$2004,"Press banca",HISTORIAL!$F$5:$F$2004,"Bilbo",HISTORIAL!$J$5:$J$2004,$A31)=0,"",_xlfn.MAXIFS(HISTORIAL!$K$5:$K$2004,HISTORIAL!$E$5:$E$2004,"Press banca",HISTORIAL!$F$5:$F$2004,"Bilbo",HISTORIAL!$J$5:$J$2004,$A31))</f>
        <v/>
      </c>
      <c r="C31" s="18" t="str">
        <f aca="false">IF(_xlfn.MAXIFS(HISTORIAL!$K$5:$K$2004,HISTORIAL!$E$5:$E$2004,"Press militar",HISTORIAL!$F$5:$F$2004,"Bilbo",HISTORIAL!$J$5:$J$2004,$A31)=0,"",_xlfn.MAXIFS(HISTORIAL!$K$5:$K$2004,HISTORIAL!$E$5:$E$2004,"Press militar",HISTORIAL!$F$5:$F$2004,"Bilbo",HISTORIAL!$J$5:$J$2004,$A31))</f>
        <v/>
      </c>
      <c r="D31" s="18" t="str">
        <f aca="false">IF(_xlfn.MAXIFS(HISTORIAL!$K$5:$K$2004,HISTORIAL!$E$5:$E$2004,"Remo bajo en polea",HISTORIAL!$F$5:$F$2004,"Bilbo",HISTORIAL!$J$5:$J$2004,$A31)=0,"",_xlfn.MAXIFS(HISTORIAL!$K$5:$K$2004,HISTORIAL!$E$5:$E$2004,"Remo bajo en polea",HISTORIAL!$F$5:$F$2004,"Bilbo",HISTORIAL!$J$5:$J$2004,$A31))</f>
        <v/>
      </c>
    </row>
    <row r="32" customFormat="false" ht="15" hidden="false" customHeight="true" outlineLevel="0" collapsed="false">
      <c r="A32" s="27" t="n">
        <f aca="false">$I$22+9*$G$22</f>
        <v>28</v>
      </c>
      <c r="B32" s="18" t="str">
        <f aca="false">IF(_xlfn.MAXIFS(HISTORIAL!$K$5:$K$2004,HISTORIAL!$E$5:$E$2004,"Press banca",HISTORIAL!$F$5:$F$2004,"Bilbo",HISTORIAL!$J$5:$J$2004,$A32)=0,"",_xlfn.MAXIFS(HISTORIAL!$K$5:$K$2004,HISTORIAL!$E$5:$E$2004,"Press banca",HISTORIAL!$F$5:$F$2004,"Bilbo",HISTORIAL!$J$5:$J$2004,$A32))</f>
        <v/>
      </c>
      <c r="C32" s="18" t="str">
        <f aca="false">IF(_xlfn.MAXIFS(HISTORIAL!$K$5:$K$2004,HISTORIAL!$E$5:$E$2004,"Press militar",HISTORIAL!$F$5:$F$2004,"Bilbo",HISTORIAL!$J$5:$J$2004,$A32)=0,"",_xlfn.MAXIFS(HISTORIAL!$K$5:$K$2004,HISTORIAL!$E$5:$E$2004,"Press militar",HISTORIAL!$F$5:$F$2004,"Bilbo",HISTORIAL!$J$5:$J$2004,$A32))</f>
        <v/>
      </c>
      <c r="D32" s="18" t="str">
        <f aca="false">IF(_xlfn.MAXIFS(HISTORIAL!$K$5:$K$2004,HISTORIAL!$E$5:$E$2004,"Remo bajo en polea",HISTORIAL!$F$5:$F$2004,"Bilbo",HISTORIAL!$J$5:$J$2004,$A32)=0,"",_xlfn.MAXIFS(HISTORIAL!$K$5:$K$2004,HISTORIAL!$E$5:$E$2004,"Remo bajo en polea",HISTORIAL!$F$5:$F$2004,"Bilbo",HISTORIAL!$J$5:$J$2004,$A32))</f>
        <v/>
      </c>
    </row>
    <row r="33" customFormat="false" ht="15" hidden="false" customHeight="true" outlineLevel="0" collapsed="false">
      <c r="A33" s="27" t="n">
        <f aca="false">$I$22+10*$G$22</f>
        <v>30</v>
      </c>
      <c r="B33" s="18" t="str">
        <f aca="false">IF(_xlfn.MAXIFS(HISTORIAL!$K$5:$K$2004,HISTORIAL!$E$5:$E$2004,"Press banca",HISTORIAL!$F$5:$F$2004,"Bilbo",HISTORIAL!$J$5:$J$2004,$A33)=0,"",_xlfn.MAXIFS(HISTORIAL!$K$5:$K$2004,HISTORIAL!$E$5:$E$2004,"Press banca",HISTORIAL!$F$5:$F$2004,"Bilbo",HISTORIAL!$J$5:$J$2004,$A33))</f>
        <v/>
      </c>
      <c r="C33" s="18" t="str">
        <f aca="false">IF(_xlfn.MAXIFS(HISTORIAL!$K$5:$K$2004,HISTORIAL!$E$5:$E$2004,"Press militar",HISTORIAL!$F$5:$F$2004,"Bilbo",HISTORIAL!$J$5:$J$2004,$A33)=0,"",_xlfn.MAXIFS(HISTORIAL!$K$5:$K$2004,HISTORIAL!$E$5:$E$2004,"Press militar",HISTORIAL!$F$5:$F$2004,"Bilbo",HISTORIAL!$J$5:$J$2004,$A33))</f>
        <v/>
      </c>
      <c r="D33" s="18" t="str">
        <f aca="false">IF(_xlfn.MAXIFS(HISTORIAL!$K$5:$K$2004,HISTORIAL!$E$5:$E$2004,"Remo bajo en polea",HISTORIAL!$F$5:$F$2004,"Bilbo",HISTORIAL!$J$5:$J$2004,$A33)=0,"",_xlfn.MAXIFS(HISTORIAL!$K$5:$K$2004,HISTORIAL!$E$5:$E$2004,"Remo bajo en polea",HISTORIAL!$F$5:$F$2004,"Bilbo",HISTORIAL!$J$5:$J$2004,$A33))</f>
        <v/>
      </c>
    </row>
    <row r="34" customFormat="false" ht="15" hidden="false" customHeight="true" outlineLevel="0" collapsed="false">
      <c r="A34" s="27" t="n">
        <f aca="false">$I$22+11*$G$22</f>
        <v>32</v>
      </c>
      <c r="B34" s="18" t="str">
        <f aca="false">IF(_xlfn.MAXIFS(HISTORIAL!$K$5:$K$2004,HISTORIAL!$E$5:$E$2004,"Press banca",HISTORIAL!$F$5:$F$2004,"Bilbo",HISTORIAL!$J$5:$J$2004,$A34)=0,"",_xlfn.MAXIFS(HISTORIAL!$K$5:$K$2004,HISTORIAL!$E$5:$E$2004,"Press banca",HISTORIAL!$F$5:$F$2004,"Bilbo",HISTORIAL!$J$5:$J$2004,$A34))</f>
        <v/>
      </c>
      <c r="C34" s="18" t="str">
        <f aca="false">IF(_xlfn.MAXIFS(HISTORIAL!$K$5:$K$2004,HISTORIAL!$E$5:$E$2004,"Press militar",HISTORIAL!$F$5:$F$2004,"Bilbo",HISTORIAL!$J$5:$J$2004,$A34)=0,"",_xlfn.MAXIFS(HISTORIAL!$K$5:$K$2004,HISTORIAL!$E$5:$E$2004,"Press militar",HISTORIAL!$F$5:$F$2004,"Bilbo",HISTORIAL!$J$5:$J$2004,$A34))</f>
        <v/>
      </c>
      <c r="D34" s="18" t="str">
        <f aca="false">IF(_xlfn.MAXIFS(HISTORIAL!$K$5:$K$2004,HISTORIAL!$E$5:$E$2004,"Remo bajo en polea",HISTORIAL!$F$5:$F$2004,"Bilbo",HISTORIAL!$J$5:$J$2004,$A34)=0,"",_xlfn.MAXIFS(HISTORIAL!$K$5:$K$2004,HISTORIAL!$E$5:$E$2004,"Remo bajo en polea",HISTORIAL!$F$5:$F$2004,"Bilbo",HISTORIAL!$J$5:$J$2004,$A34))</f>
        <v/>
      </c>
    </row>
    <row r="35" customFormat="false" ht="15" hidden="false" customHeight="true" outlineLevel="0" collapsed="false">
      <c r="A35" s="27" t="n">
        <f aca="false">$I$22+12*$G$22</f>
        <v>34</v>
      </c>
      <c r="B35" s="18" t="str">
        <f aca="false">IF(_xlfn.MAXIFS(HISTORIAL!$K$5:$K$2004,HISTORIAL!$E$5:$E$2004,"Press banca",HISTORIAL!$F$5:$F$2004,"Bilbo",HISTORIAL!$J$5:$J$2004,$A35)=0,"",_xlfn.MAXIFS(HISTORIAL!$K$5:$K$2004,HISTORIAL!$E$5:$E$2004,"Press banca",HISTORIAL!$F$5:$F$2004,"Bilbo",HISTORIAL!$J$5:$J$2004,$A35))</f>
        <v/>
      </c>
      <c r="C35" s="18" t="str">
        <f aca="false">IF(_xlfn.MAXIFS(HISTORIAL!$K$5:$K$2004,HISTORIAL!$E$5:$E$2004,"Press militar",HISTORIAL!$F$5:$F$2004,"Bilbo",HISTORIAL!$J$5:$J$2004,$A35)=0,"",_xlfn.MAXIFS(HISTORIAL!$K$5:$K$2004,HISTORIAL!$E$5:$E$2004,"Press militar",HISTORIAL!$F$5:$F$2004,"Bilbo",HISTORIAL!$J$5:$J$2004,$A35))</f>
        <v/>
      </c>
      <c r="D35" s="18" t="str">
        <f aca="false">IF(_xlfn.MAXIFS(HISTORIAL!$K$5:$K$2004,HISTORIAL!$E$5:$E$2004,"Remo bajo en polea",HISTORIAL!$F$5:$F$2004,"Bilbo",HISTORIAL!$J$5:$J$2004,$A35)=0,"",_xlfn.MAXIFS(HISTORIAL!$K$5:$K$2004,HISTORIAL!$E$5:$E$2004,"Remo bajo en polea",HISTORIAL!$F$5:$F$2004,"Bilbo",HISTORIAL!$J$5:$J$2004,$A35))</f>
        <v/>
      </c>
    </row>
    <row r="36" customFormat="false" ht="15" hidden="false" customHeight="true" outlineLevel="0" collapsed="false">
      <c r="A36" s="27" t="n">
        <f aca="false">$I$22+13*$G$22</f>
        <v>36</v>
      </c>
      <c r="B36" s="18" t="str">
        <f aca="false">IF(_xlfn.MAXIFS(HISTORIAL!$K$5:$K$2004,HISTORIAL!$E$5:$E$2004,"Press banca",HISTORIAL!$F$5:$F$2004,"Bilbo",HISTORIAL!$J$5:$J$2004,$A36)=0,"",_xlfn.MAXIFS(HISTORIAL!$K$5:$K$2004,HISTORIAL!$E$5:$E$2004,"Press banca",HISTORIAL!$F$5:$F$2004,"Bilbo",HISTORIAL!$J$5:$J$2004,$A36))</f>
        <v/>
      </c>
      <c r="C36" s="18" t="str">
        <f aca="false">IF(_xlfn.MAXIFS(HISTORIAL!$K$5:$K$2004,HISTORIAL!$E$5:$E$2004,"Press militar",HISTORIAL!$F$5:$F$2004,"Bilbo",HISTORIAL!$J$5:$J$2004,$A36)=0,"",_xlfn.MAXIFS(HISTORIAL!$K$5:$K$2004,HISTORIAL!$E$5:$E$2004,"Press militar",HISTORIAL!$F$5:$F$2004,"Bilbo",HISTORIAL!$J$5:$J$2004,$A36))</f>
        <v/>
      </c>
      <c r="D36" s="18" t="str">
        <f aca="false">IF(_xlfn.MAXIFS(HISTORIAL!$K$5:$K$2004,HISTORIAL!$E$5:$E$2004,"Remo bajo en polea",HISTORIAL!$F$5:$F$2004,"Bilbo",HISTORIAL!$J$5:$J$2004,$A36)=0,"",_xlfn.MAXIFS(HISTORIAL!$K$5:$K$2004,HISTORIAL!$E$5:$E$2004,"Remo bajo en polea",HISTORIAL!$F$5:$F$2004,"Bilbo",HISTORIAL!$J$5:$J$2004,$A36))</f>
        <v/>
      </c>
    </row>
    <row r="37" customFormat="false" ht="15" hidden="false" customHeight="true" outlineLevel="0" collapsed="false">
      <c r="A37" s="27" t="n">
        <f aca="false">$I$22+14*$G$22</f>
        <v>38</v>
      </c>
      <c r="B37" s="18" t="str">
        <f aca="false">IF(_xlfn.MAXIFS(HISTORIAL!$K$5:$K$2004,HISTORIAL!$E$5:$E$2004,"Press banca",HISTORIAL!$F$5:$F$2004,"Bilbo",HISTORIAL!$J$5:$J$2004,$A37)=0,"",_xlfn.MAXIFS(HISTORIAL!$K$5:$K$2004,HISTORIAL!$E$5:$E$2004,"Press banca",HISTORIAL!$F$5:$F$2004,"Bilbo",HISTORIAL!$J$5:$J$2004,$A37))</f>
        <v/>
      </c>
      <c r="C37" s="18" t="str">
        <f aca="false">IF(_xlfn.MAXIFS(HISTORIAL!$K$5:$K$2004,HISTORIAL!$E$5:$E$2004,"Press militar",HISTORIAL!$F$5:$F$2004,"Bilbo",HISTORIAL!$J$5:$J$2004,$A37)=0,"",_xlfn.MAXIFS(HISTORIAL!$K$5:$K$2004,HISTORIAL!$E$5:$E$2004,"Press militar",HISTORIAL!$F$5:$F$2004,"Bilbo",HISTORIAL!$J$5:$J$2004,$A37))</f>
        <v/>
      </c>
      <c r="D37" s="18" t="str">
        <f aca="false">IF(_xlfn.MAXIFS(HISTORIAL!$K$5:$K$2004,HISTORIAL!$E$5:$E$2004,"Remo bajo en polea",HISTORIAL!$F$5:$F$2004,"Bilbo",HISTORIAL!$J$5:$J$2004,$A37)=0,"",_xlfn.MAXIFS(HISTORIAL!$K$5:$K$2004,HISTORIAL!$E$5:$E$2004,"Remo bajo en polea",HISTORIAL!$F$5:$F$2004,"Bilbo",HISTORIAL!$J$5:$J$2004,$A37))</f>
        <v/>
      </c>
    </row>
    <row r="38" customFormat="false" ht="15" hidden="false" customHeight="true" outlineLevel="0" collapsed="false">
      <c r="A38" s="27" t="n">
        <f aca="false">$I$22+15*$G$22</f>
        <v>40</v>
      </c>
      <c r="B38" s="18" t="str">
        <f aca="false">IF(_xlfn.MAXIFS(HISTORIAL!$K$5:$K$2004,HISTORIAL!$E$5:$E$2004,"Press banca",HISTORIAL!$F$5:$F$2004,"Bilbo",HISTORIAL!$J$5:$J$2004,$A38)=0,"",_xlfn.MAXIFS(HISTORIAL!$K$5:$K$2004,HISTORIAL!$E$5:$E$2004,"Press banca",HISTORIAL!$F$5:$F$2004,"Bilbo",HISTORIAL!$J$5:$J$2004,$A38))</f>
        <v/>
      </c>
      <c r="C38" s="18" t="str">
        <f aca="false">IF(_xlfn.MAXIFS(HISTORIAL!$K$5:$K$2004,HISTORIAL!$E$5:$E$2004,"Press militar",HISTORIAL!$F$5:$F$2004,"Bilbo",HISTORIAL!$J$5:$J$2004,$A38)=0,"",_xlfn.MAXIFS(HISTORIAL!$K$5:$K$2004,HISTORIAL!$E$5:$E$2004,"Press militar",HISTORIAL!$F$5:$F$2004,"Bilbo",HISTORIAL!$J$5:$J$2004,$A38))</f>
        <v/>
      </c>
      <c r="D38" s="18" t="str">
        <f aca="false">IF(_xlfn.MAXIFS(HISTORIAL!$K$5:$K$2004,HISTORIAL!$E$5:$E$2004,"Remo bajo en polea",HISTORIAL!$F$5:$F$2004,"Bilbo",HISTORIAL!$J$5:$J$2004,$A38)=0,"",_xlfn.MAXIFS(HISTORIAL!$K$5:$K$2004,HISTORIAL!$E$5:$E$2004,"Remo bajo en polea",HISTORIAL!$F$5:$F$2004,"Bilbo",HISTORIAL!$J$5:$J$2004,$A38))</f>
        <v/>
      </c>
    </row>
    <row r="39" customFormat="false" ht="15" hidden="false" customHeight="true" outlineLevel="0" collapsed="false">
      <c r="A39" s="27" t="n">
        <f aca="false">$I$22+16*$G$22</f>
        <v>42</v>
      </c>
      <c r="B39" s="18" t="str">
        <f aca="false">IF(_xlfn.MAXIFS(HISTORIAL!$K$5:$K$2004,HISTORIAL!$E$5:$E$2004,"Press banca",HISTORIAL!$F$5:$F$2004,"Bilbo",HISTORIAL!$J$5:$J$2004,$A39)=0,"",_xlfn.MAXIFS(HISTORIAL!$K$5:$K$2004,HISTORIAL!$E$5:$E$2004,"Press banca",HISTORIAL!$F$5:$F$2004,"Bilbo",HISTORIAL!$J$5:$J$2004,$A39))</f>
        <v/>
      </c>
      <c r="C39" s="18" t="str">
        <f aca="false">IF(_xlfn.MAXIFS(HISTORIAL!$K$5:$K$2004,HISTORIAL!$E$5:$E$2004,"Press militar",HISTORIAL!$F$5:$F$2004,"Bilbo",HISTORIAL!$J$5:$J$2004,$A39)=0,"",_xlfn.MAXIFS(HISTORIAL!$K$5:$K$2004,HISTORIAL!$E$5:$E$2004,"Press militar",HISTORIAL!$F$5:$F$2004,"Bilbo",HISTORIAL!$J$5:$J$2004,$A39))</f>
        <v/>
      </c>
      <c r="D39" s="18" t="str">
        <f aca="false">IF(_xlfn.MAXIFS(HISTORIAL!$K$5:$K$2004,HISTORIAL!$E$5:$E$2004,"Remo bajo en polea",HISTORIAL!$F$5:$F$2004,"Bilbo",HISTORIAL!$J$5:$J$2004,$A39)=0,"",_xlfn.MAXIFS(HISTORIAL!$K$5:$K$2004,HISTORIAL!$E$5:$E$2004,"Remo bajo en polea",HISTORIAL!$F$5:$F$2004,"Bilbo",HISTORIAL!$J$5:$J$2004,$A39))</f>
        <v/>
      </c>
    </row>
    <row r="40" customFormat="false" ht="15" hidden="false" customHeight="true" outlineLevel="0" collapsed="false">
      <c r="A40" s="27" t="n">
        <f aca="false">$I$22+17*$G$22</f>
        <v>44</v>
      </c>
      <c r="B40" s="18" t="str">
        <f aca="false">IF(_xlfn.MAXIFS(HISTORIAL!$K$5:$K$2004,HISTORIAL!$E$5:$E$2004,"Press banca",HISTORIAL!$F$5:$F$2004,"Bilbo",HISTORIAL!$J$5:$J$2004,$A40)=0,"",_xlfn.MAXIFS(HISTORIAL!$K$5:$K$2004,HISTORIAL!$E$5:$E$2004,"Press banca",HISTORIAL!$F$5:$F$2004,"Bilbo",HISTORIAL!$J$5:$J$2004,$A40))</f>
        <v/>
      </c>
      <c r="C40" s="18" t="str">
        <f aca="false">IF(_xlfn.MAXIFS(HISTORIAL!$K$5:$K$2004,HISTORIAL!$E$5:$E$2004,"Press militar",HISTORIAL!$F$5:$F$2004,"Bilbo",HISTORIAL!$J$5:$J$2004,$A40)=0,"",_xlfn.MAXIFS(HISTORIAL!$K$5:$K$2004,HISTORIAL!$E$5:$E$2004,"Press militar",HISTORIAL!$F$5:$F$2004,"Bilbo",HISTORIAL!$J$5:$J$2004,$A40))</f>
        <v/>
      </c>
      <c r="D40" s="18" t="str">
        <f aca="false">IF(_xlfn.MAXIFS(HISTORIAL!$K$5:$K$2004,HISTORIAL!$E$5:$E$2004,"Remo bajo en polea",HISTORIAL!$F$5:$F$2004,"Bilbo",HISTORIAL!$J$5:$J$2004,$A40)=0,"",_xlfn.MAXIFS(HISTORIAL!$K$5:$K$2004,HISTORIAL!$E$5:$E$2004,"Remo bajo en polea",HISTORIAL!$F$5:$F$2004,"Bilbo",HISTORIAL!$J$5:$J$2004,$A40))</f>
        <v/>
      </c>
    </row>
    <row r="41" customFormat="false" ht="15" hidden="false" customHeight="true" outlineLevel="0" collapsed="false">
      <c r="A41" s="27" t="n">
        <f aca="false">$I$22+18*$G$22</f>
        <v>46</v>
      </c>
      <c r="B41" s="18" t="str">
        <f aca="false">IF(_xlfn.MAXIFS(HISTORIAL!$K$5:$K$2004,HISTORIAL!$E$5:$E$2004,"Press banca",HISTORIAL!$F$5:$F$2004,"Bilbo",HISTORIAL!$J$5:$J$2004,$A41)=0,"",_xlfn.MAXIFS(HISTORIAL!$K$5:$K$2004,HISTORIAL!$E$5:$E$2004,"Press banca",HISTORIAL!$F$5:$F$2004,"Bilbo",HISTORIAL!$J$5:$J$2004,$A41))</f>
        <v/>
      </c>
      <c r="C41" s="18" t="str">
        <f aca="false">IF(_xlfn.MAXIFS(HISTORIAL!$K$5:$K$2004,HISTORIAL!$E$5:$E$2004,"Press militar",HISTORIAL!$F$5:$F$2004,"Bilbo",HISTORIAL!$J$5:$J$2004,$A41)=0,"",_xlfn.MAXIFS(HISTORIAL!$K$5:$K$2004,HISTORIAL!$E$5:$E$2004,"Press militar",HISTORIAL!$F$5:$F$2004,"Bilbo",HISTORIAL!$J$5:$J$2004,$A41))</f>
        <v/>
      </c>
      <c r="D41" s="18" t="str">
        <f aca="false">IF(_xlfn.MAXIFS(HISTORIAL!$K$5:$K$2004,HISTORIAL!$E$5:$E$2004,"Remo bajo en polea",HISTORIAL!$F$5:$F$2004,"Bilbo",HISTORIAL!$J$5:$J$2004,$A41)=0,"",_xlfn.MAXIFS(HISTORIAL!$K$5:$K$2004,HISTORIAL!$E$5:$E$2004,"Remo bajo en polea",HISTORIAL!$F$5:$F$2004,"Bilbo",HISTORIAL!$J$5:$J$2004,$A41))</f>
        <v/>
      </c>
    </row>
    <row r="42" customFormat="false" ht="15" hidden="false" customHeight="true" outlineLevel="0" collapsed="false">
      <c r="A42" s="27" t="n">
        <f aca="false">$I$22+19*$G$22</f>
        <v>48</v>
      </c>
      <c r="B42" s="18" t="str">
        <f aca="false">IF(_xlfn.MAXIFS(HISTORIAL!$K$5:$K$2004,HISTORIAL!$E$5:$E$2004,"Press banca",HISTORIAL!$F$5:$F$2004,"Bilbo",HISTORIAL!$J$5:$J$2004,$A42)=0,"",_xlfn.MAXIFS(HISTORIAL!$K$5:$K$2004,HISTORIAL!$E$5:$E$2004,"Press banca",HISTORIAL!$F$5:$F$2004,"Bilbo",HISTORIAL!$J$5:$J$2004,$A42))</f>
        <v/>
      </c>
      <c r="C42" s="18" t="str">
        <f aca="false">IF(_xlfn.MAXIFS(HISTORIAL!$K$5:$K$2004,HISTORIAL!$E$5:$E$2004,"Press militar",HISTORIAL!$F$5:$F$2004,"Bilbo",HISTORIAL!$J$5:$J$2004,$A42)=0,"",_xlfn.MAXIFS(HISTORIAL!$K$5:$K$2004,HISTORIAL!$E$5:$E$2004,"Press militar",HISTORIAL!$F$5:$F$2004,"Bilbo",HISTORIAL!$J$5:$J$2004,$A42))</f>
        <v/>
      </c>
      <c r="D42" s="18" t="str">
        <f aca="false">IF(_xlfn.MAXIFS(HISTORIAL!$K$5:$K$2004,HISTORIAL!$E$5:$E$2004,"Remo bajo en polea",HISTORIAL!$F$5:$F$2004,"Bilbo",HISTORIAL!$J$5:$J$2004,$A42)=0,"",_xlfn.MAXIFS(HISTORIAL!$K$5:$K$2004,HISTORIAL!$E$5:$E$2004,"Remo bajo en polea",HISTORIAL!$F$5:$F$2004,"Bilbo",HISTORIAL!$J$5:$J$2004,$A42))</f>
        <v/>
      </c>
    </row>
    <row r="43" customFormat="false" ht="15" hidden="false" customHeight="true" outlineLevel="0" collapsed="false">
      <c r="A43" s="27" t="n">
        <f aca="false">$I$22+20*$G$22</f>
        <v>50</v>
      </c>
      <c r="B43" s="18" t="str">
        <f aca="false">IF(_xlfn.MAXIFS(HISTORIAL!$K$5:$K$2004,HISTORIAL!$E$5:$E$2004,"Press banca",HISTORIAL!$F$5:$F$2004,"Bilbo",HISTORIAL!$J$5:$J$2004,$A43)=0,"",_xlfn.MAXIFS(HISTORIAL!$K$5:$K$2004,HISTORIAL!$E$5:$E$2004,"Press banca",HISTORIAL!$F$5:$F$2004,"Bilbo",HISTORIAL!$J$5:$J$2004,$A43))</f>
        <v/>
      </c>
      <c r="C43" s="18" t="str">
        <f aca="false">IF(_xlfn.MAXIFS(HISTORIAL!$K$5:$K$2004,HISTORIAL!$E$5:$E$2004,"Press militar",HISTORIAL!$F$5:$F$2004,"Bilbo",HISTORIAL!$J$5:$J$2004,$A43)=0,"",_xlfn.MAXIFS(HISTORIAL!$K$5:$K$2004,HISTORIAL!$E$5:$E$2004,"Press militar",HISTORIAL!$F$5:$F$2004,"Bilbo",HISTORIAL!$J$5:$J$2004,$A43))</f>
        <v/>
      </c>
      <c r="D43" s="18" t="str">
        <f aca="false">IF(_xlfn.MAXIFS(HISTORIAL!$K$5:$K$2004,HISTORIAL!$E$5:$E$2004,"Remo bajo en polea",HISTORIAL!$F$5:$F$2004,"Bilbo",HISTORIAL!$J$5:$J$2004,$A43)=0,"",_xlfn.MAXIFS(HISTORIAL!$K$5:$K$2004,HISTORIAL!$E$5:$E$2004,"Remo bajo en polea",HISTORIAL!$F$5:$F$2004,"Bilbo",HISTORIAL!$J$5:$J$2004,$A43))</f>
        <v/>
      </c>
    </row>
    <row r="44" customFormat="false" ht="15" hidden="false" customHeight="true" outlineLevel="0" collapsed="false">
      <c r="A44" s="27" t="n">
        <f aca="false">$I$22+21*$G$22</f>
        <v>52</v>
      </c>
      <c r="B44" s="18" t="str">
        <f aca="false">IF(_xlfn.MAXIFS(HISTORIAL!$K$5:$K$2004,HISTORIAL!$E$5:$E$2004,"Press banca",HISTORIAL!$F$5:$F$2004,"Bilbo",HISTORIAL!$J$5:$J$2004,$A44)=0,"",_xlfn.MAXIFS(HISTORIAL!$K$5:$K$2004,HISTORIAL!$E$5:$E$2004,"Press banca",HISTORIAL!$F$5:$F$2004,"Bilbo",HISTORIAL!$J$5:$J$2004,$A44))</f>
        <v/>
      </c>
      <c r="C44" s="18" t="str">
        <f aca="false">IF(_xlfn.MAXIFS(HISTORIAL!$K$5:$K$2004,HISTORIAL!$E$5:$E$2004,"Press militar",HISTORIAL!$F$5:$F$2004,"Bilbo",HISTORIAL!$J$5:$J$2004,$A44)=0,"",_xlfn.MAXIFS(HISTORIAL!$K$5:$K$2004,HISTORIAL!$E$5:$E$2004,"Press militar",HISTORIAL!$F$5:$F$2004,"Bilbo",HISTORIAL!$J$5:$J$2004,$A44))</f>
        <v/>
      </c>
      <c r="D44" s="18" t="str">
        <f aca="false">IF(_xlfn.MAXIFS(HISTORIAL!$K$5:$K$2004,HISTORIAL!$E$5:$E$2004,"Remo bajo en polea",HISTORIAL!$F$5:$F$2004,"Bilbo",HISTORIAL!$J$5:$J$2004,$A44)=0,"",_xlfn.MAXIFS(HISTORIAL!$K$5:$K$2004,HISTORIAL!$E$5:$E$2004,"Remo bajo en polea",HISTORIAL!$F$5:$F$2004,"Bilbo",HISTORIAL!$J$5:$J$2004,$A44))</f>
        <v/>
      </c>
    </row>
    <row r="45" customFormat="false" ht="15" hidden="false" customHeight="true" outlineLevel="0" collapsed="false">
      <c r="A45" s="27" t="n">
        <f aca="false">$I$22+22*$G$22</f>
        <v>54</v>
      </c>
      <c r="B45" s="18" t="str">
        <f aca="false">IF(_xlfn.MAXIFS(HISTORIAL!$K$5:$K$2004,HISTORIAL!$E$5:$E$2004,"Press banca",HISTORIAL!$F$5:$F$2004,"Bilbo",HISTORIAL!$J$5:$J$2004,$A45)=0,"",_xlfn.MAXIFS(HISTORIAL!$K$5:$K$2004,HISTORIAL!$E$5:$E$2004,"Press banca",HISTORIAL!$F$5:$F$2004,"Bilbo",HISTORIAL!$J$5:$J$2004,$A45))</f>
        <v/>
      </c>
      <c r="C45" s="18" t="str">
        <f aca="false">IF(_xlfn.MAXIFS(HISTORIAL!$K$5:$K$2004,HISTORIAL!$E$5:$E$2004,"Press militar",HISTORIAL!$F$5:$F$2004,"Bilbo",HISTORIAL!$J$5:$J$2004,$A45)=0,"",_xlfn.MAXIFS(HISTORIAL!$K$5:$K$2004,HISTORIAL!$E$5:$E$2004,"Press militar",HISTORIAL!$F$5:$F$2004,"Bilbo",HISTORIAL!$J$5:$J$2004,$A45))</f>
        <v/>
      </c>
      <c r="D45" s="18" t="str">
        <f aca="false">IF(_xlfn.MAXIFS(HISTORIAL!$K$5:$K$2004,HISTORIAL!$E$5:$E$2004,"Remo bajo en polea",HISTORIAL!$F$5:$F$2004,"Bilbo",HISTORIAL!$J$5:$J$2004,$A45)=0,"",_xlfn.MAXIFS(HISTORIAL!$K$5:$K$2004,HISTORIAL!$E$5:$E$2004,"Remo bajo en polea",HISTORIAL!$F$5:$F$2004,"Bilbo",HISTORIAL!$J$5:$J$2004,$A45))</f>
        <v/>
      </c>
    </row>
    <row r="46" customFormat="false" ht="15" hidden="false" customHeight="true" outlineLevel="0" collapsed="false">
      <c r="A46" s="27" t="n">
        <f aca="false">$I$22+23*$G$22</f>
        <v>56</v>
      </c>
      <c r="B46" s="18" t="str">
        <f aca="false">IF(_xlfn.MAXIFS(HISTORIAL!$K$5:$K$2004,HISTORIAL!$E$5:$E$2004,"Press banca",HISTORIAL!$F$5:$F$2004,"Bilbo",HISTORIAL!$J$5:$J$2004,$A46)=0,"",_xlfn.MAXIFS(HISTORIAL!$K$5:$K$2004,HISTORIAL!$E$5:$E$2004,"Press banca",HISTORIAL!$F$5:$F$2004,"Bilbo",HISTORIAL!$J$5:$J$2004,$A46))</f>
        <v/>
      </c>
      <c r="C46" s="18" t="str">
        <f aca="false">IF(_xlfn.MAXIFS(HISTORIAL!$K$5:$K$2004,HISTORIAL!$E$5:$E$2004,"Press militar",HISTORIAL!$F$5:$F$2004,"Bilbo",HISTORIAL!$J$5:$J$2004,$A46)=0,"",_xlfn.MAXIFS(HISTORIAL!$K$5:$K$2004,HISTORIAL!$E$5:$E$2004,"Press militar",HISTORIAL!$F$5:$F$2004,"Bilbo",HISTORIAL!$J$5:$J$2004,$A46))</f>
        <v/>
      </c>
      <c r="D46" s="18" t="str">
        <f aca="false">IF(_xlfn.MAXIFS(HISTORIAL!$K$5:$K$2004,HISTORIAL!$E$5:$E$2004,"Remo bajo en polea",HISTORIAL!$F$5:$F$2004,"Bilbo",HISTORIAL!$J$5:$J$2004,$A46)=0,"",_xlfn.MAXIFS(HISTORIAL!$K$5:$K$2004,HISTORIAL!$E$5:$E$2004,"Remo bajo en polea",HISTORIAL!$F$5:$F$2004,"Bilbo",HISTORIAL!$J$5:$J$2004,$A46))</f>
        <v/>
      </c>
    </row>
    <row r="47" customFormat="false" ht="15" hidden="false" customHeight="true" outlineLevel="0" collapsed="false">
      <c r="A47" s="27" t="n">
        <f aca="false">$I$22+24*$G$22</f>
        <v>58</v>
      </c>
      <c r="B47" s="18" t="str">
        <f aca="false">IF(_xlfn.MAXIFS(HISTORIAL!$K$5:$K$2004,HISTORIAL!$E$5:$E$2004,"Press banca",HISTORIAL!$F$5:$F$2004,"Bilbo",HISTORIAL!$J$5:$J$2004,$A47)=0,"",_xlfn.MAXIFS(HISTORIAL!$K$5:$K$2004,HISTORIAL!$E$5:$E$2004,"Press banca",HISTORIAL!$F$5:$F$2004,"Bilbo",HISTORIAL!$J$5:$J$2004,$A47))</f>
        <v/>
      </c>
      <c r="C47" s="18" t="str">
        <f aca="false">IF(_xlfn.MAXIFS(HISTORIAL!$K$5:$K$2004,HISTORIAL!$E$5:$E$2004,"Press militar",HISTORIAL!$F$5:$F$2004,"Bilbo",HISTORIAL!$J$5:$J$2004,$A47)=0,"",_xlfn.MAXIFS(HISTORIAL!$K$5:$K$2004,HISTORIAL!$E$5:$E$2004,"Press militar",HISTORIAL!$F$5:$F$2004,"Bilbo",HISTORIAL!$J$5:$J$2004,$A47))</f>
        <v/>
      </c>
      <c r="D47" s="18" t="str">
        <f aca="false">IF(_xlfn.MAXIFS(HISTORIAL!$K$5:$K$2004,HISTORIAL!$E$5:$E$2004,"Remo bajo en polea",HISTORIAL!$F$5:$F$2004,"Bilbo",HISTORIAL!$J$5:$J$2004,$A47)=0,"",_xlfn.MAXIFS(HISTORIAL!$K$5:$K$2004,HISTORIAL!$E$5:$E$2004,"Remo bajo en polea",HISTORIAL!$F$5:$F$2004,"Bilbo",HISTORIAL!$J$5:$J$2004,$A47))</f>
        <v/>
      </c>
    </row>
    <row r="48" customFormat="false" ht="15" hidden="false" customHeight="true" outlineLevel="0" collapsed="false">
      <c r="A48" s="27" t="n">
        <f aca="false">$I$22+25*$G$22</f>
        <v>60</v>
      </c>
      <c r="B48" s="18" t="str">
        <f aca="false">IF(_xlfn.MAXIFS(HISTORIAL!$K$5:$K$2004,HISTORIAL!$E$5:$E$2004,"Press banca",HISTORIAL!$F$5:$F$2004,"Bilbo",HISTORIAL!$J$5:$J$2004,$A48)=0,"",_xlfn.MAXIFS(HISTORIAL!$K$5:$K$2004,HISTORIAL!$E$5:$E$2004,"Press banca",HISTORIAL!$F$5:$F$2004,"Bilbo",HISTORIAL!$J$5:$J$2004,$A48))</f>
        <v/>
      </c>
      <c r="C48" s="18" t="str">
        <f aca="false">IF(_xlfn.MAXIFS(HISTORIAL!$K$5:$K$2004,HISTORIAL!$E$5:$E$2004,"Press militar",HISTORIAL!$F$5:$F$2004,"Bilbo",HISTORIAL!$J$5:$J$2004,$A48)=0,"",_xlfn.MAXIFS(HISTORIAL!$K$5:$K$2004,HISTORIAL!$E$5:$E$2004,"Press militar",HISTORIAL!$F$5:$F$2004,"Bilbo",HISTORIAL!$J$5:$J$2004,$A48))</f>
        <v/>
      </c>
      <c r="D48" s="18" t="str">
        <f aca="false">IF(_xlfn.MAXIFS(HISTORIAL!$K$5:$K$2004,HISTORIAL!$E$5:$E$2004,"Remo bajo en polea",HISTORIAL!$F$5:$F$2004,"Bilbo",HISTORIAL!$J$5:$J$2004,$A48)=0,"",_xlfn.MAXIFS(HISTORIAL!$K$5:$K$2004,HISTORIAL!$E$5:$E$2004,"Remo bajo en polea",HISTORIAL!$F$5:$F$2004,"Bilbo",HISTORIAL!$J$5:$J$2004,$A48))</f>
        <v/>
      </c>
    </row>
    <row r="49" customFormat="false" ht="15" hidden="false" customHeight="true" outlineLevel="0" collapsed="false">
      <c r="A49" s="27" t="n">
        <f aca="false">$I$22+26*$G$22</f>
        <v>62</v>
      </c>
      <c r="B49" s="18" t="str">
        <f aca="false">IF(_xlfn.MAXIFS(HISTORIAL!$K$5:$K$2004,HISTORIAL!$E$5:$E$2004,"Press banca",HISTORIAL!$F$5:$F$2004,"Bilbo",HISTORIAL!$J$5:$J$2004,$A49)=0,"",_xlfn.MAXIFS(HISTORIAL!$K$5:$K$2004,HISTORIAL!$E$5:$E$2004,"Press banca",HISTORIAL!$F$5:$F$2004,"Bilbo",HISTORIAL!$J$5:$J$2004,$A49))</f>
        <v/>
      </c>
      <c r="C49" s="18" t="str">
        <f aca="false">IF(_xlfn.MAXIFS(HISTORIAL!$K$5:$K$2004,HISTORIAL!$E$5:$E$2004,"Press militar",HISTORIAL!$F$5:$F$2004,"Bilbo",HISTORIAL!$J$5:$J$2004,$A49)=0,"",_xlfn.MAXIFS(HISTORIAL!$K$5:$K$2004,HISTORIAL!$E$5:$E$2004,"Press militar",HISTORIAL!$F$5:$F$2004,"Bilbo",HISTORIAL!$J$5:$J$2004,$A49))</f>
        <v/>
      </c>
      <c r="D49" s="18" t="str">
        <f aca="false">IF(_xlfn.MAXIFS(HISTORIAL!$K$5:$K$2004,HISTORIAL!$E$5:$E$2004,"Remo bajo en polea",HISTORIAL!$F$5:$F$2004,"Bilbo",HISTORIAL!$J$5:$J$2004,$A49)=0,"",_xlfn.MAXIFS(HISTORIAL!$K$5:$K$2004,HISTORIAL!$E$5:$E$2004,"Remo bajo en polea",HISTORIAL!$F$5:$F$2004,"Bilbo",HISTORIAL!$J$5:$J$2004,$A49))</f>
        <v/>
      </c>
    </row>
    <row r="50" customFormat="false" ht="15" hidden="false" customHeight="true" outlineLevel="0" collapsed="false">
      <c r="A50" s="27" t="n">
        <f aca="false">$I$22+27*$G$22</f>
        <v>64</v>
      </c>
      <c r="B50" s="18" t="str">
        <f aca="false">IF(_xlfn.MAXIFS(HISTORIAL!$K$5:$K$2004,HISTORIAL!$E$5:$E$2004,"Press banca",HISTORIAL!$F$5:$F$2004,"Bilbo",HISTORIAL!$J$5:$J$2004,$A50)=0,"",_xlfn.MAXIFS(HISTORIAL!$K$5:$K$2004,HISTORIAL!$E$5:$E$2004,"Press banca",HISTORIAL!$F$5:$F$2004,"Bilbo",HISTORIAL!$J$5:$J$2004,$A50))</f>
        <v/>
      </c>
      <c r="C50" s="18" t="str">
        <f aca="false">IF(_xlfn.MAXIFS(HISTORIAL!$K$5:$K$2004,HISTORIAL!$E$5:$E$2004,"Press militar",HISTORIAL!$F$5:$F$2004,"Bilbo",HISTORIAL!$J$5:$J$2004,$A50)=0,"",_xlfn.MAXIFS(HISTORIAL!$K$5:$K$2004,HISTORIAL!$E$5:$E$2004,"Press militar",HISTORIAL!$F$5:$F$2004,"Bilbo",HISTORIAL!$J$5:$J$2004,$A50))</f>
        <v/>
      </c>
      <c r="D50" s="18" t="str">
        <f aca="false">IF(_xlfn.MAXIFS(HISTORIAL!$K$5:$K$2004,HISTORIAL!$E$5:$E$2004,"Remo bajo en polea",HISTORIAL!$F$5:$F$2004,"Bilbo",HISTORIAL!$J$5:$J$2004,$A50)=0,"",_xlfn.MAXIFS(HISTORIAL!$K$5:$K$2004,HISTORIAL!$E$5:$E$2004,"Remo bajo en polea",HISTORIAL!$F$5:$F$2004,"Bilbo",HISTORIAL!$J$5:$J$2004,$A50))</f>
        <v/>
      </c>
    </row>
    <row r="51" customFormat="false" ht="15" hidden="false" customHeight="true" outlineLevel="0" collapsed="false">
      <c r="A51" s="27" t="n">
        <f aca="false">$I$22+28*$G$22</f>
        <v>66</v>
      </c>
      <c r="B51" s="18" t="str">
        <f aca="false">IF(_xlfn.MAXIFS(HISTORIAL!$K$5:$K$2004,HISTORIAL!$E$5:$E$2004,"Press banca",HISTORIAL!$F$5:$F$2004,"Bilbo",HISTORIAL!$J$5:$J$2004,$A51)=0,"",_xlfn.MAXIFS(HISTORIAL!$K$5:$K$2004,HISTORIAL!$E$5:$E$2004,"Press banca",HISTORIAL!$F$5:$F$2004,"Bilbo",HISTORIAL!$J$5:$J$2004,$A51))</f>
        <v/>
      </c>
      <c r="C51" s="18" t="str">
        <f aca="false">IF(_xlfn.MAXIFS(HISTORIAL!$K$5:$K$2004,HISTORIAL!$E$5:$E$2004,"Press militar",HISTORIAL!$F$5:$F$2004,"Bilbo",HISTORIAL!$J$5:$J$2004,$A51)=0,"",_xlfn.MAXIFS(HISTORIAL!$K$5:$K$2004,HISTORIAL!$E$5:$E$2004,"Press militar",HISTORIAL!$F$5:$F$2004,"Bilbo",HISTORIAL!$J$5:$J$2004,$A51))</f>
        <v/>
      </c>
      <c r="D51" s="18" t="str">
        <f aca="false">IF(_xlfn.MAXIFS(HISTORIAL!$K$5:$K$2004,HISTORIAL!$E$5:$E$2004,"Remo bajo en polea",HISTORIAL!$F$5:$F$2004,"Bilbo",HISTORIAL!$J$5:$J$2004,$A51)=0,"",_xlfn.MAXIFS(HISTORIAL!$K$5:$K$2004,HISTORIAL!$E$5:$E$2004,"Remo bajo en polea",HISTORIAL!$F$5:$F$2004,"Bilbo",HISTORIAL!$J$5:$J$2004,$A51))</f>
        <v/>
      </c>
    </row>
    <row r="52" customFormat="false" ht="15" hidden="false" customHeight="true" outlineLevel="0" collapsed="false">
      <c r="A52" s="27" t="n">
        <f aca="false">$I$22+29*$G$22</f>
        <v>68</v>
      </c>
      <c r="B52" s="18" t="str">
        <f aca="false">IF(_xlfn.MAXIFS(HISTORIAL!$K$5:$K$2004,HISTORIAL!$E$5:$E$2004,"Press banca",HISTORIAL!$F$5:$F$2004,"Bilbo",HISTORIAL!$J$5:$J$2004,$A52)=0,"",_xlfn.MAXIFS(HISTORIAL!$K$5:$K$2004,HISTORIAL!$E$5:$E$2004,"Press banca",HISTORIAL!$F$5:$F$2004,"Bilbo",HISTORIAL!$J$5:$J$2004,$A52))</f>
        <v/>
      </c>
      <c r="C52" s="18" t="str">
        <f aca="false">IF(_xlfn.MAXIFS(HISTORIAL!$K$5:$K$2004,HISTORIAL!$E$5:$E$2004,"Press militar",HISTORIAL!$F$5:$F$2004,"Bilbo",HISTORIAL!$J$5:$J$2004,$A52)=0,"",_xlfn.MAXIFS(HISTORIAL!$K$5:$K$2004,HISTORIAL!$E$5:$E$2004,"Press militar",HISTORIAL!$F$5:$F$2004,"Bilbo",HISTORIAL!$J$5:$J$2004,$A52))</f>
        <v/>
      </c>
      <c r="D52" s="18" t="str">
        <f aca="false">IF(_xlfn.MAXIFS(HISTORIAL!$K$5:$K$2004,HISTORIAL!$E$5:$E$2004,"Remo bajo en polea",HISTORIAL!$F$5:$F$2004,"Bilbo",HISTORIAL!$J$5:$J$2004,$A52)=0,"",_xlfn.MAXIFS(HISTORIAL!$K$5:$K$2004,HISTORIAL!$E$5:$E$2004,"Remo bajo en polea",HISTORIAL!$F$5:$F$2004,"Bilbo",HISTORIAL!$J$5:$J$2004,$A52))</f>
        <v/>
      </c>
    </row>
    <row r="53" customFormat="false" ht="15" hidden="false" customHeight="true" outlineLevel="0" collapsed="false">
      <c r="A53" s="27" t="n">
        <f aca="false">$I$22+30*$G$22</f>
        <v>70</v>
      </c>
      <c r="B53" s="18" t="str">
        <f aca="false">IF(_xlfn.MAXIFS(HISTORIAL!$K$5:$K$2004,HISTORIAL!$E$5:$E$2004,"Press banca",HISTORIAL!$F$5:$F$2004,"Bilbo",HISTORIAL!$J$5:$J$2004,$A53)=0,"",_xlfn.MAXIFS(HISTORIAL!$K$5:$K$2004,HISTORIAL!$E$5:$E$2004,"Press banca",HISTORIAL!$F$5:$F$2004,"Bilbo",HISTORIAL!$J$5:$J$2004,$A53))</f>
        <v/>
      </c>
      <c r="C53" s="18" t="str">
        <f aca="false">IF(_xlfn.MAXIFS(HISTORIAL!$K$5:$K$2004,HISTORIAL!$E$5:$E$2004,"Press militar",HISTORIAL!$F$5:$F$2004,"Bilbo",HISTORIAL!$J$5:$J$2004,$A53)=0,"",_xlfn.MAXIFS(HISTORIAL!$K$5:$K$2004,HISTORIAL!$E$5:$E$2004,"Press militar",HISTORIAL!$F$5:$F$2004,"Bilbo",HISTORIAL!$J$5:$J$2004,$A53))</f>
        <v/>
      </c>
      <c r="D53" s="18" t="str">
        <f aca="false">IF(_xlfn.MAXIFS(HISTORIAL!$K$5:$K$2004,HISTORIAL!$E$5:$E$2004,"Remo bajo en polea",HISTORIAL!$F$5:$F$2004,"Bilbo",HISTORIAL!$J$5:$J$2004,$A53)=0,"",_xlfn.MAXIFS(HISTORIAL!$K$5:$K$2004,HISTORIAL!$E$5:$E$2004,"Remo bajo en polea",HISTORIAL!$F$5:$F$2004,"Bilbo",HISTORIAL!$J$5:$J$2004,$A53))</f>
        <v/>
      </c>
    </row>
    <row r="54" customFormat="false" ht="15" hidden="false" customHeight="true" outlineLevel="0" collapsed="false">
      <c r="A54" s="27" t="n">
        <f aca="false">$I$22+31*$G$22</f>
        <v>72</v>
      </c>
      <c r="B54" s="18" t="str">
        <f aca="false">IF(_xlfn.MAXIFS(HISTORIAL!$K$5:$K$2004,HISTORIAL!$E$5:$E$2004,"Press banca",HISTORIAL!$F$5:$F$2004,"Bilbo",HISTORIAL!$J$5:$J$2004,$A54)=0,"",_xlfn.MAXIFS(HISTORIAL!$K$5:$K$2004,HISTORIAL!$E$5:$E$2004,"Press banca",HISTORIAL!$F$5:$F$2004,"Bilbo",HISTORIAL!$J$5:$J$2004,$A54))</f>
        <v/>
      </c>
      <c r="C54" s="18" t="str">
        <f aca="false">IF(_xlfn.MAXIFS(HISTORIAL!$K$5:$K$2004,HISTORIAL!$E$5:$E$2004,"Press militar",HISTORIAL!$F$5:$F$2004,"Bilbo",HISTORIAL!$J$5:$J$2004,$A54)=0,"",_xlfn.MAXIFS(HISTORIAL!$K$5:$K$2004,HISTORIAL!$E$5:$E$2004,"Press militar",HISTORIAL!$F$5:$F$2004,"Bilbo",HISTORIAL!$J$5:$J$2004,$A54))</f>
        <v/>
      </c>
      <c r="D54" s="18" t="str">
        <f aca="false">IF(_xlfn.MAXIFS(HISTORIAL!$K$5:$K$2004,HISTORIAL!$E$5:$E$2004,"Remo bajo en polea",HISTORIAL!$F$5:$F$2004,"Bilbo",HISTORIAL!$J$5:$J$2004,$A54)=0,"",_xlfn.MAXIFS(HISTORIAL!$K$5:$K$2004,HISTORIAL!$E$5:$E$2004,"Remo bajo en polea",HISTORIAL!$F$5:$F$2004,"Bilbo",HISTORIAL!$J$5:$J$2004,$A54))</f>
        <v/>
      </c>
    </row>
    <row r="55" customFormat="false" ht="15" hidden="false" customHeight="true" outlineLevel="0" collapsed="false">
      <c r="A55" s="27" t="n">
        <f aca="false">$I$22+32*$G$22</f>
        <v>74</v>
      </c>
      <c r="B55" s="18" t="str">
        <f aca="false">IF(_xlfn.MAXIFS(HISTORIAL!$K$5:$K$2004,HISTORIAL!$E$5:$E$2004,"Press banca",HISTORIAL!$F$5:$F$2004,"Bilbo",HISTORIAL!$J$5:$J$2004,$A55)=0,"",_xlfn.MAXIFS(HISTORIAL!$K$5:$K$2004,HISTORIAL!$E$5:$E$2004,"Press banca",HISTORIAL!$F$5:$F$2004,"Bilbo",HISTORIAL!$J$5:$J$2004,$A55))</f>
        <v/>
      </c>
      <c r="C55" s="18" t="str">
        <f aca="false">IF(_xlfn.MAXIFS(HISTORIAL!$K$5:$K$2004,HISTORIAL!$E$5:$E$2004,"Press militar",HISTORIAL!$F$5:$F$2004,"Bilbo",HISTORIAL!$J$5:$J$2004,$A55)=0,"",_xlfn.MAXIFS(HISTORIAL!$K$5:$K$2004,HISTORIAL!$E$5:$E$2004,"Press militar",HISTORIAL!$F$5:$F$2004,"Bilbo",HISTORIAL!$J$5:$J$2004,$A55))</f>
        <v/>
      </c>
      <c r="D55" s="18" t="str">
        <f aca="false">IF(_xlfn.MAXIFS(HISTORIAL!$K$5:$K$2004,HISTORIAL!$E$5:$E$2004,"Remo bajo en polea",HISTORIAL!$F$5:$F$2004,"Bilbo",HISTORIAL!$J$5:$J$2004,$A55)=0,"",_xlfn.MAXIFS(HISTORIAL!$K$5:$K$2004,HISTORIAL!$E$5:$E$2004,"Remo bajo en polea",HISTORIAL!$F$5:$F$2004,"Bilbo",HISTORIAL!$J$5:$J$2004,$A55))</f>
        <v/>
      </c>
    </row>
    <row r="56" customFormat="false" ht="15" hidden="false" customHeight="true" outlineLevel="0" collapsed="false">
      <c r="A56" s="27" t="n">
        <f aca="false">$I$22+33*$G$22</f>
        <v>76</v>
      </c>
      <c r="B56" s="18" t="str">
        <f aca="false">IF(_xlfn.MAXIFS(HISTORIAL!$K$5:$K$2004,HISTORIAL!$E$5:$E$2004,"Press banca",HISTORIAL!$F$5:$F$2004,"Bilbo",HISTORIAL!$J$5:$J$2004,$A56)=0,"",_xlfn.MAXIFS(HISTORIAL!$K$5:$K$2004,HISTORIAL!$E$5:$E$2004,"Press banca",HISTORIAL!$F$5:$F$2004,"Bilbo",HISTORIAL!$J$5:$J$2004,$A56))</f>
        <v/>
      </c>
      <c r="C56" s="18" t="str">
        <f aca="false">IF(_xlfn.MAXIFS(HISTORIAL!$K$5:$K$2004,HISTORIAL!$E$5:$E$2004,"Press militar",HISTORIAL!$F$5:$F$2004,"Bilbo",HISTORIAL!$J$5:$J$2004,$A56)=0,"",_xlfn.MAXIFS(HISTORIAL!$K$5:$K$2004,HISTORIAL!$E$5:$E$2004,"Press militar",HISTORIAL!$F$5:$F$2004,"Bilbo",HISTORIAL!$J$5:$J$2004,$A56))</f>
        <v/>
      </c>
      <c r="D56" s="18" t="str">
        <f aca="false">IF(_xlfn.MAXIFS(HISTORIAL!$K$5:$K$2004,HISTORIAL!$E$5:$E$2004,"Remo bajo en polea",HISTORIAL!$F$5:$F$2004,"Bilbo",HISTORIAL!$J$5:$J$2004,$A56)=0,"",_xlfn.MAXIFS(HISTORIAL!$K$5:$K$2004,HISTORIAL!$E$5:$E$2004,"Remo bajo en polea",HISTORIAL!$F$5:$F$2004,"Bilbo",HISTORIAL!$J$5:$J$2004,$A56))</f>
        <v/>
      </c>
    </row>
    <row r="57" customFormat="false" ht="15" hidden="false" customHeight="true" outlineLevel="0" collapsed="false">
      <c r="A57" s="27" t="n">
        <f aca="false">$I$22+34*$G$22</f>
        <v>78</v>
      </c>
      <c r="B57" s="18" t="str">
        <f aca="false">IF(_xlfn.MAXIFS(HISTORIAL!$K$5:$K$2004,HISTORIAL!$E$5:$E$2004,"Press banca",HISTORIAL!$F$5:$F$2004,"Bilbo",HISTORIAL!$J$5:$J$2004,$A57)=0,"",_xlfn.MAXIFS(HISTORIAL!$K$5:$K$2004,HISTORIAL!$E$5:$E$2004,"Press banca",HISTORIAL!$F$5:$F$2004,"Bilbo",HISTORIAL!$J$5:$J$2004,$A57))</f>
        <v/>
      </c>
      <c r="C57" s="18" t="str">
        <f aca="false">IF(_xlfn.MAXIFS(HISTORIAL!$K$5:$K$2004,HISTORIAL!$E$5:$E$2004,"Press militar",HISTORIAL!$F$5:$F$2004,"Bilbo",HISTORIAL!$J$5:$J$2004,$A57)=0,"",_xlfn.MAXIFS(HISTORIAL!$K$5:$K$2004,HISTORIAL!$E$5:$E$2004,"Press militar",HISTORIAL!$F$5:$F$2004,"Bilbo",HISTORIAL!$J$5:$J$2004,$A57))</f>
        <v/>
      </c>
      <c r="D57" s="18" t="str">
        <f aca="false">IF(_xlfn.MAXIFS(HISTORIAL!$K$5:$K$2004,HISTORIAL!$E$5:$E$2004,"Remo bajo en polea",HISTORIAL!$F$5:$F$2004,"Bilbo",HISTORIAL!$J$5:$J$2004,$A57)=0,"",_xlfn.MAXIFS(HISTORIAL!$K$5:$K$2004,HISTORIAL!$E$5:$E$2004,"Remo bajo en polea",HISTORIAL!$F$5:$F$2004,"Bilbo",HISTORIAL!$J$5:$J$2004,$A57))</f>
        <v/>
      </c>
    </row>
    <row r="58" customFormat="false" ht="15" hidden="false" customHeight="true" outlineLevel="0" collapsed="false">
      <c r="A58" s="27" t="n">
        <f aca="false">$I$22+35*$G$22</f>
        <v>80</v>
      </c>
      <c r="B58" s="18" t="str">
        <f aca="false">IF(_xlfn.MAXIFS(HISTORIAL!$K$5:$K$2004,HISTORIAL!$E$5:$E$2004,"Press banca",HISTORIAL!$F$5:$F$2004,"Bilbo",HISTORIAL!$J$5:$J$2004,$A58)=0,"",_xlfn.MAXIFS(HISTORIAL!$K$5:$K$2004,HISTORIAL!$E$5:$E$2004,"Press banca",HISTORIAL!$F$5:$F$2004,"Bilbo",HISTORIAL!$J$5:$J$2004,$A58))</f>
        <v/>
      </c>
      <c r="C58" s="18" t="str">
        <f aca="false">IF(_xlfn.MAXIFS(HISTORIAL!$K$5:$K$2004,HISTORIAL!$E$5:$E$2004,"Press militar",HISTORIAL!$F$5:$F$2004,"Bilbo",HISTORIAL!$J$5:$J$2004,$A58)=0,"",_xlfn.MAXIFS(HISTORIAL!$K$5:$K$2004,HISTORIAL!$E$5:$E$2004,"Press militar",HISTORIAL!$F$5:$F$2004,"Bilbo",HISTORIAL!$J$5:$J$2004,$A58))</f>
        <v/>
      </c>
      <c r="D58" s="18" t="str">
        <f aca="false">IF(_xlfn.MAXIFS(HISTORIAL!$K$5:$K$2004,HISTORIAL!$E$5:$E$2004,"Remo bajo en polea",HISTORIAL!$F$5:$F$2004,"Bilbo",HISTORIAL!$J$5:$J$2004,$A58)=0,"",_xlfn.MAXIFS(HISTORIAL!$K$5:$K$2004,HISTORIAL!$E$5:$E$2004,"Remo bajo en polea",HISTORIAL!$F$5:$F$2004,"Bilbo",HISTORIAL!$J$5:$J$2004,$A58))</f>
        <v/>
      </c>
    </row>
    <row r="59" customFormat="false" ht="15" hidden="false" customHeight="true" outlineLevel="0" collapsed="false">
      <c r="A59" s="27" t="n">
        <f aca="false">$I$22+36*$G$22</f>
        <v>82</v>
      </c>
      <c r="B59" s="18" t="str">
        <f aca="false">IF(_xlfn.MAXIFS(HISTORIAL!$K$5:$K$2004,HISTORIAL!$E$5:$E$2004,"Press banca",HISTORIAL!$F$5:$F$2004,"Bilbo",HISTORIAL!$J$5:$J$2004,$A59)=0,"",_xlfn.MAXIFS(HISTORIAL!$K$5:$K$2004,HISTORIAL!$E$5:$E$2004,"Press banca",HISTORIAL!$F$5:$F$2004,"Bilbo",HISTORIAL!$J$5:$J$2004,$A59))</f>
        <v/>
      </c>
      <c r="C59" s="18" t="str">
        <f aca="false">IF(_xlfn.MAXIFS(HISTORIAL!$K$5:$K$2004,HISTORIAL!$E$5:$E$2004,"Press militar",HISTORIAL!$F$5:$F$2004,"Bilbo",HISTORIAL!$J$5:$J$2004,$A59)=0,"",_xlfn.MAXIFS(HISTORIAL!$K$5:$K$2004,HISTORIAL!$E$5:$E$2004,"Press militar",HISTORIAL!$F$5:$F$2004,"Bilbo",HISTORIAL!$J$5:$J$2004,$A59))</f>
        <v/>
      </c>
      <c r="D59" s="18" t="str">
        <f aca="false">IF(_xlfn.MAXIFS(HISTORIAL!$K$5:$K$2004,HISTORIAL!$E$5:$E$2004,"Remo bajo en polea",HISTORIAL!$F$5:$F$2004,"Bilbo",HISTORIAL!$J$5:$J$2004,$A59)=0,"",_xlfn.MAXIFS(HISTORIAL!$K$5:$K$2004,HISTORIAL!$E$5:$E$2004,"Remo bajo en polea",HISTORIAL!$F$5:$F$2004,"Bilbo",HISTORIAL!$J$5:$J$2004,$A59))</f>
        <v/>
      </c>
    </row>
    <row r="60" customFormat="false" ht="15" hidden="false" customHeight="true" outlineLevel="0" collapsed="false">
      <c r="A60" s="27" t="n">
        <f aca="false">$I$22+37*$G$22</f>
        <v>84</v>
      </c>
      <c r="B60" s="18" t="str">
        <f aca="false">IF(_xlfn.MAXIFS(HISTORIAL!$K$5:$K$2004,HISTORIAL!$E$5:$E$2004,"Press banca",HISTORIAL!$F$5:$F$2004,"Bilbo",HISTORIAL!$J$5:$J$2004,$A60)=0,"",_xlfn.MAXIFS(HISTORIAL!$K$5:$K$2004,HISTORIAL!$E$5:$E$2004,"Press banca",HISTORIAL!$F$5:$F$2004,"Bilbo",HISTORIAL!$J$5:$J$2004,$A60))</f>
        <v/>
      </c>
      <c r="C60" s="18" t="str">
        <f aca="false">IF(_xlfn.MAXIFS(HISTORIAL!$K$5:$K$2004,HISTORIAL!$E$5:$E$2004,"Press militar",HISTORIAL!$F$5:$F$2004,"Bilbo",HISTORIAL!$J$5:$J$2004,$A60)=0,"",_xlfn.MAXIFS(HISTORIAL!$K$5:$K$2004,HISTORIAL!$E$5:$E$2004,"Press militar",HISTORIAL!$F$5:$F$2004,"Bilbo",HISTORIAL!$J$5:$J$2004,$A60))</f>
        <v/>
      </c>
      <c r="D60" s="18" t="str">
        <f aca="false">IF(_xlfn.MAXIFS(HISTORIAL!$K$5:$K$2004,HISTORIAL!$E$5:$E$2004,"Remo bajo en polea",HISTORIAL!$F$5:$F$2004,"Bilbo",HISTORIAL!$J$5:$J$2004,$A60)=0,"",_xlfn.MAXIFS(HISTORIAL!$K$5:$K$2004,HISTORIAL!$E$5:$E$2004,"Remo bajo en polea",HISTORIAL!$F$5:$F$2004,"Bilbo",HISTORIAL!$J$5:$J$2004,$A60))</f>
        <v/>
      </c>
    </row>
    <row r="61" customFormat="false" ht="15" hidden="false" customHeight="true" outlineLevel="0" collapsed="false">
      <c r="A61" s="27" t="n">
        <f aca="false">$I$22+38*$G$22</f>
        <v>86</v>
      </c>
      <c r="B61" s="18" t="str">
        <f aca="false">IF(_xlfn.MAXIFS(HISTORIAL!$K$5:$K$2004,HISTORIAL!$E$5:$E$2004,"Press banca",HISTORIAL!$F$5:$F$2004,"Bilbo",HISTORIAL!$J$5:$J$2004,$A61)=0,"",_xlfn.MAXIFS(HISTORIAL!$K$5:$K$2004,HISTORIAL!$E$5:$E$2004,"Press banca",HISTORIAL!$F$5:$F$2004,"Bilbo",HISTORIAL!$J$5:$J$2004,$A61))</f>
        <v/>
      </c>
      <c r="C61" s="18" t="str">
        <f aca="false">IF(_xlfn.MAXIFS(HISTORIAL!$K$5:$K$2004,HISTORIAL!$E$5:$E$2004,"Press militar",HISTORIAL!$F$5:$F$2004,"Bilbo",HISTORIAL!$J$5:$J$2004,$A61)=0,"",_xlfn.MAXIFS(HISTORIAL!$K$5:$K$2004,HISTORIAL!$E$5:$E$2004,"Press militar",HISTORIAL!$F$5:$F$2004,"Bilbo",HISTORIAL!$J$5:$J$2004,$A61))</f>
        <v/>
      </c>
      <c r="D61" s="18" t="str">
        <f aca="false">IF(_xlfn.MAXIFS(HISTORIAL!$K$5:$K$2004,HISTORIAL!$E$5:$E$2004,"Remo bajo en polea",HISTORIAL!$F$5:$F$2004,"Bilbo",HISTORIAL!$J$5:$J$2004,$A61)=0,"",_xlfn.MAXIFS(HISTORIAL!$K$5:$K$2004,HISTORIAL!$E$5:$E$2004,"Remo bajo en polea",HISTORIAL!$F$5:$F$2004,"Bilbo",HISTORIAL!$J$5:$J$2004,$A61))</f>
        <v/>
      </c>
    </row>
    <row r="62" customFormat="false" ht="15" hidden="false" customHeight="true" outlineLevel="0" collapsed="false">
      <c r="A62" s="27" t="n">
        <f aca="false">$I$22+39*$G$22</f>
        <v>88</v>
      </c>
      <c r="B62" s="18" t="str">
        <f aca="false">IF(_xlfn.MAXIFS(HISTORIAL!$K$5:$K$2004,HISTORIAL!$E$5:$E$2004,"Press banca",HISTORIAL!$F$5:$F$2004,"Bilbo",HISTORIAL!$J$5:$J$2004,$A62)=0,"",_xlfn.MAXIFS(HISTORIAL!$K$5:$K$2004,HISTORIAL!$E$5:$E$2004,"Press banca",HISTORIAL!$F$5:$F$2004,"Bilbo",HISTORIAL!$J$5:$J$2004,$A62))</f>
        <v/>
      </c>
      <c r="C62" s="18" t="str">
        <f aca="false">IF(_xlfn.MAXIFS(HISTORIAL!$K$5:$K$2004,HISTORIAL!$E$5:$E$2004,"Press militar",HISTORIAL!$F$5:$F$2004,"Bilbo",HISTORIAL!$J$5:$J$2004,$A62)=0,"",_xlfn.MAXIFS(HISTORIAL!$K$5:$K$2004,HISTORIAL!$E$5:$E$2004,"Press militar",HISTORIAL!$F$5:$F$2004,"Bilbo",HISTORIAL!$J$5:$J$2004,$A62))</f>
        <v/>
      </c>
      <c r="D62" s="18" t="str">
        <f aca="false">IF(_xlfn.MAXIFS(HISTORIAL!$K$5:$K$2004,HISTORIAL!$E$5:$E$2004,"Remo bajo en polea",HISTORIAL!$F$5:$F$2004,"Bilbo",HISTORIAL!$J$5:$J$2004,$A62)=0,"",_xlfn.MAXIFS(HISTORIAL!$K$5:$K$2004,HISTORIAL!$E$5:$E$2004,"Remo bajo en polea",HISTORIAL!$F$5:$F$2004,"Bilbo",HISTORIAL!$J$5:$J$2004,$A62))</f>
        <v/>
      </c>
    </row>
    <row r="63" customFormat="false" ht="15" hidden="false" customHeight="true" outlineLevel="0" collapsed="false">
      <c r="A63" s="27" t="n">
        <f aca="false">$I$22+40*$G$22</f>
        <v>90</v>
      </c>
      <c r="B63" s="18" t="str">
        <f aca="false">IF(_xlfn.MAXIFS(HISTORIAL!$K$5:$K$2004,HISTORIAL!$E$5:$E$2004,"Press banca",HISTORIAL!$F$5:$F$2004,"Bilbo",HISTORIAL!$J$5:$J$2004,$A63)=0,"",_xlfn.MAXIFS(HISTORIAL!$K$5:$K$2004,HISTORIAL!$E$5:$E$2004,"Press banca",HISTORIAL!$F$5:$F$2004,"Bilbo",HISTORIAL!$J$5:$J$2004,$A63))</f>
        <v/>
      </c>
      <c r="C63" s="18" t="str">
        <f aca="false">IF(_xlfn.MAXIFS(HISTORIAL!$K$5:$K$2004,HISTORIAL!$E$5:$E$2004,"Press militar",HISTORIAL!$F$5:$F$2004,"Bilbo",HISTORIAL!$J$5:$J$2004,$A63)=0,"",_xlfn.MAXIFS(HISTORIAL!$K$5:$K$2004,HISTORIAL!$E$5:$E$2004,"Press militar",HISTORIAL!$F$5:$F$2004,"Bilbo",HISTORIAL!$J$5:$J$2004,$A63))</f>
        <v/>
      </c>
      <c r="D63" s="18" t="str">
        <f aca="false">IF(_xlfn.MAXIFS(HISTORIAL!$K$5:$K$2004,HISTORIAL!$E$5:$E$2004,"Remo bajo en polea",HISTORIAL!$F$5:$F$2004,"Bilbo",HISTORIAL!$J$5:$J$2004,$A63)=0,"",_xlfn.MAXIFS(HISTORIAL!$K$5:$K$2004,HISTORIAL!$E$5:$E$2004,"Remo bajo en polea",HISTORIAL!$F$5:$F$2004,"Bilbo",HISTORIAL!$J$5:$J$2004,$A63))</f>
        <v/>
      </c>
    </row>
    <row r="64" customFormat="false" ht="15" hidden="false" customHeight="true" outlineLevel="0" collapsed="false">
      <c r="A64" s="27" t="n">
        <f aca="false">$I$22+41*$G$22</f>
        <v>92</v>
      </c>
      <c r="B64" s="18" t="str">
        <f aca="false">IF(_xlfn.MAXIFS(HISTORIAL!$K$5:$K$2004,HISTORIAL!$E$5:$E$2004,"Press banca",HISTORIAL!$F$5:$F$2004,"Bilbo",HISTORIAL!$J$5:$J$2004,$A64)=0,"",_xlfn.MAXIFS(HISTORIAL!$K$5:$K$2004,HISTORIAL!$E$5:$E$2004,"Press banca",HISTORIAL!$F$5:$F$2004,"Bilbo",HISTORIAL!$J$5:$J$2004,$A64))</f>
        <v/>
      </c>
      <c r="C64" s="18" t="str">
        <f aca="false">IF(_xlfn.MAXIFS(HISTORIAL!$K$5:$K$2004,HISTORIAL!$E$5:$E$2004,"Press militar",HISTORIAL!$F$5:$F$2004,"Bilbo",HISTORIAL!$J$5:$J$2004,$A64)=0,"",_xlfn.MAXIFS(HISTORIAL!$K$5:$K$2004,HISTORIAL!$E$5:$E$2004,"Press militar",HISTORIAL!$F$5:$F$2004,"Bilbo",HISTORIAL!$J$5:$J$2004,$A64))</f>
        <v/>
      </c>
      <c r="D64" s="18" t="str">
        <f aca="false">IF(_xlfn.MAXIFS(HISTORIAL!$K$5:$K$2004,HISTORIAL!$E$5:$E$2004,"Remo bajo en polea",HISTORIAL!$F$5:$F$2004,"Bilbo",HISTORIAL!$J$5:$J$2004,$A64)=0,"",_xlfn.MAXIFS(HISTORIAL!$K$5:$K$2004,HISTORIAL!$E$5:$E$2004,"Remo bajo en polea",HISTORIAL!$F$5:$F$2004,"Bilbo",HISTORIAL!$J$5:$J$2004,$A64))</f>
        <v/>
      </c>
    </row>
    <row r="65" customFormat="false" ht="15" hidden="false" customHeight="true" outlineLevel="0" collapsed="false">
      <c r="A65" s="27" t="n">
        <f aca="false">$I$22+42*$G$22</f>
        <v>94</v>
      </c>
      <c r="B65" s="18" t="str">
        <f aca="false">IF(_xlfn.MAXIFS(HISTORIAL!$K$5:$K$2004,HISTORIAL!$E$5:$E$2004,"Press banca",HISTORIAL!$F$5:$F$2004,"Bilbo",HISTORIAL!$J$5:$J$2004,$A65)=0,"",_xlfn.MAXIFS(HISTORIAL!$K$5:$K$2004,HISTORIAL!$E$5:$E$2004,"Press banca",HISTORIAL!$F$5:$F$2004,"Bilbo",HISTORIAL!$J$5:$J$2004,$A65))</f>
        <v/>
      </c>
      <c r="C65" s="18" t="str">
        <f aca="false">IF(_xlfn.MAXIFS(HISTORIAL!$K$5:$K$2004,HISTORIAL!$E$5:$E$2004,"Press militar",HISTORIAL!$F$5:$F$2004,"Bilbo",HISTORIAL!$J$5:$J$2004,$A65)=0,"",_xlfn.MAXIFS(HISTORIAL!$K$5:$K$2004,HISTORIAL!$E$5:$E$2004,"Press militar",HISTORIAL!$F$5:$F$2004,"Bilbo",HISTORIAL!$J$5:$J$2004,$A65))</f>
        <v/>
      </c>
      <c r="D65" s="18" t="str">
        <f aca="false">IF(_xlfn.MAXIFS(HISTORIAL!$K$5:$K$2004,HISTORIAL!$E$5:$E$2004,"Remo bajo en polea",HISTORIAL!$F$5:$F$2004,"Bilbo",HISTORIAL!$J$5:$J$2004,$A65)=0,"",_xlfn.MAXIFS(HISTORIAL!$K$5:$K$2004,HISTORIAL!$E$5:$E$2004,"Remo bajo en polea",HISTORIAL!$F$5:$F$2004,"Bilbo",HISTORIAL!$J$5:$J$2004,$A65))</f>
        <v/>
      </c>
    </row>
    <row r="66" customFormat="false" ht="15" hidden="false" customHeight="true" outlineLevel="0" collapsed="false">
      <c r="A66" s="27" t="n">
        <f aca="false">$I$22+43*$G$22</f>
        <v>96</v>
      </c>
      <c r="B66" s="18" t="str">
        <f aca="false">IF(_xlfn.MAXIFS(HISTORIAL!$K$5:$K$2004,HISTORIAL!$E$5:$E$2004,"Press banca",HISTORIAL!$F$5:$F$2004,"Bilbo",HISTORIAL!$J$5:$J$2004,$A66)=0,"",_xlfn.MAXIFS(HISTORIAL!$K$5:$K$2004,HISTORIAL!$E$5:$E$2004,"Press banca",HISTORIAL!$F$5:$F$2004,"Bilbo",HISTORIAL!$J$5:$J$2004,$A66))</f>
        <v/>
      </c>
      <c r="C66" s="18" t="str">
        <f aca="false">IF(_xlfn.MAXIFS(HISTORIAL!$K$5:$K$2004,HISTORIAL!$E$5:$E$2004,"Press militar",HISTORIAL!$F$5:$F$2004,"Bilbo",HISTORIAL!$J$5:$J$2004,$A66)=0,"",_xlfn.MAXIFS(HISTORIAL!$K$5:$K$2004,HISTORIAL!$E$5:$E$2004,"Press militar",HISTORIAL!$F$5:$F$2004,"Bilbo",HISTORIAL!$J$5:$J$2004,$A66))</f>
        <v/>
      </c>
      <c r="D66" s="18" t="str">
        <f aca="false">IF(_xlfn.MAXIFS(HISTORIAL!$K$5:$K$2004,HISTORIAL!$E$5:$E$2004,"Remo bajo en polea",HISTORIAL!$F$5:$F$2004,"Bilbo",HISTORIAL!$J$5:$J$2004,$A66)=0,"",_xlfn.MAXIFS(HISTORIAL!$K$5:$K$2004,HISTORIAL!$E$5:$E$2004,"Remo bajo en polea",HISTORIAL!$F$5:$F$2004,"Bilbo",HISTORIAL!$J$5:$J$2004,$A66))</f>
        <v/>
      </c>
    </row>
    <row r="67" customFormat="false" ht="15" hidden="false" customHeight="true" outlineLevel="0" collapsed="false">
      <c r="A67" s="27" t="n">
        <f aca="false">$I$22+44*$G$22</f>
        <v>98</v>
      </c>
      <c r="B67" s="18" t="str">
        <f aca="false">IF(_xlfn.MAXIFS(HISTORIAL!$K$5:$K$2004,HISTORIAL!$E$5:$E$2004,"Press banca",HISTORIAL!$F$5:$F$2004,"Bilbo",HISTORIAL!$J$5:$J$2004,$A67)=0,"",_xlfn.MAXIFS(HISTORIAL!$K$5:$K$2004,HISTORIAL!$E$5:$E$2004,"Press banca",HISTORIAL!$F$5:$F$2004,"Bilbo",HISTORIAL!$J$5:$J$2004,$A67))</f>
        <v/>
      </c>
      <c r="C67" s="18" t="str">
        <f aca="false">IF(_xlfn.MAXIFS(HISTORIAL!$K$5:$K$2004,HISTORIAL!$E$5:$E$2004,"Press militar",HISTORIAL!$F$5:$F$2004,"Bilbo",HISTORIAL!$J$5:$J$2004,$A67)=0,"",_xlfn.MAXIFS(HISTORIAL!$K$5:$K$2004,HISTORIAL!$E$5:$E$2004,"Press militar",HISTORIAL!$F$5:$F$2004,"Bilbo",HISTORIAL!$J$5:$J$2004,$A67))</f>
        <v/>
      </c>
      <c r="D67" s="18" t="str">
        <f aca="false">IF(_xlfn.MAXIFS(HISTORIAL!$K$5:$K$2004,HISTORIAL!$E$5:$E$2004,"Remo bajo en polea",HISTORIAL!$F$5:$F$2004,"Bilbo",HISTORIAL!$J$5:$J$2004,$A67)=0,"",_xlfn.MAXIFS(HISTORIAL!$K$5:$K$2004,HISTORIAL!$E$5:$E$2004,"Remo bajo en polea",HISTORIAL!$F$5:$F$2004,"Bilbo",HISTORIAL!$J$5:$J$2004,$A67))</f>
        <v/>
      </c>
    </row>
    <row r="68" customFormat="false" ht="15" hidden="false" customHeight="true" outlineLevel="0" collapsed="false">
      <c r="A68" s="27" t="n">
        <f aca="false">$I$22+45*$G$22</f>
        <v>100</v>
      </c>
      <c r="B68" s="18" t="str">
        <f aca="false">IF(_xlfn.MAXIFS(HISTORIAL!$K$5:$K$2004,HISTORIAL!$E$5:$E$2004,"Press banca",HISTORIAL!$F$5:$F$2004,"Bilbo",HISTORIAL!$J$5:$J$2004,$A68)=0,"",_xlfn.MAXIFS(HISTORIAL!$K$5:$K$2004,HISTORIAL!$E$5:$E$2004,"Press banca",HISTORIAL!$F$5:$F$2004,"Bilbo",HISTORIAL!$J$5:$J$2004,$A68))</f>
        <v/>
      </c>
      <c r="C68" s="18" t="str">
        <f aca="false">IF(_xlfn.MAXIFS(HISTORIAL!$K$5:$K$2004,HISTORIAL!$E$5:$E$2004,"Press militar",HISTORIAL!$F$5:$F$2004,"Bilbo",HISTORIAL!$J$5:$J$2004,$A68)=0,"",_xlfn.MAXIFS(HISTORIAL!$K$5:$K$2004,HISTORIAL!$E$5:$E$2004,"Press militar",HISTORIAL!$F$5:$F$2004,"Bilbo",HISTORIAL!$J$5:$J$2004,$A68))</f>
        <v/>
      </c>
      <c r="D68" s="18" t="str">
        <f aca="false">IF(_xlfn.MAXIFS(HISTORIAL!$K$5:$K$2004,HISTORIAL!$E$5:$E$2004,"Remo bajo en polea",HISTORIAL!$F$5:$F$2004,"Bilbo",HISTORIAL!$J$5:$J$2004,$A68)=0,"",_xlfn.MAXIFS(HISTORIAL!$K$5:$K$2004,HISTORIAL!$E$5:$E$2004,"Remo bajo en polea",HISTORIAL!$F$5:$F$2004,"Bilbo",HISTORIAL!$J$5:$J$2004,$A68))</f>
        <v/>
      </c>
    </row>
    <row r="69" customFormat="false" ht="15" hidden="false" customHeight="true" outlineLevel="0" collapsed="false">
      <c r="A69" s="27" t="n">
        <f aca="false">$I$22+46*$G$22</f>
        <v>102</v>
      </c>
      <c r="B69" s="18" t="str">
        <f aca="false">IF(_xlfn.MAXIFS(HISTORIAL!$K$5:$K$2004,HISTORIAL!$E$5:$E$2004,"Press banca",HISTORIAL!$F$5:$F$2004,"Bilbo",HISTORIAL!$J$5:$J$2004,$A69)=0,"",_xlfn.MAXIFS(HISTORIAL!$K$5:$K$2004,HISTORIAL!$E$5:$E$2004,"Press banca",HISTORIAL!$F$5:$F$2004,"Bilbo",HISTORIAL!$J$5:$J$2004,$A69))</f>
        <v/>
      </c>
      <c r="C69" s="18" t="str">
        <f aca="false">IF(_xlfn.MAXIFS(HISTORIAL!$K$5:$K$2004,HISTORIAL!$E$5:$E$2004,"Press militar",HISTORIAL!$F$5:$F$2004,"Bilbo",HISTORIAL!$J$5:$J$2004,$A69)=0,"",_xlfn.MAXIFS(HISTORIAL!$K$5:$K$2004,HISTORIAL!$E$5:$E$2004,"Press militar",HISTORIAL!$F$5:$F$2004,"Bilbo",HISTORIAL!$J$5:$J$2004,$A69))</f>
        <v/>
      </c>
      <c r="D69" s="18" t="str">
        <f aca="false">IF(_xlfn.MAXIFS(HISTORIAL!$K$5:$K$2004,HISTORIAL!$E$5:$E$2004,"Remo bajo en polea",HISTORIAL!$F$5:$F$2004,"Bilbo",HISTORIAL!$J$5:$J$2004,$A69)=0,"",_xlfn.MAXIFS(HISTORIAL!$K$5:$K$2004,HISTORIAL!$E$5:$E$2004,"Remo bajo en polea",HISTORIAL!$F$5:$F$2004,"Bilbo",HISTORIAL!$J$5:$J$2004,$A69))</f>
        <v/>
      </c>
    </row>
    <row r="70" customFormat="false" ht="15" hidden="false" customHeight="true" outlineLevel="0" collapsed="false">
      <c r="A70" s="27" t="n">
        <f aca="false">$I$22+47*$G$22</f>
        <v>104</v>
      </c>
      <c r="B70" s="18" t="str">
        <f aca="false">IF(_xlfn.MAXIFS(HISTORIAL!$K$5:$K$2004,HISTORIAL!$E$5:$E$2004,"Press banca",HISTORIAL!$F$5:$F$2004,"Bilbo",HISTORIAL!$J$5:$J$2004,$A70)=0,"",_xlfn.MAXIFS(HISTORIAL!$K$5:$K$2004,HISTORIAL!$E$5:$E$2004,"Press banca",HISTORIAL!$F$5:$F$2004,"Bilbo",HISTORIAL!$J$5:$J$2004,$A70))</f>
        <v/>
      </c>
      <c r="C70" s="18" t="str">
        <f aca="false">IF(_xlfn.MAXIFS(HISTORIAL!$K$5:$K$2004,HISTORIAL!$E$5:$E$2004,"Press militar",HISTORIAL!$F$5:$F$2004,"Bilbo",HISTORIAL!$J$5:$J$2004,$A70)=0,"",_xlfn.MAXIFS(HISTORIAL!$K$5:$K$2004,HISTORIAL!$E$5:$E$2004,"Press militar",HISTORIAL!$F$5:$F$2004,"Bilbo",HISTORIAL!$J$5:$J$2004,$A70))</f>
        <v/>
      </c>
      <c r="D70" s="18" t="str">
        <f aca="false">IF(_xlfn.MAXIFS(HISTORIAL!$K$5:$K$2004,HISTORIAL!$E$5:$E$2004,"Remo bajo en polea",HISTORIAL!$F$5:$F$2004,"Bilbo",HISTORIAL!$J$5:$J$2004,$A70)=0,"",_xlfn.MAXIFS(HISTORIAL!$K$5:$K$2004,HISTORIAL!$E$5:$E$2004,"Remo bajo en polea",HISTORIAL!$F$5:$F$2004,"Bilbo",HISTORIAL!$J$5:$J$2004,$A70))</f>
        <v/>
      </c>
    </row>
    <row r="71" customFormat="false" ht="15" hidden="false" customHeight="true" outlineLevel="0" collapsed="false">
      <c r="A71" s="27" t="n">
        <f aca="false">$I$22+48*$G$22</f>
        <v>106</v>
      </c>
      <c r="B71" s="18" t="str">
        <f aca="false">IF(_xlfn.MAXIFS(HISTORIAL!$K$5:$K$2004,HISTORIAL!$E$5:$E$2004,"Press banca",HISTORIAL!$F$5:$F$2004,"Bilbo",HISTORIAL!$J$5:$J$2004,$A71)=0,"",_xlfn.MAXIFS(HISTORIAL!$K$5:$K$2004,HISTORIAL!$E$5:$E$2004,"Press banca",HISTORIAL!$F$5:$F$2004,"Bilbo",HISTORIAL!$J$5:$J$2004,$A71))</f>
        <v/>
      </c>
      <c r="C71" s="18" t="str">
        <f aca="false">IF(_xlfn.MAXIFS(HISTORIAL!$K$5:$K$2004,HISTORIAL!$E$5:$E$2004,"Press militar",HISTORIAL!$F$5:$F$2004,"Bilbo",HISTORIAL!$J$5:$J$2004,$A71)=0,"",_xlfn.MAXIFS(HISTORIAL!$K$5:$K$2004,HISTORIAL!$E$5:$E$2004,"Press militar",HISTORIAL!$F$5:$F$2004,"Bilbo",HISTORIAL!$J$5:$J$2004,$A71))</f>
        <v/>
      </c>
      <c r="D71" s="18" t="str">
        <f aca="false">IF(_xlfn.MAXIFS(HISTORIAL!$K$5:$K$2004,HISTORIAL!$E$5:$E$2004,"Remo bajo en polea",HISTORIAL!$F$5:$F$2004,"Bilbo",HISTORIAL!$J$5:$J$2004,$A71)=0,"",_xlfn.MAXIFS(HISTORIAL!$K$5:$K$2004,HISTORIAL!$E$5:$E$2004,"Remo bajo en polea",HISTORIAL!$F$5:$F$2004,"Bilbo",HISTORIAL!$J$5:$J$2004,$A71))</f>
        <v/>
      </c>
    </row>
    <row r="72" customFormat="false" ht="15" hidden="false" customHeight="true" outlineLevel="0" collapsed="false">
      <c r="A72" s="27" t="n">
        <f aca="false">$I$22+49*$G$22</f>
        <v>108</v>
      </c>
      <c r="B72" s="18" t="str">
        <f aca="false">IF(_xlfn.MAXIFS(HISTORIAL!$K$5:$K$2004,HISTORIAL!$E$5:$E$2004,"Press banca",HISTORIAL!$F$5:$F$2004,"Bilbo",HISTORIAL!$J$5:$J$2004,$A72)=0,"",_xlfn.MAXIFS(HISTORIAL!$K$5:$K$2004,HISTORIAL!$E$5:$E$2004,"Press banca",HISTORIAL!$F$5:$F$2004,"Bilbo",HISTORIAL!$J$5:$J$2004,$A72))</f>
        <v/>
      </c>
      <c r="C72" s="18" t="str">
        <f aca="false">IF(_xlfn.MAXIFS(HISTORIAL!$K$5:$K$2004,HISTORIAL!$E$5:$E$2004,"Press militar",HISTORIAL!$F$5:$F$2004,"Bilbo",HISTORIAL!$J$5:$J$2004,$A72)=0,"",_xlfn.MAXIFS(HISTORIAL!$K$5:$K$2004,HISTORIAL!$E$5:$E$2004,"Press militar",HISTORIAL!$F$5:$F$2004,"Bilbo",HISTORIAL!$J$5:$J$2004,$A72))</f>
        <v/>
      </c>
      <c r="D72" s="18" t="str">
        <f aca="false">IF(_xlfn.MAXIFS(HISTORIAL!$K$5:$K$2004,HISTORIAL!$E$5:$E$2004,"Remo bajo en polea",HISTORIAL!$F$5:$F$2004,"Bilbo",HISTORIAL!$J$5:$J$2004,$A72)=0,"",_xlfn.MAXIFS(HISTORIAL!$K$5:$K$2004,HISTORIAL!$E$5:$E$2004,"Remo bajo en polea",HISTORIAL!$F$5:$F$2004,"Bilbo",HISTORIAL!$J$5:$J$2004,$A72))</f>
        <v/>
      </c>
    </row>
    <row r="73" customFormat="false" ht="15" hidden="false" customHeight="true" outlineLevel="0" collapsed="false">
      <c r="A73" s="27" t="n">
        <f aca="false">$I$22+50*$G$22</f>
        <v>110</v>
      </c>
      <c r="B73" s="18" t="str">
        <f aca="false">IF(_xlfn.MAXIFS(HISTORIAL!$K$5:$K$2004,HISTORIAL!$E$5:$E$2004,"Press banca",HISTORIAL!$F$5:$F$2004,"Bilbo",HISTORIAL!$J$5:$J$2004,$A73)=0,"",_xlfn.MAXIFS(HISTORIAL!$K$5:$K$2004,HISTORIAL!$E$5:$E$2004,"Press banca",HISTORIAL!$F$5:$F$2004,"Bilbo",HISTORIAL!$J$5:$J$2004,$A73))</f>
        <v/>
      </c>
      <c r="C73" s="18" t="str">
        <f aca="false">IF(_xlfn.MAXIFS(HISTORIAL!$K$5:$K$2004,HISTORIAL!$E$5:$E$2004,"Press militar",HISTORIAL!$F$5:$F$2004,"Bilbo",HISTORIAL!$J$5:$J$2004,$A73)=0,"",_xlfn.MAXIFS(HISTORIAL!$K$5:$K$2004,HISTORIAL!$E$5:$E$2004,"Press militar",HISTORIAL!$F$5:$F$2004,"Bilbo",HISTORIAL!$J$5:$J$2004,$A73))</f>
        <v/>
      </c>
      <c r="D73" s="18" t="str">
        <f aca="false">IF(_xlfn.MAXIFS(HISTORIAL!$K$5:$K$2004,HISTORIAL!$E$5:$E$2004,"Remo bajo en polea",HISTORIAL!$F$5:$F$2004,"Bilbo",HISTORIAL!$J$5:$J$2004,$A73)=0,"",_xlfn.MAXIFS(HISTORIAL!$K$5:$K$2004,HISTORIAL!$E$5:$E$2004,"Remo bajo en polea",HISTORIAL!$F$5:$F$2004,"Bilbo",HISTORIAL!$J$5:$J$2004,$A73))</f>
        <v/>
      </c>
    </row>
    <row r="74" customFormat="false" ht="15" hidden="false" customHeight="true" outlineLevel="0" collapsed="false">
      <c r="A74" s="27" t="n">
        <f aca="false">$I$22+51*$G$22</f>
        <v>112</v>
      </c>
      <c r="B74" s="18" t="str">
        <f aca="false">IF(_xlfn.MAXIFS(HISTORIAL!$K$5:$K$2004,HISTORIAL!$E$5:$E$2004,"Press banca",HISTORIAL!$F$5:$F$2004,"Bilbo",HISTORIAL!$J$5:$J$2004,$A74)=0,"",_xlfn.MAXIFS(HISTORIAL!$K$5:$K$2004,HISTORIAL!$E$5:$E$2004,"Press banca",HISTORIAL!$F$5:$F$2004,"Bilbo",HISTORIAL!$J$5:$J$2004,$A74))</f>
        <v/>
      </c>
      <c r="C74" s="18" t="str">
        <f aca="false">IF(_xlfn.MAXIFS(HISTORIAL!$K$5:$K$2004,HISTORIAL!$E$5:$E$2004,"Press militar",HISTORIAL!$F$5:$F$2004,"Bilbo",HISTORIAL!$J$5:$J$2004,$A74)=0,"",_xlfn.MAXIFS(HISTORIAL!$K$5:$K$2004,HISTORIAL!$E$5:$E$2004,"Press militar",HISTORIAL!$F$5:$F$2004,"Bilbo",HISTORIAL!$J$5:$J$2004,$A74))</f>
        <v/>
      </c>
      <c r="D74" s="18" t="str">
        <f aca="false">IF(_xlfn.MAXIFS(HISTORIAL!$K$5:$K$2004,HISTORIAL!$E$5:$E$2004,"Remo bajo en polea",HISTORIAL!$F$5:$F$2004,"Bilbo",HISTORIAL!$J$5:$J$2004,$A74)=0,"",_xlfn.MAXIFS(HISTORIAL!$K$5:$K$2004,HISTORIAL!$E$5:$E$2004,"Remo bajo en polea",HISTORIAL!$F$5:$F$2004,"Bilbo",HISTORIAL!$J$5:$J$2004,$A74))</f>
        <v/>
      </c>
    </row>
    <row r="75" customFormat="false" ht="15" hidden="false" customHeight="true" outlineLevel="0" collapsed="false">
      <c r="A75" s="27" t="n">
        <f aca="false">$I$22+52*$G$22</f>
        <v>114</v>
      </c>
      <c r="B75" s="18" t="str">
        <f aca="false">IF(_xlfn.MAXIFS(HISTORIAL!$K$5:$K$2004,HISTORIAL!$E$5:$E$2004,"Press banca",HISTORIAL!$F$5:$F$2004,"Bilbo",HISTORIAL!$J$5:$J$2004,$A75)=0,"",_xlfn.MAXIFS(HISTORIAL!$K$5:$K$2004,HISTORIAL!$E$5:$E$2004,"Press banca",HISTORIAL!$F$5:$F$2004,"Bilbo",HISTORIAL!$J$5:$J$2004,$A75))</f>
        <v/>
      </c>
      <c r="C75" s="18" t="str">
        <f aca="false">IF(_xlfn.MAXIFS(HISTORIAL!$K$5:$K$2004,HISTORIAL!$E$5:$E$2004,"Press militar",HISTORIAL!$F$5:$F$2004,"Bilbo",HISTORIAL!$J$5:$J$2004,$A75)=0,"",_xlfn.MAXIFS(HISTORIAL!$K$5:$K$2004,HISTORIAL!$E$5:$E$2004,"Press militar",HISTORIAL!$F$5:$F$2004,"Bilbo",HISTORIAL!$J$5:$J$2004,$A75))</f>
        <v/>
      </c>
      <c r="D75" s="18" t="str">
        <f aca="false">IF(_xlfn.MAXIFS(HISTORIAL!$K$5:$K$2004,HISTORIAL!$E$5:$E$2004,"Remo bajo en polea",HISTORIAL!$F$5:$F$2004,"Bilbo",HISTORIAL!$J$5:$J$2004,$A75)=0,"",_xlfn.MAXIFS(HISTORIAL!$K$5:$K$2004,HISTORIAL!$E$5:$E$2004,"Remo bajo en polea",HISTORIAL!$F$5:$F$2004,"Bilbo",HISTORIAL!$J$5:$J$2004,$A75))</f>
        <v/>
      </c>
    </row>
    <row r="76" customFormat="false" ht="15" hidden="false" customHeight="true" outlineLevel="0" collapsed="false">
      <c r="A76" s="27" t="n">
        <f aca="false">$I$22+53*$G$22</f>
        <v>116</v>
      </c>
      <c r="B76" s="18" t="str">
        <f aca="false">IF(_xlfn.MAXIFS(HISTORIAL!$K$5:$K$2004,HISTORIAL!$E$5:$E$2004,"Press banca",HISTORIAL!$F$5:$F$2004,"Bilbo",HISTORIAL!$J$5:$J$2004,$A76)=0,"",_xlfn.MAXIFS(HISTORIAL!$K$5:$K$2004,HISTORIAL!$E$5:$E$2004,"Press banca",HISTORIAL!$F$5:$F$2004,"Bilbo",HISTORIAL!$J$5:$J$2004,$A76))</f>
        <v/>
      </c>
      <c r="C76" s="18" t="str">
        <f aca="false">IF(_xlfn.MAXIFS(HISTORIAL!$K$5:$K$2004,HISTORIAL!$E$5:$E$2004,"Press militar",HISTORIAL!$F$5:$F$2004,"Bilbo",HISTORIAL!$J$5:$J$2004,$A76)=0,"",_xlfn.MAXIFS(HISTORIAL!$K$5:$K$2004,HISTORIAL!$E$5:$E$2004,"Press militar",HISTORIAL!$F$5:$F$2004,"Bilbo",HISTORIAL!$J$5:$J$2004,$A76))</f>
        <v/>
      </c>
      <c r="D76" s="18" t="str">
        <f aca="false">IF(_xlfn.MAXIFS(HISTORIAL!$K$5:$K$2004,HISTORIAL!$E$5:$E$2004,"Remo bajo en polea",HISTORIAL!$F$5:$F$2004,"Bilbo",HISTORIAL!$J$5:$J$2004,$A76)=0,"",_xlfn.MAXIFS(HISTORIAL!$K$5:$K$2004,HISTORIAL!$E$5:$E$2004,"Remo bajo en polea",HISTORIAL!$F$5:$F$2004,"Bilbo",HISTORIAL!$J$5:$J$2004,$A76))</f>
        <v/>
      </c>
    </row>
    <row r="77" customFormat="false" ht="15" hidden="false" customHeight="true" outlineLevel="0" collapsed="false">
      <c r="A77" s="27" t="n">
        <f aca="false">$I$22+54*$G$22</f>
        <v>118</v>
      </c>
      <c r="B77" s="18" t="str">
        <f aca="false">IF(_xlfn.MAXIFS(HISTORIAL!$K$5:$K$2004,HISTORIAL!$E$5:$E$2004,"Press banca",HISTORIAL!$F$5:$F$2004,"Bilbo",HISTORIAL!$J$5:$J$2004,$A77)=0,"",_xlfn.MAXIFS(HISTORIAL!$K$5:$K$2004,HISTORIAL!$E$5:$E$2004,"Press banca",HISTORIAL!$F$5:$F$2004,"Bilbo",HISTORIAL!$J$5:$J$2004,$A77))</f>
        <v/>
      </c>
      <c r="C77" s="18" t="str">
        <f aca="false">IF(_xlfn.MAXIFS(HISTORIAL!$K$5:$K$2004,HISTORIAL!$E$5:$E$2004,"Press militar",HISTORIAL!$F$5:$F$2004,"Bilbo",HISTORIAL!$J$5:$J$2004,$A77)=0,"",_xlfn.MAXIFS(HISTORIAL!$K$5:$K$2004,HISTORIAL!$E$5:$E$2004,"Press militar",HISTORIAL!$F$5:$F$2004,"Bilbo",HISTORIAL!$J$5:$J$2004,$A77))</f>
        <v/>
      </c>
      <c r="D77" s="18" t="str">
        <f aca="false">IF(_xlfn.MAXIFS(HISTORIAL!$K$5:$K$2004,HISTORIAL!$E$5:$E$2004,"Remo bajo en polea",HISTORIAL!$F$5:$F$2004,"Bilbo",HISTORIAL!$J$5:$J$2004,$A77)=0,"",_xlfn.MAXIFS(HISTORIAL!$K$5:$K$2004,HISTORIAL!$E$5:$E$2004,"Remo bajo en polea",HISTORIAL!$F$5:$F$2004,"Bilbo",HISTORIAL!$J$5:$J$2004,$A77))</f>
        <v/>
      </c>
    </row>
    <row r="78" customFormat="false" ht="15" hidden="false" customHeight="true" outlineLevel="0" collapsed="false">
      <c r="A78" s="27" t="n">
        <f aca="false">$I$22+55*$G$22</f>
        <v>120</v>
      </c>
      <c r="B78" s="18" t="str">
        <f aca="false">IF(_xlfn.MAXIFS(HISTORIAL!$K$5:$K$2004,HISTORIAL!$E$5:$E$2004,"Press banca",HISTORIAL!$F$5:$F$2004,"Bilbo",HISTORIAL!$J$5:$J$2004,$A78)=0,"",_xlfn.MAXIFS(HISTORIAL!$K$5:$K$2004,HISTORIAL!$E$5:$E$2004,"Press banca",HISTORIAL!$F$5:$F$2004,"Bilbo",HISTORIAL!$J$5:$J$2004,$A78))</f>
        <v/>
      </c>
      <c r="C78" s="18" t="str">
        <f aca="false">IF(_xlfn.MAXIFS(HISTORIAL!$K$5:$K$2004,HISTORIAL!$E$5:$E$2004,"Press militar",HISTORIAL!$F$5:$F$2004,"Bilbo",HISTORIAL!$J$5:$J$2004,$A78)=0,"",_xlfn.MAXIFS(HISTORIAL!$K$5:$K$2004,HISTORIAL!$E$5:$E$2004,"Press militar",HISTORIAL!$F$5:$F$2004,"Bilbo",HISTORIAL!$J$5:$J$2004,$A78))</f>
        <v/>
      </c>
      <c r="D78" s="18" t="str">
        <f aca="false">IF(_xlfn.MAXIFS(HISTORIAL!$K$5:$K$2004,HISTORIAL!$E$5:$E$2004,"Remo bajo en polea",HISTORIAL!$F$5:$F$2004,"Bilbo",HISTORIAL!$J$5:$J$2004,$A78)=0,"",_xlfn.MAXIFS(HISTORIAL!$K$5:$K$2004,HISTORIAL!$E$5:$E$2004,"Remo bajo en polea",HISTORIAL!$F$5:$F$2004,"Bilbo",HISTORIAL!$J$5:$J$2004,$A78))</f>
        <v/>
      </c>
    </row>
    <row r="79" customFormat="false" ht="15" hidden="false" customHeight="true" outlineLevel="0" collapsed="false">
      <c r="A79" s="27" t="n">
        <f aca="false">$I$22+56*$G$22</f>
        <v>122</v>
      </c>
      <c r="B79" s="18" t="str">
        <f aca="false">IF(_xlfn.MAXIFS(HISTORIAL!$K$5:$K$2004,HISTORIAL!$E$5:$E$2004,"Press banca",HISTORIAL!$F$5:$F$2004,"Bilbo",HISTORIAL!$J$5:$J$2004,$A79)=0,"",_xlfn.MAXIFS(HISTORIAL!$K$5:$K$2004,HISTORIAL!$E$5:$E$2004,"Press banca",HISTORIAL!$F$5:$F$2004,"Bilbo",HISTORIAL!$J$5:$J$2004,$A79))</f>
        <v/>
      </c>
      <c r="C79" s="18" t="str">
        <f aca="false">IF(_xlfn.MAXIFS(HISTORIAL!$K$5:$K$2004,HISTORIAL!$E$5:$E$2004,"Press militar",HISTORIAL!$F$5:$F$2004,"Bilbo",HISTORIAL!$J$5:$J$2004,$A79)=0,"",_xlfn.MAXIFS(HISTORIAL!$K$5:$K$2004,HISTORIAL!$E$5:$E$2004,"Press militar",HISTORIAL!$F$5:$F$2004,"Bilbo",HISTORIAL!$J$5:$J$2004,$A79))</f>
        <v/>
      </c>
      <c r="D79" s="18" t="str">
        <f aca="false">IF(_xlfn.MAXIFS(HISTORIAL!$K$5:$K$2004,HISTORIAL!$E$5:$E$2004,"Remo bajo en polea",HISTORIAL!$F$5:$F$2004,"Bilbo",HISTORIAL!$J$5:$J$2004,$A79)=0,"",_xlfn.MAXIFS(HISTORIAL!$K$5:$K$2004,HISTORIAL!$E$5:$E$2004,"Remo bajo en polea",HISTORIAL!$F$5:$F$2004,"Bilbo",HISTORIAL!$J$5:$J$2004,$A79))</f>
        <v/>
      </c>
    </row>
    <row r="80" customFormat="false" ht="15" hidden="false" customHeight="true" outlineLevel="0" collapsed="false">
      <c r="A80" s="27" t="n">
        <f aca="false">$I$22+57*$G$22</f>
        <v>124</v>
      </c>
      <c r="B80" s="18" t="str">
        <f aca="false">IF(_xlfn.MAXIFS(HISTORIAL!$K$5:$K$2004,HISTORIAL!$E$5:$E$2004,"Press banca",HISTORIAL!$F$5:$F$2004,"Bilbo",HISTORIAL!$J$5:$J$2004,$A80)=0,"",_xlfn.MAXIFS(HISTORIAL!$K$5:$K$2004,HISTORIAL!$E$5:$E$2004,"Press banca",HISTORIAL!$F$5:$F$2004,"Bilbo",HISTORIAL!$J$5:$J$2004,$A80))</f>
        <v/>
      </c>
      <c r="C80" s="18" t="str">
        <f aca="false">IF(_xlfn.MAXIFS(HISTORIAL!$K$5:$K$2004,HISTORIAL!$E$5:$E$2004,"Press militar",HISTORIAL!$F$5:$F$2004,"Bilbo",HISTORIAL!$J$5:$J$2004,$A80)=0,"",_xlfn.MAXIFS(HISTORIAL!$K$5:$K$2004,HISTORIAL!$E$5:$E$2004,"Press militar",HISTORIAL!$F$5:$F$2004,"Bilbo",HISTORIAL!$J$5:$J$2004,$A80))</f>
        <v/>
      </c>
      <c r="D80" s="18" t="str">
        <f aca="false">IF(_xlfn.MAXIFS(HISTORIAL!$K$5:$K$2004,HISTORIAL!$E$5:$E$2004,"Remo bajo en polea",HISTORIAL!$F$5:$F$2004,"Bilbo",HISTORIAL!$J$5:$J$2004,$A80)=0,"",_xlfn.MAXIFS(HISTORIAL!$K$5:$K$2004,HISTORIAL!$E$5:$E$2004,"Remo bajo en polea",HISTORIAL!$F$5:$F$2004,"Bilbo",HISTORIAL!$J$5:$J$2004,$A80))</f>
        <v/>
      </c>
    </row>
    <row r="81" customFormat="false" ht="15" hidden="false" customHeight="true" outlineLevel="0" collapsed="false">
      <c r="A81" s="27" t="n">
        <f aca="false">$I$22+58*$G$22</f>
        <v>126</v>
      </c>
      <c r="B81" s="18" t="str">
        <f aca="false">IF(_xlfn.MAXIFS(HISTORIAL!$K$5:$K$2004,HISTORIAL!$E$5:$E$2004,"Press banca",HISTORIAL!$F$5:$F$2004,"Bilbo",HISTORIAL!$J$5:$J$2004,$A81)=0,"",_xlfn.MAXIFS(HISTORIAL!$K$5:$K$2004,HISTORIAL!$E$5:$E$2004,"Press banca",HISTORIAL!$F$5:$F$2004,"Bilbo",HISTORIAL!$J$5:$J$2004,$A81))</f>
        <v/>
      </c>
      <c r="C81" s="18" t="str">
        <f aca="false">IF(_xlfn.MAXIFS(HISTORIAL!$K$5:$K$2004,HISTORIAL!$E$5:$E$2004,"Press militar",HISTORIAL!$F$5:$F$2004,"Bilbo",HISTORIAL!$J$5:$J$2004,$A81)=0,"",_xlfn.MAXIFS(HISTORIAL!$K$5:$K$2004,HISTORIAL!$E$5:$E$2004,"Press militar",HISTORIAL!$F$5:$F$2004,"Bilbo",HISTORIAL!$J$5:$J$2004,$A81))</f>
        <v/>
      </c>
      <c r="D81" s="18" t="str">
        <f aca="false">IF(_xlfn.MAXIFS(HISTORIAL!$K$5:$K$2004,HISTORIAL!$E$5:$E$2004,"Remo bajo en polea",HISTORIAL!$F$5:$F$2004,"Bilbo",HISTORIAL!$J$5:$J$2004,$A81)=0,"",_xlfn.MAXIFS(HISTORIAL!$K$5:$K$2004,HISTORIAL!$E$5:$E$2004,"Remo bajo en polea",HISTORIAL!$F$5:$F$2004,"Bilbo",HISTORIAL!$J$5:$J$2004,$A81))</f>
        <v/>
      </c>
    </row>
    <row r="82" customFormat="false" ht="15" hidden="false" customHeight="true" outlineLevel="0" collapsed="false">
      <c r="A82" s="27" t="n">
        <f aca="false">$I$22+59*$G$22</f>
        <v>128</v>
      </c>
      <c r="B82" s="18" t="str">
        <f aca="false">IF(_xlfn.MAXIFS(HISTORIAL!$K$5:$K$2004,HISTORIAL!$E$5:$E$2004,"Press banca",HISTORIAL!$F$5:$F$2004,"Bilbo",HISTORIAL!$J$5:$J$2004,$A82)=0,"",_xlfn.MAXIFS(HISTORIAL!$K$5:$K$2004,HISTORIAL!$E$5:$E$2004,"Press banca",HISTORIAL!$F$5:$F$2004,"Bilbo",HISTORIAL!$J$5:$J$2004,$A82))</f>
        <v/>
      </c>
      <c r="C82" s="18" t="str">
        <f aca="false">IF(_xlfn.MAXIFS(HISTORIAL!$K$5:$K$2004,HISTORIAL!$E$5:$E$2004,"Press militar",HISTORIAL!$F$5:$F$2004,"Bilbo",HISTORIAL!$J$5:$J$2004,$A82)=0,"",_xlfn.MAXIFS(HISTORIAL!$K$5:$K$2004,HISTORIAL!$E$5:$E$2004,"Press militar",HISTORIAL!$F$5:$F$2004,"Bilbo",HISTORIAL!$J$5:$J$2004,$A82))</f>
        <v/>
      </c>
      <c r="D82" s="18" t="str">
        <f aca="false">IF(_xlfn.MAXIFS(HISTORIAL!$K$5:$K$2004,HISTORIAL!$E$5:$E$2004,"Remo bajo en polea",HISTORIAL!$F$5:$F$2004,"Bilbo",HISTORIAL!$J$5:$J$2004,$A82)=0,"",_xlfn.MAXIFS(HISTORIAL!$K$5:$K$2004,HISTORIAL!$E$5:$E$2004,"Remo bajo en polea",HISTORIAL!$F$5:$F$2004,"Bilbo",HISTORIAL!$J$5:$J$2004,$A82))</f>
        <v/>
      </c>
    </row>
    <row r="83" customFormat="false" ht="15" hidden="false" customHeight="true" outlineLevel="0" collapsed="false">
      <c r="A83" s="27" t="n">
        <f aca="false">$I$22+60*$G$22</f>
        <v>130</v>
      </c>
      <c r="B83" s="18" t="str">
        <f aca="false">IF(_xlfn.MAXIFS(HISTORIAL!$K$5:$K$2004,HISTORIAL!$E$5:$E$2004,"Press banca",HISTORIAL!$F$5:$F$2004,"Bilbo",HISTORIAL!$J$5:$J$2004,$A83)=0,"",_xlfn.MAXIFS(HISTORIAL!$K$5:$K$2004,HISTORIAL!$E$5:$E$2004,"Press banca",HISTORIAL!$F$5:$F$2004,"Bilbo",HISTORIAL!$J$5:$J$2004,$A83))</f>
        <v/>
      </c>
      <c r="C83" s="18" t="str">
        <f aca="false">IF(_xlfn.MAXIFS(HISTORIAL!$K$5:$K$2004,HISTORIAL!$E$5:$E$2004,"Press militar",HISTORIAL!$F$5:$F$2004,"Bilbo",HISTORIAL!$J$5:$J$2004,$A83)=0,"",_xlfn.MAXIFS(HISTORIAL!$K$5:$K$2004,HISTORIAL!$E$5:$E$2004,"Press militar",HISTORIAL!$F$5:$F$2004,"Bilbo",HISTORIAL!$J$5:$J$2004,$A83))</f>
        <v/>
      </c>
      <c r="D83" s="18" t="str">
        <f aca="false">IF(_xlfn.MAXIFS(HISTORIAL!$K$5:$K$2004,HISTORIAL!$E$5:$E$2004,"Remo bajo en polea",HISTORIAL!$F$5:$F$2004,"Bilbo",HISTORIAL!$J$5:$J$2004,$A83)=0,"",_xlfn.MAXIFS(HISTORIAL!$K$5:$K$2004,HISTORIAL!$E$5:$E$2004,"Remo bajo en polea",HISTORIAL!$F$5:$F$2004,"Bilbo",HISTORIAL!$J$5:$J$2004,$A83))</f>
        <v/>
      </c>
    </row>
    <row r="84" customFormat="false" ht="15" hidden="false" customHeight="true" outlineLevel="0" collapsed="false">
      <c r="A84" s="27" t="n">
        <f aca="false">$I$22+61*$G$22</f>
        <v>132</v>
      </c>
      <c r="B84" s="18" t="str">
        <f aca="false">IF(_xlfn.MAXIFS(HISTORIAL!$K$5:$K$2004,HISTORIAL!$E$5:$E$2004,"Press banca",HISTORIAL!$F$5:$F$2004,"Bilbo",HISTORIAL!$J$5:$J$2004,$A84)=0,"",_xlfn.MAXIFS(HISTORIAL!$K$5:$K$2004,HISTORIAL!$E$5:$E$2004,"Press banca",HISTORIAL!$F$5:$F$2004,"Bilbo",HISTORIAL!$J$5:$J$2004,$A84))</f>
        <v/>
      </c>
      <c r="C84" s="18" t="str">
        <f aca="false">IF(_xlfn.MAXIFS(HISTORIAL!$K$5:$K$2004,HISTORIAL!$E$5:$E$2004,"Press militar",HISTORIAL!$F$5:$F$2004,"Bilbo",HISTORIAL!$J$5:$J$2004,$A84)=0,"",_xlfn.MAXIFS(HISTORIAL!$K$5:$K$2004,HISTORIAL!$E$5:$E$2004,"Press militar",HISTORIAL!$F$5:$F$2004,"Bilbo",HISTORIAL!$J$5:$J$2004,$A84))</f>
        <v/>
      </c>
      <c r="D84" s="18" t="str">
        <f aca="false">IF(_xlfn.MAXIFS(HISTORIAL!$K$5:$K$2004,HISTORIAL!$E$5:$E$2004,"Remo bajo en polea",HISTORIAL!$F$5:$F$2004,"Bilbo",HISTORIAL!$J$5:$J$2004,$A84)=0,"",_xlfn.MAXIFS(HISTORIAL!$K$5:$K$2004,HISTORIAL!$E$5:$E$2004,"Remo bajo en polea",HISTORIAL!$F$5:$F$2004,"Bilbo",HISTORIAL!$J$5:$J$2004,$A84))</f>
        <v/>
      </c>
    </row>
    <row r="85" customFormat="false" ht="15" hidden="false" customHeight="true" outlineLevel="0" collapsed="false">
      <c r="A85" s="27" t="n">
        <f aca="false">$I$22+62*$G$22</f>
        <v>134</v>
      </c>
      <c r="B85" s="18" t="str">
        <f aca="false">IF(_xlfn.MAXIFS(HISTORIAL!$K$5:$K$2004,HISTORIAL!$E$5:$E$2004,"Press banca",HISTORIAL!$F$5:$F$2004,"Bilbo",HISTORIAL!$J$5:$J$2004,$A85)=0,"",_xlfn.MAXIFS(HISTORIAL!$K$5:$K$2004,HISTORIAL!$E$5:$E$2004,"Press banca",HISTORIAL!$F$5:$F$2004,"Bilbo",HISTORIAL!$J$5:$J$2004,$A85))</f>
        <v/>
      </c>
      <c r="C85" s="18" t="str">
        <f aca="false">IF(_xlfn.MAXIFS(HISTORIAL!$K$5:$K$2004,HISTORIAL!$E$5:$E$2004,"Press militar",HISTORIAL!$F$5:$F$2004,"Bilbo",HISTORIAL!$J$5:$J$2004,$A85)=0,"",_xlfn.MAXIFS(HISTORIAL!$K$5:$K$2004,HISTORIAL!$E$5:$E$2004,"Press militar",HISTORIAL!$F$5:$F$2004,"Bilbo",HISTORIAL!$J$5:$J$2004,$A85))</f>
        <v/>
      </c>
      <c r="D85" s="18" t="str">
        <f aca="false">IF(_xlfn.MAXIFS(HISTORIAL!$K$5:$K$2004,HISTORIAL!$E$5:$E$2004,"Remo bajo en polea",HISTORIAL!$F$5:$F$2004,"Bilbo",HISTORIAL!$J$5:$J$2004,$A85)=0,"",_xlfn.MAXIFS(HISTORIAL!$K$5:$K$2004,HISTORIAL!$E$5:$E$2004,"Remo bajo en polea",HISTORIAL!$F$5:$F$2004,"Bilbo",HISTORIAL!$J$5:$J$2004,$A85))</f>
        <v/>
      </c>
    </row>
    <row r="86" customFormat="false" ht="15" hidden="false" customHeight="true" outlineLevel="0" collapsed="false">
      <c r="A86" s="27" t="n">
        <f aca="false">$I$22+63*$G$22</f>
        <v>136</v>
      </c>
      <c r="B86" s="18" t="str">
        <f aca="false">IF(_xlfn.MAXIFS(HISTORIAL!$K$5:$K$2004,HISTORIAL!$E$5:$E$2004,"Press banca",HISTORIAL!$F$5:$F$2004,"Bilbo",HISTORIAL!$J$5:$J$2004,$A86)=0,"",_xlfn.MAXIFS(HISTORIAL!$K$5:$K$2004,HISTORIAL!$E$5:$E$2004,"Press banca",HISTORIAL!$F$5:$F$2004,"Bilbo",HISTORIAL!$J$5:$J$2004,$A86))</f>
        <v/>
      </c>
      <c r="C86" s="18" t="str">
        <f aca="false">IF(_xlfn.MAXIFS(HISTORIAL!$K$5:$K$2004,HISTORIAL!$E$5:$E$2004,"Press militar",HISTORIAL!$F$5:$F$2004,"Bilbo",HISTORIAL!$J$5:$J$2004,$A86)=0,"",_xlfn.MAXIFS(HISTORIAL!$K$5:$K$2004,HISTORIAL!$E$5:$E$2004,"Press militar",HISTORIAL!$F$5:$F$2004,"Bilbo",HISTORIAL!$J$5:$J$2004,$A86))</f>
        <v/>
      </c>
      <c r="D86" s="18" t="str">
        <f aca="false">IF(_xlfn.MAXIFS(HISTORIAL!$K$5:$K$2004,HISTORIAL!$E$5:$E$2004,"Remo bajo en polea",HISTORIAL!$F$5:$F$2004,"Bilbo",HISTORIAL!$J$5:$J$2004,$A86)=0,"",_xlfn.MAXIFS(HISTORIAL!$K$5:$K$2004,HISTORIAL!$E$5:$E$2004,"Remo bajo en polea",HISTORIAL!$F$5:$F$2004,"Bilbo",HISTORIAL!$J$5:$J$2004,$A86))</f>
        <v/>
      </c>
    </row>
    <row r="87" customFormat="false" ht="15" hidden="false" customHeight="true" outlineLevel="0" collapsed="false">
      <c r="A87" s="27" t="n">
        <f aca="false">$I$22+64*$G$22</f>
        <v>138</v>
      </c>
      <c r="B87" s="18" t="str">
        <f aca="false">IF(_xlfn.MAXIFS(HISTORIAL!$K$5:$K$2004,HISTORIAL!$E$5:$E$2004,"Press banca",HISTORIAL!$F$5:$F$2004,"Bilbo",HISTORIAL!$J$5:$J$2004,$A87)=0,"",_xlfn.MAXIFS(HISTORIAL!$K$5:$K$2004,HISTORIAL!$E$5:$E$2004,"Press banca",HISTORIAL!$F$5:$F$2004,"Bilbo",HISTORIAL!$J$5:$J$2004,$A87))</f>
        <v/>
      </c>
      <c r="C87" s="18" t="str">
        <f aca="false">IF(_xlfn.MAXIFS(HISTORIAL!$K$5:$K$2004,HISTORIAL!$E$5:$E$2004,"Press militar",HISTORIAL!$F$5:$F$2004,"Bilbo",HISTORIAL!$J$5:$J$2004,$A87)=0,"",_xlfn.MAXIFS(HISTORIAL!$K$5:$K$2004,HISTORIAL!$E$5:$E$2004,"Press militar",HISTORIAL!$F$5:$F$2004,"Bilbo",HISTORIAL!$J$5:$J$2004,$A87))</f>
        <v/>
      </c>
      <c r="D87" s="18" t="str">
        <f aca="false">IF(_xlfn.MAXIFS(HISTORIAL!$K$5:$K$2004,HISTORIAL!$E$5:$E$2004,"Remo bajo en polea",HISTORIAL!$F$5:$F$2004,"Bilbo",HISTORIAL!$J$5:$J$2004,$A87)=0,"",_xlfn.MAXIFS(HISTORIAL!$K$5:$K$2004,HISTORIAL!$E$5:$E$2004,"Remo bajo en polea",HISTORIAL!$F$5:$F$2004,"Bilbo",HISTORIAL!$J$5:$J$2004,$A87))</f>
        <v/>
      </c>
    </row>
    <row r="88" customFormat="false" ht="15" hidden="false" customHeight="true" outlineLevel="0" collapsed="false">
      <c r="A88" s="27" t="n">
        <f aca="false">$I$22+65*$G$22</f>
        <v>140</v>
      </c>
      <c r="B88" s="18" t="str">
        <f aca="false">IF(_xlfn.MAXIFS(HISTORIAL!$K$5:$K$2004,HISTORIAL!$E$5:$E$2004,"Press banca",HISTORIAL!$F$5:$F$2004,"Bilbo",HISTORIAL!$J$5:$J$2004,$A88)=0,"",_xlfn.MAXIFS(HISTORIAL!$K$5:$K$2004,HISTORIAL!$E$5:$E$2004,"Press banca",HISTORIAL!$F$5:$F$2004,"Bilbo",HISTORIAL!$J$5:$J$2004,$A88))</f>
        <v/>
      </c>
      <c r="C88" s="18" t="str">
        <f aca="false">IF(_xlfn.MAXIFS(HISTORIAL!$K$5:$K$2004,HISTORIAL!$E$5:$E$2004,"Press militar",HISTORIAL!$F$5:$F$2004,"Bilbo",HISTORIAL!$J$5:$J$2004,$A88)=0,"",_xlfn.MAXIFS(HISTORIAL!$K$5:$K$2004,HISTORIAL!$E$5:$E$2004,"Press militar",HISTORIAL!$F$5:$F$2004,"Bilbo",HISTORIAL!$J$5:$J$2004,$A88))</f>
        <v/>
      </c>
      <c r="D88" s="18" t="str">
        <f aca="false">IF(_xlfn.MAXIFS(HISTORIAL!$K$5:$K$2004,HISTORIAL!$E$5:$E$2004,"Remo bajo en polea",HISTORIAL!$F$5:$F$2004,"Bilbo",HISTORIAL!$J$5:$J$2004,$A88)=0,"",_xlfn.MAXIFS(HISTORIAL!$K$5:$K$2004,HISTORIAL!$E$5:$E$2004,"Remo bajo en polea",HISTORIAL!$F$5:$F$2004,"Bilbo",HISTORIAL!$J$5:$J$2004,$A88))</f>
        <v/>
      </c>
    </row>
    <row r="89" customFormat="false" ht="15" hidden="false" customHeight="true" outlineLevel="0" collapsed="false">
      <c r="A89" s="27" t="n">
        <f aca="false">$I$22+66*$G$22</f>
        <v>142</v>
      </c>
      <c r="B89" s="18" t="str">
        <f aca="false">IF(_xlfn.MAXIFS(HISTORIAL!$K$5:$K$2004,HISTORIAL!$E$5:$E$2004,"Press banca",HISTORIAL!$F$5:$F$2004,"Bilbo",HISTORIAL!$J$5:$J$2004,$A89)=0,"",_xlfn.MAXIFS(HISTORIAL!$K$5:$K$2004,HISTORIAL!$E$5:$E$2004,"Press banca",HISTORIAL!$F$5:$F$2004,"Bilbo",HISTORIAL!$J$5:$J$2004,$A89))</f>
        <v/>
      </c>
      <c r="C89" s="18" t="str">
        <f aca="false">IF(_xlfn.MAXIFS(HISTORIAL!$K$5:$K$2004,HISTORIAL!$E$5:$E$2004,"Press militar",HISTORIAL!$F$5:$F$2004,"Bilbo",HISTORIAL!$J$5:$J$2004,$A89)=0,"",_xlfn.MAXIFS(HISTORIAL!$K$5:$K$2004,HISTORIAL!$E$5:$E$2004,"Press militar",HISTORIAL!$F$5:$F$2004,"Bilbo",HISTORIAL!$J$5:$J$2004,$A89))</f>
        <v/>
      </c>
      <c r="D89" s="18" t="str">
        <f aca="false">IF(_xlfn.MAXIFS(HISTORIAL!$K$5:$K$2004,HISTORIAL!$E$5:$E$2004,"Remo bajo en polea",HISTORIAL!$F$5:$F$2004,"Bilbo",HISTORIAL!$J$5:$J$2004,$A89)=0,"",_xlfn.MAXIFS(HISTORIAL!$K$5:$K$2004,HISTORIAL!$E$5:$E$2004,"Remo bajo en polea",HISTORIAL!$F$5:$F$2004,"Bilbo",HISTORIAL!$J$5:$J$2004,$A89))</f>
        <v/>
      </c>
    </row>
    <row r="90" customFormat="false" ht="15" hidden="false" customHeight="true" outlineLevel="0" collapsed="false">
      <c r="A90" s="27" t="n">
        <f aca="false">$I$22+67*$G$22</f>
        <v>144</v>
      </c>
      <c r="B90" s="18" t="str">
        <f aca="false">IF(_xlfn.MAXIFS(HISTORIAL!$K$5:$K$2004,HISTORIAL!$E$5:$E$2004,"Press banca",HISTORIAL!$F$5:$F$2004,"Bilbo",HISTORIAL!$J$5:$J$2004,$A90)=0,"",_xlfn.MAXIFS(HISTORIAL!$K$5:$K$2004,HISTORIAL!$E$5:$E$2004,"Press banca",HISTORIAL!$F$5:$F$2004,"Bilbo",HISTORIAL!$J$5:$J$2004,$A90))</f>
        <v/>
      </c>
      <c r="C90" s="18" t="str">
        <f aca="false">IF(_xlfn.MAXIFS(HISTORIAL!$K$5:$K$2004,HISTORIAL!$E$5:$E$2004,"Press militar",HISTORIAL!$F$5:$F$2004,"Bilbo",HISTORIAL!$J$5:$J$2004,$A90)=0,"",_xlfn.MAXIFS(HISTORIAL!$K$5:$K$2004,HISTORIAL!$E$5:$E$2004,"Press militar",HISTORIAL!$F$5:$F$2004,"Bilbo",HISTORIAL!$J$5:$J$2004,$A90))</f>
        <v/>
      </c>
      <c r="D90" s="18" t="str">
        <f aca="false">IF(_xlfn.MAXIFS(HISTORIAL!$K$5:$K$2004,HISTORIAL!$E$5:$E$2004,"Remo bajo en polea",HISTORIAL!$F$5:$F$2004,"Bilbo",HISTORIAL!$J$5:$J$2004,$A90)=0,"",_xlfn.MAXIFS(HISTORIAL!$K$5:$K$2004,HISTORIAL!$E$5:$E$2004,"Remo bajo en polea",HISTORIAL!$F$5:$F$2004,"Bilbo",HISTORIAL!$J$5:$J$2004,$A90))</f>
        <v/>
      </c>
    </row>
    <row r="91" customFormat="false" ht="15" hidden="false" customHeight="true" outlineLevel="0" collapsed="false">
      <c r="A91" s="27" t="n">
        <f aca="false">$I$22+68*$G$22</f>
        <v>146</v>
      </c>
      <c r="B91" s="18" t="str">
        <f aca="false">IF(_xlfn.MAXIFS(HISTORIAL!$K$5:$K$2004,HISTORIAL!$E$5:$E$2004,"Press banca",HISTORIAL!$F$5:$F$2004,"Bilbo",HISTORIAL!$J$5:$J$2004,$A91)=0,"",_xlfn.MAXIFS(HISTORIAL!$K$5:$K$2004,HISTORIAL!$E$5:$E$2004,"Press banca",HISTORIAL!$F$5:$F$2004,"Bilbo",HISTORIAL!$J$5:$J$2004,$A91))</f>
        <v/>
      </c>
      <c r="C91" s="18" t="str">
        <f aca="false">IF(_xlfn.MAXIFS(HISTORIAL!$K$5:$K$2004,HISTORIAL!$E$5:$E$2004,"Press militar",HISTORIAL!$F$5:$F$2004,"Bilbo",HISTORIAL!$J$5:$J$2004,$A91)=0,"",_xlfn.MAXIFS(HISTORIAL!$K$5:$K$2004,HISTORIAL!$E$5:$E$2004,"Press militar",HISTORIAL!$F$5:$F$2004,"Bilbo",HISTORIAL!$J$5:$J$2004,$A91))</f>
        <v/>
      </c>
      <c r="D91" s="18" t="str">
        <f aca="false">IF(_xlfn.MAXIFS(HISTORIAL!$K$5:$K$2004,HISTORIAL!$E$5:$E$2004,"Remo bajo en polea",HISTORIAL!$F$5:$F$2004,"Bilbo",HISTORIAL!$J$5:$J$2004,$A91)=0,"",_xlfn.MAXIFS(HISTORIAL!$K$5:$K$2004,HISTORIAL!$E$5:$E$2004,"Remo bajo en polea",HISTORIAL!$F$5:$F$2004,"Bilbo",HISTORIAL!$J$5:$J$2004,$A91))</f>
        <v/>
      </c>
    </row>
    <row r="92" customFormat="false" ht="15" hidden="false" customHeight="true" outlineLevel="0" collapsed="false">
      <c r="A92" s="27" t="n">
        <f aca="false">$I$22+69*$G$22</f>
        <v>148</v>
      </c>
      <c r="B92" s="18" t="str">
        <f aca="false">IF(_xlfn.MAXIFS(HISTORIAL!$K$5:$K$2004,HISTORIAL!$E$5:$E$2004,"Press banca",HISTORIAL!$F$5:$F$2004,"Bilbo",HISTORIAL!$J$5:$J$2004,$A92)=0,"",_xlfn.MAXIFS(HISTORIAL!$K$5:$K$2004,HISTORIAL!$E$5:$E$2004,"Press banca",HISTORIAL!$F$5:$F$2004,"Bilbo",HISTORIAL!$J$5:$J$2004,$A92))</f>
        <v/>
      </c>
      <c r="C92" s="18" t="str">
        <f aca="false">IF(_xlfn.MAXIFS(HISTORIAL!$K$5:$K$2004,HISTORIAL!$E$5:$E$2004,"Press militar",HISTORIAL!$F$5:$F$2004,"Bilbo",HISTORIAL!$J$5:$J$2004,$A92)=0,"",_xlfn.MAXIFS(HISTORIAL!$K$5:$K$2004,HISTORIAL!$E$5:$E$2004,"Press militar",HISTORIAL!$F$5:$F$2004,"Bilbo",HISTORIAL!$J$5:$J$2004,$A92))</f>
        <v/>
      </c>
      <c r="D92" s="18" t="str">
        <f aca="false">IF(_xlfn.MAXIFS(HISTORIAL!$K$5:$K$2004,HISTORIAL!$E$5:$E$2004,"Remo bajo en polea",HISTORIAL!$F$5:$F$2004,"Bilbo",HISTORIAL!$J$5:$J$2004,$A92)=0,"",_xlfn.MAXIFS(HISTORIAL!$K$5:$K$2004,HISTORIAL!$E$5:$E$2004,"Remo bajo en polea",HISTORIAL!$F$5:$F$2004,"Bilbo",HISTORIAL!$J$5:$J$2004,$A92))</f>
        <v/>
      </c>
    </row>
    <row r="93" customFormat="false" ht="15" hidden="false" customHeight="true" outlineLevel="0" collapsed="false">
      <c r="A93" s="27" t="n">
        <f aca="false">$I$22+70*$G$22</f>
        <v>150</v>
      </c>
      <c r="B93" s="18" t="str">
        <f aca="false">IF(_xlfn.MAXIFS(HISTORIAL!$K$5:$K$2004,HISTORIAL!$E$5:$E$2004,"Press banca",HISTORIAL!$F$5:$F$2004,"Bilbo",HISTORIAL!$J$5:$J$2004,$A93)=0,"",_xlfn.MAXIFS(HISTORIAL!$K$5:$K$2004,HISTORIAL!$E$5:$E$2004,"Press banca",HISTORIAL!$F$5:$F$2004,"Bilbo",HISTORIAL!$J$5:$J$2004,$A93))</f>
        <v/>
      </c>
      <c r="C93" s="18" t="str">
        <f aca="false">IF(_xlfn.MAXIFS(HISTORIAL!$K$5:$K$2004,HISTORIAL!$E$5:$E$2004,"Press militar",HISTORIAL!$F$5:$F$2004,"Bilbo",HISTORIAL!$J$5:$J$2004,$A93)=0,"",_xlfn.MAXIFS(HISTORIAL!$K$5:$K$2004,HISTORIAL!$E$5:$E$2004,"Press militar",HISTORIAL!$F$5:$F$2004,"Bilbo",HISTORIAL!$J$5:$J$2004,$A93))</f>
        <v/>
      </c>
      <c r="D93" s="18" t="str">
        <f aca="false">IF(_xlfn.MAXIFS(HISTORIAL!$K$5:$K$2004,HISTORIAL!$E$5:$E$2004,"Remo bajo en polea",HISTORIAL!$F$5:$F$2004,"Bilbo",HISTORIAL!$J$5:$J$2004,$A93)=0,"",_xlfn.MAXIFS(HISTORIAL!$K$5:$K$2004,HISTORIAL!$E$5:$E$2004,"Remo bajo en polea",HISTORIAL!$F$5:$F$2004,"Bilbo",HISTORIAL!$J$5:$J$2004,$A93))</f>
        <v/>
      </c>
    </row>
    <row r="94" customFormat="false" ht="15" hidden="false" customHeight="true" outlineLevel="0" collapsed="false">
      <c r="A94" s="27" t="n">
        <f aca="false">$I$22+71*$G$22</f>
        <v>152</v>
      </c>
      <c r="B94" s="18" t="str">
        <f aca="false">IF(_xlfn.MAXIFS(HISTORIAL!$K$5:$K$2004,HISTORIAL!$E$5:$E$2004,"Press banca",HISTORIAL!$F$5:$F$2004,"Bilbo",HISTORIAL!$J$5:$J$2004,$A94)=0,"",_xlfn.MAXIFS(HISTORIAL!$K$5:$K$2004,HISTORIAL!$E$5:$E$2004,"Press banca",HISTORIAL!$F$5:$F$2004,"Bilbo",HISTORIAL!$J$5:$J$2004,$A94))</f>
        <v/>
      </c>
      <c r="C94" s="18" t="str">
        <f aca="false">IF(_xlfn.MAXIFS(HISTORIAL!$K$5:$K$2004,HISTORIAL!$E$5:$E$2004,"Press militar",HISTORIAL!$F$5:$F$2004,"Bilbo",HISTORIAL!$J$5:$J$2004,$A94)=0,"",_xlfn.MAXIFS(HISTORIAL!$K$5:$K$2004,HISTORIAL!$E$5:$E$2004,"Press militar",HISTORIAL!$F$5:$F$2004,"Bilbo",HISTORIAL!$J$5:$J$2004,$A94))</f>
        <v/>
      </c>
      <c r="D94" s="18" t="str">
        <f aca="false">IF(_xlfn.MAXIFS(HISTORIAL!$K$5:$K$2004,HISTORIAL!$E$5:$E$2004,"Remo bajo en polea",HISTORIAL!$F$5:$F$2004,"Bilbo",HISTORIAL!$J$5:$J$2004,$A94)=0,"",_xlfn.MAXIFS(HISTORIAL!$K$5:$K$2004,HISTORIAL!$E$5:$E$2004,"Remo bajo en polea",HISTORIAL!$F$5:$F$2004,"Bilbo",HISTORIAL!$J$5:$J$2004,$A94))</f>
        <v/>
      </c>
    </row>
    <row r="95" customFormat="false" ht="15" hidden="false" customHeight="true" outlineLevel="0" collapsed="false">
      <c r="A95" s="27" t="n">
        <f aca="false">$I$22+72*$G$22</f>
        <v>154</v>
      </c>
      <c r="B95" s="18" t="str">
        <f aca="false">IF(_xlfn.MAXIFS(HISTORIAL!$K$5:$K$2004,HISTORIAL!$E$5:$E$2004,"Press banca",HISTORIAL!$F$5:$F$2004,"Bilbo",HISTORIAL!$J$5:$J$2004,$A95)=0,"",_xlfn.MAXIFS(HISTORIAL!$K$5:$K$2004,HISTORIAL!$E$5:$E$2004,"Press banca",HISTORIAL!$F$5:$F$2004,"Bilbo",HISTORIAL!$J$5:$J$2004,$A95))</f>
        <v/>
      </c>
      <c r="C95" s="18" t="str">
        <f aca="false">IF(_xlfn.MAXIFS(HISTORIAL!$K$5:$K$2004,HISTORIAL!$E$5:$E$2004,"Press militar",HISTORIAL!$F$5:$F$2004,"Bilbo",HISTORIAL!$J$5:$J$2004,$A95)=0,"",_xlfn.MAXIFS(HISTORIAL!$K$5:$K$2004,HISTORIAL!$E$5:$E$2004,"Press militar",HISTORIAL!$F$5:$F$2004,"Bilbo",HISTORIAL!$J$5:$J$2004,$A95))</f>
        <v/>
      </c>
      <c r="D95" s="18" t="str">
        <f aca="false">IF(_xlfn.MAXIFS(HISTORIAL!$K$5:$K$2004,HISTORIAL!$E$5:$E$2004,"Remo bajo en polea",HISTORIAL!$F$5:$F$2004,"Bilbo",HISTORIAL!$J$5:$J$2004,$A95)=0,"",_xlfn.MAXIFS(HISTORIAL!$K$5:$K$2004,HISTORIAL!$E$5:$E$2004,"Remo bajo en polea",HISTORIAL!$F$5:$F$2004,"Bilbo",HISTORIAL!$J$5:$J$2004,$A95))</f>
        <v/>
      </c>
    </row>
    <row r="96" customFormat="false" ht="15" hidden="false" customHeight="true" outlineLevel="0" collapsed="false">
      <c r="A96" s="27" t="n">
        <f aca="false">$I$22+73*$G$22</f>
        <v>156</v>
      </c>
      <c r="B96" s="18" t="str">
        <f aca="false">IF(_xlfn.MAXIFS(HISTORIAL!$K$5:$K$2004,HISTORIAL!$E$5:$E$2004,"Press banca",HISTORIAL!$F$5:$F$2004,"Bilbo",HISTORIAL!$J$5:$J$2004,$A96)=0,"",_xlfn.MAXIFS(HISTORIAL!$K$5:$K$2004,HISTORIAL!$E$5:$E$2004,"Press banca",HISTORIAL!$F$5:$F$2004,"Bilbo",HISTORIAL!$J$5:$J$2004,$A96))</f>
        <v/>
      </c>
      <c r="C96" s="18" t="str">
        <f aca="false">IF(_xlfn.MAXIFS(HISTORIAL!$K$5:$K$2004,HISTORIAL!$E$5:$E$2004,"Press militar",HISTORIAL!$F$5:$F$2004,"Bilbo",HISTORIAL!$J$5:$J$2004,$A96)=0,"",_xlfn.MAXIFS(HISTORIAL!$K$5:$K$2004,HISTORIAL!$E$5:$E$2004,"Press militar",HISTORIAL!$F$5:$F$2004,"Bilbo",HISTORIAL!$J$5:$J$2004,$A96))</f>
        <v/>
      </c>
      <c r="D96" s="18" t="str">
        <f aca="false">IF(_xlfn.MAXIFS(HISTORIAL!$K$5:$K$2004,HISTORIAL!$E$5:$E$2004,"Remo bajo en polea",HISTORIAL!$F$5:$F$2004,"Bilbo",HISTORIAL!$J$5:$J$2004,$A96)=0,"",_xlfn.MAXIFS(HISTORIAL!$K$5:$K$2004,HISTORIAL!$E$5:$E$2004,"Remo bajo en polea",HISTORIAL!$F$5:$F$2004,"Bilbo",HISTORIAL!$J$5:$J$2004,$A96))</f>
        <v/>
      </c>
    </row>
    <row r="97" customFormat="false" ht="15" hidden="false" customHeight="true" outlineLevel="0" collapsed="false">
      <c r="A97" s="27" t="n">
        <f aca="false">$I$22+74*$G$22</f>
        <v>158</v>
      </c>
      <c r="B97" s="18" t="str">
        <f aca="false">IF(_xlfn.MAXIFS(HISTORIAL!$K$5:$K$2004,HISTORIAL!$E$5:$E$2004,"Press banca",HISTORIAL!$F$5:$F$2004,"Bilbo",HISTORIAL!$J$5:$J$2004,$A97)=0,"",_xlfn.MAXIFS(HISTORIAL!$K$5:$K$2004,HISTORIAL!$E$5:$E$2004,"Press banca",HISTORIAL!$F$5:$F$2004,"Bilbo",HISTORIAL!$J$5:$J$2004,$A97))</f>
        <v/>
      </c>
      <c r="C97" s="18" t="str">
        <f aca="false">IF(_xlfn.MAXIFS(HISTORIAL!$K$5:$K$2004,HISTORIAL!$E$5:$E$2004,"Press militar",HISTORIAL!$F$5:$F$2004,"Bilbo",HISTORIAL!$J$5:$J$2004,$A97)=0,"",_xlfn.MAXIFS(HISTORIAL!$K$5:$K$2004,HISTORIAL!$E$5:$E$2004,"Press militar",HISTORIAL!$F$5:$F$2004,"Bilbo",HISTORIAL!$J$5:$J$2004,$A97))</f>
        <v/>
      </c>
      <c r="D97" s="18" t="str">
        <f aca="false">IF(_xlfn.MAXIFS(HISTORIAL!$K$5:$K$2004,HISTORIAL!$E$5:$E$2004,"Remo bajo en polea",HISTORIAL!$F$5:$F$2004,"Bilbo",HISTORIAL!$J$5:$J$2004,$A97)=0,"",_xlfn.MAXIFS(HISTORIAL!$K$5:$K$2004,HISTORIAL!$E$5:$E$2004,"Remo bajo en polea",HISTORIAL!$F$5:$F$2004,"Bilbo",HISTORIAL!$J$5:$J$2004,$A97))</f>
        <v/>
      </c>
    </row>
    <row r="98" customFormat="false" ht="15" hidden="false" customHeight="true" outlineLevel="0" collapsed="false">
      <c r="A98" s="27" t="n">
        <f aca="false">$I$22+75*$G$22</f>
        <v>160</v>
      </c>
      <c r="B98" s="18" t="str">
        <f aca="false">IF(_xlfn.MAXIFS(HISTORIAL!$K$5:$K$2004,HISTORIAL!$E$5:$E$2004,"Press banca",HISTORIAL!$F$5:$F$2004,"Bilbo",HISTORIAL!$J$5:$J$2004,$A98)=0,"",_xlfn.MAXIFS(HISTORIAL!$K$5:$K$2004,HISTORIAL!$E$5:$E$2004,"Press banca",HISTORIAL!$F$5:$F$2004,"Bilbo",HISTORIAL!$J$5:$J$2004,$A98))</f>
        <v/>
      </c>
      <c r="C98" s="18" t="str">
        <f aca="false">IF(_xlfn.MAXIFS(HISTORIAL!$K$5:$K$2004,HISTORIAL!$E$5:$E$2004,"Press militar",HISTORIAL!$F$5:$F$2004,"Bilbo",HISTORIAL!$J$5:$J$2004,$A98)=0,"",_xlfn.MAXIFS(HISTORIAL!$K$5:$K$2004,HISTORIAL!$E$5:$E$2004,"Press militar",HISTORIAL!$F$5:$F$2004,"Bilbo",HISTORIAL!$J$5:$J$2004,$A98))</f>
        <v/>
      </c>
      <c r="D98" s="18" t="str">
        <f aca="false">IF(_xlfn.MAXIFS(HISTORIAL!$K$5:$K$2004,HISTORIAL!$E$5:$E$2004,"Remo bajo en polea",HISTORIAL!$F$5:$F$2004,"Bilbo",HISTORIAL!$J$5:$J$2004,$A98)=0,"",_xlfn.MAXIFS(HISTORIAL!$K$5:$K$2004,HISTORIAL!$E$5:$E$2004,"Remo bajo en polea",HISTORIAL!$F$5:$F$2004,"Bilbo",HISTORIAL!$J$5:$J$2004,$A98))</f>
        <v/>
      </c>
    </row>
    <row r="99" customFormat="false" ht="15" hidden="false" customHeight="true" outlineLevel="0" collapsed="false">
      <c r="A99" s="27" t="n">
        <f aca="false">$I$22+76*$G$22</f>
        <v>162</v>
      </c>
      <c r="B99" s="18" t="str">
        <f aca="false">IF(_xlfn.MAXIFS(HISTORIAL!$K$5:$K$2004,HISTORIAL!$E$5:$E$2004,"Press banca",HISTORIAL!$F$5:$F$2004,"Bilbo",HISTORIAL!$J$5:$J$2004,$A99)=0,"",_xlfn.MAXIFS(HISTORIAL!$K$5:$K$2004,HISTORIAL!$E$5:$E$2004,"Press banca",HISTORIAL!$F$5:$F$2004,"Bilbo",HISTORIAL!$J$5:$J$2004,$A99))</f>
        <v/>
      </c>
      <c r="C99" s="18" t="str">
        <f aca="false">IF(_xlfn.MAXIFS(HISTORIAL!$K$5:$K$2004,HISTORIAL!$E$5:$E$2004,"Press militar",HISTORIAL!$F$5:$F$2004,"Bilbo",HISTORIAL!$J$5:$J$2004,$A99)=0,"",_xlfn.MAXIFS(HISTORIAL!$K$5:$K$2004,HISTORIAL!$E$5:$E$2004,"Press militar",HISTORIAL!$F$5:$F$2004,"Bilbo",HISTORIAL!$J$5:$J$2004,$A99))</f>
        <v/>
      </c>
      <c r="D99" s="18" t="str">
        <f aca="false">IF(_xlfn.MAXIFS(HISTORIAL!$K$5:$K$2004,HISTORIAL!$E$5:$E$2004,"Remo bajo en polea",HISTORIAL!$F$5:$F$2004,"Bilbo",HISTORIAL!$J$5:$J$2004,$A99)=0,"",_xlfn.MAXIFS(HISTORIAL!$K$5:$K$2004,HISTORIAL!$E$5:$E$2004,"Remo bajo en polea",HISTORIAL!$F$5:$F$2004,"Bilbo",HISTORIAL!$J$5:$J$2004,$A99))</f>
        <v/>
      </c>
    </row>
    <row r="100" customFormat="false" ht="15" hidden="false" customHeight="true" outlineLevel="0" collapsed="false">
      <c r="A100" s="27" t="n">
        <f aca="false">$I$22+77*$G$22</f>
        <v>164</v>
      </c>
      <c r="B100" s="18" t="str">
        <f aca="false">IF(_xlfn.MAXIFS(HISTORIAL!$K$5:$K$2004,HISTORIAL!$E$5:$E$2004,"Press banca",HISTORIAL!$F$5:$F$2004,"Bilbo",HISTORIAL!$J$5:$J$2004,$A100)=0,"",_xlfn.MAXIFS(HISTORIAL!$K$5:$K$2004,HISTORIAL!$E$5:$E$2004,"Press banca",HISTORIAL!$F$5:$F$2004,"Bilbo",HISTORIAL!$J$5:$J$2004,$A100))</f>
        <v/>
      </c>
      <c r="C100" s="18" t="str">
        <f aca="false">IF(_xlfn.MAXIFS(HISTORIAL!$K$5:$K$2004,HISTORIAL!$E$5:$E$2004,"Press militar",HISTORIAL!$F$5:$F$2004,"Bilbo",HISTORIAL!$J$5:$J$2004,$A100)=0,"",_xlfn.MAXIFS(HISTORIAL!$K$5:$K$2004,HISTORIAL!$E$5:$E$2004,"Press militar",HISTORIAL!$F$5:$F$2004,"Bilbo",HISTORIAL!$J$5:$J$2004,$A100))</f>
        <v/>
      </c>
      <c r="D100" s="18" t="str">
        <f aca="false">IF(_xlfn.MAXIFS(HISTORIAL!$K$5:$K$2004,HISTORIAL!$E$5:$E$2004,"Remo bajo en polea",HISTORIAL!$F$5:$F$2004,"Bilbo",HISTORIAL!$J$5:$J$2004,$A100)=0,"",_xlfn.MAXIFS(HISTORIAL!$K$5:$K$2004,HISTORIAL!$E$5:$E$2004,"Remo bajo en polea",HISTORIAL!$F$5:$F$2004,"Bilbo",HISTORIAL!$J$5:$J$2004,$A100))</f>
        <v/>
      </c>
    </row>
    <row r="101" customFormat="false" ht="15" hidden="false" customHeight="true" outlineLevel="0" collapsed="false">
      <c r="A101" s="27" t="n">
        <f aca="false">$I$22+78*$G$22</f>
        <v>166</v>
      </c>
      <c r="B101" s="18" t="str">
        <f aca="false">IF(_xlfn.MAXIFS(HISTORIAL!$K$5:$K$2004,HISTORIAL!$E$5:$E$2004,"Press banca",HISTORIAL!$F$5:$F$2004,"Bilbo",HISTORIAL!$J$5:$J$2004,$A101)=0,"",_xlfn.MAXIFS(HISTORIAL!$K$5:$K$2004,HISTORIAL!$E$5:$E$2004,"Press banca",HISTORIAL!$F$5:$F$2004,"Bilbo",HISTORIAL!$J$5:$J$2004,$A101))</f>
        <v/>
      </c>
      <c r="C101" s="18" t="str">
        <f aca="false">IF(_xlfn.MAXIFS(HISTORIAL!$K$5:$K$2004,HISTORIAL!$E$5:$E$2004,"Press militar",HISTORIAL!$F$5:$F$2004,"Bilbo",HISTORIAL!$J$5:$J$2004,$A101)=0,"",_xlfn.MAXIFS(HISTORIAL!$K$5:$K$2004,HISTORIAL!$E$5:$E$2004,"Press militar",HISTORIAL!$F$5:$F$2004,"Bilbo",HISTORIAL!$J$5:$J$2004,$A101))</f>
        <v/>
      </c>
      <c r="D101" s="18" t="str">
        <f aca="false">IF(_xlfn.MAXIFS(HISTORIAL!$K$5:$K$2004,HISTORIAL!$E$5:$E$2004,"Remo bajo en polea",HISTORIAL!$F$5:$F$2004,"Bilbo",HISTORIAL!$J$5:$J$2004,$A101)=0,"",_xlfn.MAXIFS(HISTORIAL!$K$5:$K$2004,HISTORIAL!$E$5:$E$2004,"Remo bajo en polea",HISTORIAL!$F$5:$F$2004,"Bilbo",HISTORIAL!$J$5:$J$2004,$A101))</f>
        <v/>
      </c>
    </row>
    <row r="102" customFormat="false" ht="15" hidden="false" customHeight="true" outlineLevel="0" collapsed="false">
      <c r="A102" s="27" t="n">
        <f aca="false">$I$22+79*$G$22</f>
        <v>168</v>
      </c>
      <c r="B102" s="18" t="str">
        <f aca="false">IF(_xlfn.MAXIFS(HISTORIAL!$K$5:$K$2004,HISTORIAL!$E$5:$E$2004,"Press banca",HISTORIAL!$F$5:$F$2004,"Bilbo",HISTORIAL!$J$5:$J$2004,$A102)=0,"",_xlfn.MAXIFS(HISTORIAL!$K$5:$K$2004,HISTORIAL!$E$5:$E$2004,"Press banca",HISTORIAL!$F$5:$F$2004,"Bilbo",HISTORIAL!$J$5:$J$2004,$A102))</f>
        <v/>
      </c>
      <c r="C102" s="18" t="str">
        <f aca="false">IF(_xlfn.MAXIFS(HISTORIAL!$K$5:$K$2004,HISTORIAL!$E$5:$E$2004,"Press militar",HISTORIAL!$F$5:$F$2004,"Bilbo",HISTORIAL!$J$5:$J$2004,$A102)=0,"",_xlfn.MAXIFS(HISTORIAL!$K$5:$K$2004,HISTORIAL!$E$5:$E$2004,"Press militar",HISTORIAL!$F$5:$F$2004,"Bilbo",HISTORIAL!$J$5:$J$2004,$A102))</f>
        <v/>
      </c>
      <c r="D102" s="18" t="str">
        <f aca="false">IF(_xlfn.MAXIFS(HISTORIAL!$K$5:$K$2004,HISTORIAL!$E$5:$E$2004,"Remo bajo en polea",HISTORIAL!$F$5:$F$2004,"Bilbo",HISTORIAL!$J$5:$J$2004,$A102)=0,"",_xlfn.MAXIFS(HISTORIAL!$K$5:$K$2004,HISTORIAL!$E$5:$E$2004,"Remo bajo en polea",HISTORIAL!$F$5:$F$2004,"Bilbo",HISTORIAL!$J$5:$J$2004,$A102))</f>
        <v/>
      </c>
    </row>
    <row r="103" customFormat="false" ht="15" hidden="false" customHeight="true" outlineLevel="0" collapsed="false">
      <c r="A103" s="27" t="n">
        <f aca="false">$I$22+80*$G$22</f>
        <v>170</v>
      </c>
      <c r="B103" s="18" t="str">
        <f aca="false">IF(_xlfn.MAXIFS(HISTORIAL!$K$5:$K$2004,HISTORIAL!$E$5:$E$2004,"Press banca",HISTORIAL!$F$5:$F$2004,"Bilbo",HISTORIAL!$J$5:$J$2004,$A103)=0,"",_xlfn.MAXIFS(HISTORIAL!$K$5:$K$2004,HISTORIAL!$E$5:$E$2004,"Press banca",HISTORIAL!$F$5:$F$2004,"Bilbo",HISTORIAL!$J$5:$J$2004,$A103))</f>
        <v/>
      </c>
      <c r="C103" s="18" t="str">
        <f aca="false">IF(_xlfn.MAXIFS(HISTORIAL!$K$5:$K$2004,HISTORIAL!$E$5:$E$2004,"Press militar",HISTORIAL!$F$5:$F$2004,"Bilbo",HISTORIAL!$J$5:$J$2004,$A103)=0,"",_xlfn.MAXIFS(HISTORIAL!$K$5:$K$2004,HISTORIAL!$E$5:$E$2004,"Press militar",HISTORIAL!$F$5:$F$2004,"Bilbo",HISTORIAL!$J$5:$J$2004,$A103))</f>
        <v/>
      </c>
      <c r="D103" s="18" t="str">
        <f aca="false">IF(_xlfn.MAXIFS(HISTORIAL!$K$5:$K$2004,HISTORIAL!$E$5:$E$2004,"Remo bajo en polea",HISTORIAL!$F$5:$F$2004,"Bilbo",HISTORIAL!$J$5:$J$2004,$A103)=0,"",_xlfn.MAXIFS(HISTORIAL!$K$5:$K$2004,HISTORIAL!$E$5:$E$2004,"Remo bajo en polea",HISTORIAL!$F$5:$F$2004,"Bilbo",HISTORIAL!$J$5:$J$2004,$A103))</f>
        <v/>
      </c>
    </row>
    <row r="104" customFormat="false" ht="15" hidden="false" customHeight="true" outlineLevel="0" collapsed="false">
      <c r="A104" s="27" t="n">
        <f aca="false">$I$22+81*$G$22</f>
        <v>172</v>
      </c>
      <c r="B104" s="18" t="str">
        <f aca="false">IF(_xlfn.MAXIFS(HISTORIAL!$K$5:$K$2004,HISTORIAL!$E$5:$E$2004,"Press banca",HISTORIAL!$F$5:$F$2004,"Bilbo",HISTORIAL!$J$5:$J$2004,$A104)=0,"",_xlfn.MAXIFS(HISTORIAL!$K$5:$K$2004,HISTORIAL!$E$5:$E$2004,"Press banca",HISTORIAL!$F$5:$F$2004,"Bilbo",HISTORIAL!$J$5:$J$2004,$A104))</f>
        <v/>
      </c>
      <c r="C104" s="18" t="str">
        <f aca="false">IF(_xlfn.MAXIFS(HISTORIAL!$K$5:$K$2004,HISTORIAL!$E$5:$E$2004,"Press militar",HISTORIAL!$F$5:$F$2004,"Bilbo",HISTORIAL!$J$5:$J$2004,$A104)=0,"",_xlfn.MAXIFS(HISTORIAL!$K$5:$K$2004,HISTORIAL!$E$5:$E$2004,"Press militar",HISTORIAL!$F$5:$F$2004,"Bilbo",HISTORIAL!$J$5:$J$2004,$A104))</f>
        <v/>
      </c>
      <c r="D104" s="18" t="str">
        <f aca="false">IF(_xlfn.MAXIFS(HISTORIAL!$K$5:$K$2004,HISTORIAL!$E$5:$E$2004,"Remo bajo en polea",HISTORIAL!$F$5:$F$2004,"Bilbo",HISTORIAL!$J$5:$J$2004,$A104)=0,"",_xlfn.MAXIFS(HISTORIAL!$K$5:$K$2004,HISTORIAL!$E$5:$E$2004,"Remo bajo en polea",HISTORIAL!$F$5:$F$2004,"Bilbo",HISTORIAL!$J$5:$J$2004,$A104))</f>
        <v/>
      </c>
    </row>
    <row r="105" customFormat="false" ht="15" hidden="false" customHeight="true" outlineLevel="0" collapsed="false">
      <c r="A105" s="27" t="n">
        <f aca="false">$I$22+82*$G$22</f>
        <v>174</v>
      </c>
      <c r="B105" s="18" t="str">
        <f aca="false">IF(_xlfn.MAXIFS(HISTORIAL!$K$5:$K$2004,HISTORIAL!$E$5:$E$2004,"Press banca",HISTORIAL!$F$5:$F$2004,"Bilbo",HISTORIAL!$J$5:$J$2004,$A105)=0,"",_xlfn.MAXIFS(HISTORIAL!$K$5:$K$2004,HISTORIAL!$E$5:$E$2004,"Press banca",HISTORIAL!$F$5:$F$2004,"Bilbo",HISTORIAL!$J$5:$J$2004,$A105))</f>
        <v/>
      </c>
      <c r="C105" s="18" t="str">
        <f aca="false">IF(_xlfn.MAXIFS(HISTORIAL!$K$5:$K$2004,HISTORIAL!$E$5:$E$2004,"Press militar",HISTORIAL!$F$5:$F$2004,"Bilbo",HISTORIAL!$J$5:$J$2004,$A105)=0,"",_xlfn.MAXIFS(HISTORIAL!$K$5:$K$2004,HISTORIAL!$E$5:$E$2004,"Press militar",HISTORIAL!$F$5:$F$2004,"Bilbo",HISTORIAL!$J$5:$J$2004,$A105))</f>
        <v/>
      </c>
      <c r="D105" s="18" t="str">
        <f aca="false">IF(_xlfn.MAXIFS(HISTORIAL!$K$5:$K$2004,HISTORIAL!$E$5:$E$2004,"Remo bajo en polea",HISTORIAL!$F$5:$F$2004,"Bilbo",HISTORIAL!$J$5:$J$2004,$A105)=0,"",_xlfn.MAXIFS(HISTORIAL!$K$5:$K$2004,HISTORIAL!$E$5:$E$2004,"Remo bajo en polea",HISTORIAL!$F$5:$F$2004,"Bilbo",HISTORIAL!$J$5:$J$2004,$A105))</f>
        <v/>
      </c>
    </row>
    <row r="106" customFormat="false" ht="15" hidden="false" customHeight="true" outlineLevel="0" collapsed="false">
      <c r="A106" s="27" t="n">
        <f aca="false">$I$22+83*$G$22</f>
        <v>176</v>
      </c>
      <c r="B106" s="18" t="str">
        <f aca="false">IF(_xlfn.MAXIFS(HISTORIAL!$K$5:$K$2004,HISTORIAL!$E$5:$E$2004,"Press banca",HISTORIAL!$F$5:$F$2004,"Bilbo",HISTORIAL!$J$5:$J$2004,$A106)=0,"",_xlfn.MAXIFS(HISTORIAL!$K$5:$K$2004,HISTORIAL!$E$5:$E$2004,"Press banca",HISTORIAL!$F$5:$F$2004,"Bilbo",HISTORIAL!$J$5:$J$2004,$A106))</f>
        <v/>
      </c>
      <c r="C106" s="18" t="str">
        <f aca="false">IF(_xlfn.MAXIFS(HISTORIAL!$K$5:$K$2004,HISTORIAL!$E$5:$E$2004,"Press militar",HISTORIAL!$F$5:$F$2004,"Bilbo",HISTORIAL!$J$5:$J$2004,$A106)=0,"",_xlfn.MAXIFS(HISTORIAL!$K$5:$K$2004,HISTORIAL!$E$5:$E$2004,"Press militar",HISTORIAL!$F$5:$F$2004,"Bilbo",HISTORIAL!$J$5:$J$2004,$A106))</f>
        <v/>
      </c>
      <c r="D106" s="18" t="str">
        <f aca="false">IF(_xlfn.MAXIFS(HISTORIAL!$K$5:$K$2004,HISTORIAL!$E$5:$E$2004,"Remo bajo en polea",HISTORIAL!$F$5:$F$2004,"Bilbo",HISTORIAL!$J$5:$J$2004,$A106)=0,"",_xlfn.MAXIFS(HISTORIAL!$K$5:$K$2004,HISTORIAL!$E$5:$E$2004,"Remo bajo en polea",HISTORIAL!$F$5:$F$2004,"Bilbo",HISTORIAL!$J$5:$J$2004,$A106))</f>
        <v/>
      </c>
    </row>
    <row r="107" customFormat="false" ht="15" hidden="false" customHeight="true" outlineLevel="0" collapsed="false">
      <c r="A107" s="27" t="n">
        <f aca="false">$I$22+84*$G$22</f>
        <v>178</v>
      </c>
      <c r="B107" s="18" t="str">
        <f aca="false">IF(_xlfn.MAXIFS(HISTORIAL!$K$5:$K$2004,HISTORIAL!$E$5:$E$2004,"Press banca",HISTORIAL!$F$5:$F$2004,"Bilbo",HISTORIAL!$J$5:$J$2004,$A107)=0,"",_xlfn.MAXIFS(HISTORIAL!$K$5:$K$2004,HISTORIAL!$E$5:$E$2004,"Press banca",HISTORIAL!$F$5:$F$2004,"Bilbo",HISTORIAL!$J$5:$J$2004,$A107))</f>
        <v/>
      </c>
      <c r="C107" s="18" t="str">
        <f aca="false">IF(_xlfn.MAXIFS(HISTORIAL!$K$5:$K$2004,HISTORIAL!$E$5:$E$2004,"Press militar",HISTORIAL!$F$5:$F$2004,"Bilbo",HISTORIAL!$J$5:$J$2004,$A107)=0,"",_xlfn.MAXIFS(HISTORIAL!$K$5:$K$2004,HISTORIAL!$E$5:$E$2004,"Press militar",HISTORIAL!$F$5:$F$2004,"Bilbo",HISTORIAL!$J$5:$J$2004,$A107))</f>
        <v/>
      </c>
      <c r="D107" s="18" t="str">
        <f aca="false">IF(_xlfn.MAXIFS(HISTORIAL!$K$5:$K$2004,HISTORIAL!$E$5:$E$2004,"Remo bajo en polea",HISTORIAL!$F$5:$F$2004,"Bilbo",HISTORIAL!$J$5:$J$2004,$A107)=0,"",_xlfn.MAXIFS(HISTORIAL!$K$5:$K$2004,HISTORIAL!$E$5:$E$2004,"Remo bajo en polea",HISTORIAL!$F$5:$F$2004,"Bilbo",HISTORIAL!$J$5:$J$2004,$A107))</f>
        <v/>
      </c>
    </row>
    <row r="108" customFormat="false" ht="15" hidden="false" customHeight="true" outlineLevel="0" collapsed="false">
      <c r="A108" s="27" t="n">
        <f aca="false">$I$22+85*$G$22</f>
        <v>180</v>
      </c>
      <c r="B108" s="18" t="str">
        <f aca="false">IF(_xlfn.MAXIFS(HISTORIAL!$K$5:$K$2004,HISTORIAL!$E$5:$E$2004,"Press banca",HISTORIAL!$F$5:$F$2004,"Bilbo",HISTORIAL!$J$5:$J$2004,$A108)=0,"",_xlfn.MAXIFS(HISTORIAL!$K$5:$K$2004,HISTORIAL!$E$5:$E$2004,"Press banca",HISTORIAL!$F$5:$F$2004,"Bilbo",HISTORIAL!$J$5:$J$2004,$A108))</f>
        <v/>
      </c>
      <c r="C108" s="18" t="str">
        <f aca="false">IF(_xlfn.MAXIFS(HISTORIAL!$K$5:$K$2004,HISTORIAL!$E$5:$E$2004,"Press militar",HISTORIAL!$F$5:$F$2004,"Bilbo",HISTORIAL!$J$5:$J$2004,$A108)=0,"",_xlfn.MAXIFS(HISTORIAL!$K$5:$K$2004,HISTORIAL!$E$5:$E$2004,"Press militar",HISTORIAL!$F$5:$F$2004,"Bilbo",HISTORIAL!$J$5:$J$2004,$A108))</f>
        <v/>
      </c>
      <c r="D108" s="18" t="str">
        <f aca="false">IF(_xlfn.MAXIFS(HISTORIAL!$K$5:$K$2004,HISTORIAL!$E$5:$E$2004,"Remo bajo en polea",HISTORIAL!$F$5:$F$2004,"Bilbo",HISTORIAL!$J$5:$J$2004,$A108)=0,"",_xlfn.MAXIFS(HISTORIAL!$K$5:$K$2004,HISTORIAL!$E$5:$E$2004,"Remo bajo en polea",HISTORIAL!$F$5:$F$2004,"Bilbo",HISTORIAL!$J$5:$J$2004,$A108))</f>
        <v/>
      </c>
    </row>
    <row r="109" customFormat="false" ht="15" hidden="false" customHeight="true" outlineLevel="0" collapsed="false">
      <c r="A109" s="27" t="n">
        <f aca="false">$I$22+86*$G$22</f>
        <v>182</v>
      </c>
      <c r="B109" s="18" t="str">
        <f aca="false">IF(_xlfn.MAXIFS(HISTORIAL!$K$5:$K$2004,HISTORIAL!$E$5:$E$2004,"Press banca",HISTORIAL!$F$5:$F$2004,"Bilbo",HISTORIAL!$J$5:$J$2004,$A109)=0,"",_xlfn.MAXIFS(HISTORIAL!$K$5:$K$2004,HISTORIAL!$E$5:$E$2004,"Press banca",HISTORIAL!$F$5:$F$2004,"Bilbo",HISTORIAL!$J$5:$J$2004,$A109))</f>
        <v/>
      </c>
      <c r="C109" s="18" t="str">
        <f aca="false">IF(_xlfn.MAXIFS(HISTORIAL!$K$5:$K$2004,HISTORIAL!$E$5:$E$2004,"Press militar",HISTORIAL!$F$5:$F$2004,"Bilbo",HISTORIAL!$J$5:$J$2004,$A109)=0,"",_xlfn.MAXIFS(HISTORIAL!$K$5:$K$2004,HISTORIAL!$E$5:$E$2004,"Press militar",HISTORIAL!$F$5:$F$2004,"Bilbo",HISTORIAL!$J$5:$J$2004,$A109))</f>
        <v/>
      </c>
      <c r="D109" s="18" t="str">
        <f aca="false">IF(_xlfn.MAXIFS(HISTORIAL!$K$5:$K$2004,HISTORIAL!$E$5:$E$2004,"Remo bajo en polea",HISTORIAL!$F$5:$F$2004,"Bilbo",HISTORIAL!$J$5:$J$2004,$A109)=0,"",_xlfn.MAXIFS(HISTORIAL!$K$5:$K$2004,HISTORIAL!$E$5:$E$2004,"Remo bajo en polea",HISTORIAL!$F$5:$F$2004,"Bilbo",HISTORIAL!$J$5:$J$2004,$A109))</f>
        <v/>
      </c>
    </row>
    <row r="110" customFormat="false" ht="15" hidden="false" customHeight="true" outlineLevel="0" collapsed="false">
      <c r="A110" s="27" t="n">
        <f aca="false">$I$22+87*$G$22</f>
        <v>184</v>
      </c>
      <c r="B110" s="18" t="str">
        <f aca="false">IF(_xlfn.MAXIFS(HISTORIAL!$K$5:$K$2004,HISTORIAL!$E$5:$E$2004,"Press banca",HISTORIAL!$F$5:$F$2004,"Bilbo",HISTORIAL!$J$5:$J$2004,$A110)=0,"",_xlfn.MAXIFS(HISTORIAL!$K$5:$K$2004,HISTORIAL!$E$5:$E$2004,"Press banca",HISTORIAL!$F$5:$F$2004,"Bilbo",HISTORIAL!$J$5:$J$2004,$A110))</f>
        <v/>
      </c>
      <c r="C110" s="18" t="str">
        <f aca="false">IF(_xlfn.MAXIFS(HISTORIAL!$K$5:$K$2004,HISTORIAL!$E$5:$E$2004,"Press militar",HISTORIAL!$F$5:$F$2004,"Bilbo",HISTORIAL!$J$5:$J$2004,$A110)=0,"",_xlfn.MAXIFS(HISTORIAL!$K$5:$K$2004,HISTORIAL!$E$5:$E$2004,"Press militar",HISTORIAL!$F$5:$F$2004,"Bilbo",HISTORIAL!$J$5:$J$2004,$A110))</f>
        <v/>
      </c>
      <c r="D110" s="18" t="str">
        <f aca="false">IF(_xlfn.MAXIFS(HISTORIAL!$K$5:$K$2004,HISTORIAL!$E$5:$E$2004,"Remo bajo en polea",HISTORIAL!$F$5:$F$2004,"Bilbo",HISTORIAL!$J$5:$J$2004,$A110)=0,"",_xlfn.MAXIFS(HISTORIAL!$K$5:$K$2004,HISTORIAL!$E$5:$E$2004,"Remo bajo en polea",HISTORIAL!$F$5:$F$2004,"Bilbo",HISTORIAL!$J$5:$J$2004,$A110))</f>
        <v/>
      </c>
    </row>
    <row r="111" customFormat="false" ht="15" hidden="false" customHeight="true" outlineLevel="0" collapsed="false">
      <c r="A111" s="27" t="n">
        <f aca="false">$I$22+88*$G$22</f>
        <v>186</v>
      </c>
      <c r="B111" s="18" t="str">
        <f aca="false">IF(_xlfn.MAXIFS(HISTORIAL!$K$5:$K$2004,HISTORIAL!$E$5:$E$2004,"Press banca",HISTORIAL!$F$5:$F$2004,"Bilbo",HISTORIAL!$J$5:$J$2004,$A111)=0,"",_xlfn.MAXIFS(HISTORIAL!$K$5:$K$2004,HISTORIAL!$E$5:$E$2004,"Press banca",HISTORIAL!$F$5:$F$2004,"Bilbo",HISTORIAL!$J$5:$J$2004,$A111))</f>
        <v/>
      </c>
      <c r="C111" s="18" t="str">
        <f aca="false">IF(_xlfn.MAXIFS(HISTORIAL!$K$5:$K$2004,HISTORIAL!$E$5:$E$2004,"Press militar",HISTORIAL!$F$5:$F$2004,"Bilbo",HISTORIAL!$J$5:$J$2004,$A111)=0,"",_xlfn.MAXIFS(HISTORIAL!$K$5:$K$2004,HISTORIAL!$E$5:$E$2004,"Press militar",HISTORIAL!$F$5:$F$2004,"Bilbo",HISTORIAL!$J$5:$J$2004,$A111))</f>
        <v/>
      </c>
      <c r="D111" s="18" t="str">
        <f aca="false">IF(_xlfn.MAXIFS(HISTORIAL!$K$5:$K$2004,HISTORIAL!$E$5:$E$2004,"Remo bajo en polea",HISTORIAL!$F$5:$F$2004,"Bilbo",HISTORIAL!$J$5:$J$2004,$A111)=0,"",_xlfn.MAXIFS(HISTORIAL!$K$5:$K$2004,HISTORIAL!$E$5:$E$2004,"Remo bajo en polea",HISTORIAL!$F$5:$F$2004,"Bilbo",HISTORIAL!$J$5:$J$2004,$A111))</f>
        <v/>
      </c>
    </row>
    <row r="112" customFormat="false" ht="15" hidden="false" customHeight="true" outlineLevel="0" collapsed="false">
      <c r="A112" s="27" t="n">
        <f aca="false">$I$22+89*$G$22</f>
        <v>188</v>
      </c>
      <c r="B112" s="18" t="str">
        <f aca="false">IF(_xlfn.MAXIFS(HISTORIAL!$K$5:$K$2004,HISTORIAL!$E$5:$E$2004,"Press banca",HISTORIAL!$F$5:$F$2004,"Bilbo",HISTORIAL!$J$5:$J$2004,$A112)=0,"",_xlfn.MAXIFS(HISTORIAL!$K$5:$K$2004,HISTORIAL!$E$5:$E$2004,"Press banca",HISTORIAL!$F$5:$F$2004,"Bilbo",HISTORIAL!$J$5:$J$2004,$A112))</f>
        <v/>
      </c>
      <c r="C112" s="18" t="str">
        <f aca="false">IF(_xlfn.MAXIFS(HISTORIAL!$K$5:$K$2004,HISTORIAL!$E$5:$E$2004,"Press militar",HISTORIAL!$F$5:$F$2004,"Bilbo",HISTORIAL!$J$5:$J$2004,$A112)=0,"",_xlfn.MAXIFS(HISTORIAL!$K$5:$K$2004,HISTORIAL!$E$5:$E$2004,"Press militar",HISTORIAL!$F$5:$F$2004,"Bilbo",HISTORIAL!$J$5:$J$2004,$A112))</f>
        <v/>
      </c>
      <c r="D112" s="18" t="str">
        <f aca="false">IF(_xlfn.MAXIFS(HISTORIAL!$K$5:$K$2004,HISTORIAL!$E$5:$E$2004,"Remo bajo en polea",HISTORIAL!$F$5:$F$2004,"Bilbo",HISTORIAL!$J$5:$J$2004,$A112)=0,"",_xlfn.MAXIFS(HISTORIAL!$K$5:$K$2004,HISTORIAL!$E$5:$E$2004,"Remo bajo en polea",HISTORIAL!$F$5:$F$2004,"Bilbo",HISTORIAL!$J$5:$J$2004,$A112))</f>
        <v/>
      </c>
    </row>
    <row r="113" customFormat="false" ht="15" hidden="false" customHeight="true" outlineLevel="0" collapsed="false">
      <c r="A113" s="27" t="n">
        <f aca="false">$I$22+90*$G$22</f>
        <v>190</v>
      </c>
      <c r="B113" s="18" t="str">
        <f aca="false">IF(_xlfn.MAXIFS(HISTORIAL!$K$5:$K$2004,HISTORIAL!$E$5:$E$2004,"Press banca",HISTORIAL!$F$5:$F$2004,"Bilbo",HISTORIAL!$J$5:$J$2004,$A113)=0,"",_xlfn.MAXIFS(HISTORIAL!$K$5:$K$2004,HISTORIAL!$E$5:$E$2004,"Press banca",HISTORIAL!$F$5:$F$2004,"Bilbo",HISTORIAL!$J$5:$J$2004,$A113))</f>
        <v/>
      </c>
      <c r="C113" s="18" t="str">
        <f aca="false">IF(_xlfn.MAXIFS(HISTORIAL!$K$5:$K$2004,HISTORIAL!$E$5:$E$2004,"Press militar",HISTORIAL!$F$5:$F$2004,"Bilbo",HISTORIAL!$J$5:$J$2004,$A113)=0,"",_xlfn.MAXIFS(HISTORIAL!$K$5:$K$2004,HISTORIAL!$E$5:$E$2004,"Press militar",HISTORIAL!$F$5:$F$2004,"Bilbo",HISTORIAL!$J$5:$J$2004,$A113))</f>
        <v/>
      </c>
      <c r="D113" s="18" t="str">
        <f aca="false">IF(_xlfn.MAXIFS(HISTORIAL!$K$5:$K$2004,HISTORIAL!$E$5:$E$2004,"Remo bajo en polea",HISTORIAL!$F$5:$F$2004,"Bilbo",HISTORIAL!$J$5:$J$2004,$A113)=0,"",_xlfn.MAXIFS(HISTORIAL!$K$5:$K$2004,HISTORIAL!$E$5:$E$2004,"Remo bajo en polea",HISTORIAL!$F$5:$F$2004,"Bilbo",HISTORIAL!$J$5:$J$2004,$A113))</f>
        <v/>
      </c>
    </row>
    <row r="114" customFormat="false" ht="15" hidden="false" customHeight="true" outlineLevel="0" collapsed="false">
      <c r="A114" s="27" t="n">
        <f aca="false">$I$22+91*$G$22</f>
        <v>192</v>
      </c>
      <c r="B114" s="18" t="str">
        <f aca="false">IF(_xlfn.MAXIFS(HISTORIAL!$K$5:$K$2004,HISTORIAL!$E$5:$E$2004,"Press banca",HISTORIAL!$F$5:$F$2004,"Bilbo",HISTORIAL!$J$5:$J$2004,$A114)=0,"",_xlfn.MAXIFS(HISTORIAL!$K$5:$K$2004,HISTORIAL!$E$5:$E$2004,"Press banca",HISTORIAL!$F$5:$F$2004,"Bilbo",HISTORIAL!$J$5:$J$2004,$A114))</f>
        <v/>
      </c>
      <c r="C114" s="18" t="str">
        <f aca="false">IF(_xlfn.MAXIFS(HISTORIAL!$K$5:$K$2004,HISTORIAL!$E$5:$E$2004,"Press militar",HISTORIAL!$F$5:$F$2004,"Bilbo",HISTORIAL!$J$5:$J$2004,$A114)=0,"",_xlfn.MAXIFS(HISTORIAL!$K$5:$K$2004,HISTORIAL!$E$5:$E$2004,"Press militar",HISTORIAL!$F$5:$F$2004,"Bilbo",HISTORIAL!$J$5:$J$2004,$A114))</f>
        <v/>
      </c>
      <c r="D114" s="18" t="str">
        <f aca="false">IF(_xlfn.MAXIFS(HISTORIAL!$K$5:$K$2004,HISTORIAL!$E$5:$E$2004,"Remo bajo en polea",HISTORIAL!$F$5:$F$2004,"Bilbo",HISTORIAL!$J$5:$J$2004,$A114)=0,"",_xlfn.MAXIFS(HISTORIAL!$K$5:$K$2004,HISTORIAL!$E$5:$E$2004,"Remo bajo en polea",HISTORIAL!$F$5:$F$2004,"Bilbo",HISTORIAL!$J$5:$J$2004,$A114))</f>
        <v/>
      </c>
    </row>
    <row r="115" customFormat="false" ht="15" hidden="false" customHeight="true" outlineLevel="0" collapsed="false">
      <c r="A115" s="27" t="n">
        <f aca="false">$I$22+92*$G$22</f>
        <v>194</v>
      </c>
      <c r="B115" s="18" t="str">
        <f aca="false">IF(_xlfn.MAXIFS(HISTORIAL!$K$5:$K$2004,HISTORIAL!$E$5:$E$2004,"Press banca",HISTORIAL!$F$5:$F$2004,"Bilbo",HISTORIAL!$J$5:$J$2004,$A115)=0,"",_xlfn.MAXIFS(HISTORIAL!$K$5:$K$2004,HISTORIAL!$E$5:$E$2004,"Press banca",HISTORIAL!$F$5:$F$2004,"Bilbo",HISTORIAL!$J$5:$J$2004,$A115))</f>
        <v/>
      </c>
      <c r="C115" s="18" t="str">
        <f aca="false">IF(_xlfn.MAXIFS(HISTORIAL!$K$5:$K$2004,HISTORIAL!$E$5:$E$2004,"Press militar",HISTORIAL!$F$5:$F$2004,"Bilbo",HISTORIAL!$J$5:$J$2004,$A115)=0,"",_xlfn.MAXIFS(HISTORIAL!$K$5:$K$2004,HISTORIAL!$E$5:$E$2004,"Press militar",HISTORIAL!$F$5:$F$2004,"Bilbo",HISTORIAL!$J$5:$J$2004,$A115))</f>
        <v/>
      </c>
      <c r="D115" s="18" t="str">
        <f aca="false">IF(_xlfn.MAXIFS(HISTORIAL!$K$5:$K$2004,HISTORIAL!$E$5:$E$2004,"Remo bajo en polea",HISTORIAL!$F$5:$F$2004,"Bilbo",HISTORIAL!$J$5:$J$2004,$A115)=0,"",_xlfn.MAXIFS(HISTORIAL!$K$5:$K$2004,HISTORIAL!$E$5:$E$2004,"Remo bajo en polea",HISTORIAL!$F$5:$F$2004,"Bilbo",HISTORIAL!$J$5:$J$2004,$A115))</f>
        <v/>
      </c>
    </row>
    <row r="116" customFormat="false" ht="15" hidden="false" customHeight="true" outlineLevel="0" collapsed="false">
      <c r="A116" s="27" t="n">
        <f aca="false">$I$22+93*$G$22</f>
        <v>196</v>
      </c>
      <c r="B116" s="18" t="str">
        <f aca="false">IF(_xlfn.MAXIFS(HISTORIAL!$K$5:$K$2004,HISTORIAL!$E$5:$E$2004,"Press banca",HISTORIAL!$F$5:$F$2004,"Bilbo",HISTORIAL!$J$5:$J$2004,$A116)=0,"",_xlfn.MAXIFS(HISTORIAL!$K$5:$K$2004,HISTORIAL!$E$5:$E$2004,"Press banca",HISTORIAL!$F$5:$F$2004,"Bilbo",HISTORIAL!$J$5:$J$2004,$A116))</f>
        <v/>
      </c>
      <c r="C116" s="18" t="str">
        <f aca="false">IF(_xlfn.MAXIFS(HISTORIAL!$K$5:$K$2004,HISTORIAL!$E$5:$E$2004,"Press militar",HISTORIAL!$F$5:$F$2004,"Bilbo",HISTORIAL!$J$5:$J$2004,$A116)=0,"",_xlfn.MAXIFS(HISTORIAL!$K$5:$K$2004,HISTORIAL!$E$5:$E$2004,"Press militar",HISTORIAL!$F$5:$F$2004,"Bilbo",HISTORIAL!$J$5:$J$2004,$A116))</f>
        <v/>
      </c>
      <c r="D116" s="18" t="str">
        <f aca="false">IF(_xlfn.MAXIFS(HISTORIAL!$K$5:$K$2004,HISTORIAL!$E$5:$E$2004,"Remo bajo en polea",HISTORIAL!$F$5:$F$2004,"Bilbo",HISTORIAL!$J$5:$J$2004,$A116)=0,"",_xlfn.MAXIFS(HISTORIAL!$K$5:$K$2004,HISTORIAL!$E$5:$E$2004,"Remo bajo en polea",HISTORIAL!$F$5:$F$2004,"Bilbo",HISTORIAL!$J$5:$J$2004,$A116))</f>
        <v/>
      </c>
    </row>
    <row r="117" customFormat="false" ht="15" hidden="false" customHeight="true" outlineLevel="0" collapsed="false">
      <c r="A117" s="27" t="n">
        <f aca="false">$I$22+94*$G$22</f>
        <v>198</v>
      </c>
      <c r="B117" s="18" t="str">
        <f aca="false">IF(_xlfn.MAXIFS(HISTORIAL!$K$5:$K$2004,HISTORIAL!$E$5:$E$2004,"Press banca",HISTORIAL!$F$5:$F$2004,"Bilbo",HISTORIAL!$J$5:$J$2004,$A117)=0,"",_xlfn.MAXIFS(HISTORIAL!$K$5:$K$2004,HISTORIAL!$E$5:$E$2004,"Press banca",HISTORIAL!$F$5:$F$2004,"Bilbo",HISTORIAL!$J$5:$J$2004,$A117))</f>
        <v/>
      </c>
      <c r="C117" s="18" t="str">
        <f aca="false">IF(_xlfn.MAXIFS(HISTORIAL!$K$5:$K$2004,HISTORIAL!$E$5:$E$2004,"Press militar",HISTORIAL!$F$5:$F$2004,"Bilbo",HISTORIAL!$J$5:$J$2004,$A117)=0,"",_xlfn.MAXIFS(HISTORIAL!$K$5:$K$2004,HISTORIAL!$E$5:$E$2004,"Press militar",HISTORIAL!$F$5:$F$2004,"Bilbo",HISTORIAL!$J$5:$J$2004,$A117))</f>
        <v/>
      </c>
      <c r="D117" s="18" t="str">
        <f aca="false">IF(_xlfn.MAXIFS(HISTORIAL!$K$5:$K$2004,HISTORIAL!$E$5:$E$2004,"Remo bajo en polea",HISTORIAL!$F$5:$F$2004,"Bilbo",HISTORIAL!$J$5:$J$2004,$A117)=0,"",_xlfn.MAXIFS(HISTORIAL!$K$5:$K$2004,HISTORIAL!$E$5:$E$2004,"Remo bajo en polea",HISTORIAL!$F$5:$F$2004,"Bilbo",HISTORIAL!$J$5:$J$2004,$A117))</f>
        <v/>
      </c>
    </row>
    <row r="118" customFormat="false" ht="15" hidden="false" customHeight="true" outlineLevel="0" collapsed="false">
      <c r="A118" s="27" t="n">
        <f aca="false">$I$22+95*$G$22</f>
        <v>200</v>
      </c>
      <c r="B118" s="18" t="str">
        <f aca="false">IF(_xlfn.MAXIFS(HISTORIAL!$K$5:$K$2004,HISTORIAL!$E$5:$E$2004,"Press banca",HISTORIAL!$F$5:$F$2004,"Bilbo",HISTORIAL!$J$5:$J$2004,$A118)=0,"",_xlfn.MAXIFS(HISTORIAL!$K$5:$K$2004,HISTORIAL!$E$5:$E$2004,"Press banca",HISTORIAL!$F$5:$F$2004,"Bilbo",HISTORIAL!$J$5:$J$2004,$A118))</f>
        <v/>
      </c>
      <c r="C118" s="18" t="str">
        <f aca="false">IF(_xlfn.MAXIFS(HISTORIAL!$K$5:$K$2004,HISTORIAL!$E$5:$E$2004,"Press militar",HISTORIAL!$F$5:$F$2004,"Bilbo",HISTORIAL!$J$5:$J$2004,$A118)=0,"",_xlfn.MAXIFS(HISTORIAL!$K$5:$K$2004,HISTORIAL!$E$5:$E$2004,"Press militar",HISTORIAL!$F$5:$F$2004,"Bilbo",HISTORIAL!$J$5:$J$2004,$A118))</f>
        <v/>
      </c>
      <c r="D118" s="18" t="str">
        <f aca="false">IF(_xlfn.MAXIFS(HISTORIAL!$K$5:$K$2004,HISTORIAL!$E$5:$E$2004,"Remo bajo en polea",HISTORIAL!$F$5:$F$2004,"Bilbo",HISTORIAL!$J$5:$J$2004,$A118)=0,"",_xlfn.MAXIFS(HISTORIAL!$K$5:$K$2004,HISTORIAL!$E$5:$E$2004,"Remo bajo en polea",HISTORIAL!$F$5:$F$2004,"Bilbo",HISTORIAL!$J$5:$J$2004,$A118))</f>
        <v/>
      </c>
    </row>
    <row r="119" customFormat="false" ht="15" hidden="false" customHeight="true" outlineLevel="0" collapsed="false">
      <c r="A119" s="27" t="n">
        <f aca="false">$I$22+96*$G$22</f>
        <v>202</v>
      </c>
      <c r="B119" s="18" t="str">
        <f aca="false">IF(_xlfn.MAXIFS(HISTORIAL!$K$5:$K$2004,HISTORIAL!$E$5:$E$2004,"Press banca",HISTORIAL!$F$5:$F$2004,"Bilbo",HISTORIAL!$J$5:$J$2004,$A119)=0,"",_xlfn.MAXIFS(HISTORIAL!$K$5:$K$2004,HISTORIAL!$E$5:$E$2004,"Press banca",HISTORIAL!$F$5:$F$2004,"Bilbo",HISTORIAL!$J$5:$J$2004,$A119))</f>
        <v/>
      </c>
      <c r="C119" s="18" t="str">
        <f aca="false">IF(_xlfn.MAXIFS(HISTORIAL!$K$5:$K$2004,HISTORIAL!$E$5:$E$2004,"Press militar",HISTORIAL!$F$5:$F$2004,"Bilbo",HISTORIAL!$J$5:$J$2004,$A119)=0,"",_xlfn.MAXIFS(HISTORIAL!$K$5:$K$2004,HISTORIAL!$E$5:$E$2004,"Press militar",HISTORIAL!$F$5:$F$2004,"Bilbo",HISTORIAL!$J$5:$J$2004,$A119))</f>
        <v/>
      </c>
      <c r="D119" s="18" t="str">
        <f aca="false">IF(_xlfn.MAXIFS(HISTORIAL!$K$5:$K$2004,HISTORIAL!$E$5:$E$2004,"Remo bajo en polea",HISTORIAL!$F$5:$F$2004,"Bilbo",HISTORIAL!$J$5:$J$2004,$A119)=0,"",_xlfn.MAXIFS(HISTORIAL!$K$5:$K$2004,HISTORIAL!$E$5:$E$2004,"Remo bajo en polea",HISTORIAL!$F$5:$F$2004,"Bilbo",HISTORIAL!$J$5:$J$2004,$A119))</f>
        <v/>
      </c>
    </row>
    <row r="120" customFormat="false" ht="15" hidden="false" customHeight="true" outlineLevel="0" collapsed="false">
      <c r="A120" s="27" t="n">
        <f aca="false">$I$22+97*$G$22</f>
        <v>204</v>
      </c>
      <c r="B120" s="18" t="str">
        <f aca="false">IF(_xlfn.MAXIFS(HISTORIAL!$K$5:$K$2004,HISTORIAL!$E$5:$E$2004,"Press banca",HISTORIAL!$F$5:$F$2004,"Bilbo",HISTORIAL!$J$5:$J$2004,$A120)=0,"",_xlfn.MAXIFS(HISTORIAL!$K$5:$K$2004,HISTORIAL!$E$5:$E$2004,"Press banca",HISTORIAL!$F$5:$F$2004,"Bilbo",HISTORIAL!$J$5:$J$2004,$A120))</f>
        <v/>
      </c>
      <c r="C120" s="18" t="str">
        <f aca="false">IF(_xlfn.MAXIFS(HISTORIAL!$K$5:$K$2004,HISTORIAL!$E$5:$E$2004,"Press militar",HISTORIAL!$F$5:$F$2004,"Bilbo",HISTORIAL!$J$5:$J$2004,$A120)=0,"",_xlfn.MAXIFS(HISTORIAL!$K$5:$K$2004,HISTORIAL!$E$5:$E$2004,"Press militar",HISTORIAL!$F$5:$F$2004,"Bilbo",HISTORIAL!$J$5:$J$2004,$A120))</f>
        <v/>
      </c>
      <c r="D120" s="18" t="str">
        <f aca="false">IF(_xlfn.MAXIFS(HISTORIAL!$K$5:$K$2004,HISTORIAL!$E$5:$E$2004,"Remo bajo en polea",HISTORIAL!$F$5:$F$2004,"Bilbo",HISTORIAL!$J$5:$J$2004,$A120)=0,"",_xlfn.MAXIFS(HISTORIAL!$K$5:$K$2004,HISTORIAL!$E$5:$E$2004,"Remo bajo en polea",HISTORIAL!$F$5:$F$2004,"Bilbo",HISTORIAL!$J$5:$J$2004,$A120))</f>
        <v/>
      </c>
    </row>
    <row r="121" customFormat="false" ht="15" hidden="false" customHeight="true" outlineLevel="0" collapsed="false">
      <c r="A121" s="27" t="n">
        <f aca="false">$I$22+98*$G$22</f>
        <v>206</v>
      </c>
      <c r="B121" s="18" t="str">
        <f aca="false">IF(_xlfn.MAXIFS(HISTORIAL!$K$5:$K$2004,HISTORIAL!$E$5:$E$2004,"Press banca",HISTORIAL!$F$5:$F$2004,"Bilbo",HISTORIAL!$J$5:$J$2004,$A121)=0,"",_xlfn.MAXIFS(HISTORIAL!$K$5:$K$2004,HISTORIAL!$E$5:$E$2004,"Press banca",HISTORIAL!$F$5:$F$2004,"Bilbo",HISTORIAL!$J$5:$J$2004,$A121))</f>
        <v/>
      </c>
      <c r="C121" s="18" t="str">
        <f aca="false">IF(_xlfn.MAXIFS(HISTORIAL!$K$5:$K$2004,HISTORIAL!$E$5:$E$2004,"Press militar",HISTORIAL!$F$5:$F$2004,"Bilbo",HISTORIAL!$J$5:$J$2004,$A121)=0,"",_xlfn.MAXIFS(HISTORIAL!$K$5:$K$2004,HISTORIAL!$E$5:$E$2004,"Press militar",HISTORIAL!$F$5:$F$2004,"Bilbo",HISTORIAL!$J$5:$J$2004,$A121))</f>
        <v/>
      </c>
      <c r="D121" s="18" t="str">
        <f aca="false">IF(_xlfn.MAXIFS(HISTORIAL!$K$5:$K$2004,HISTORIAL!$E$5:$E$2004,"Remo bajo en polea",HISTORIAL!$F$5:$F$2004,"Bilbo",HISTORIAL!$J$5:$J$2004,$A121)=0,"",_xlfn.MAXIFS(HISTORIAL!$K$5:$K$2004,HISTORIAL!$E$5:$E$2004,"Remo bajo en polea",HISTORIAL!$F$5:$F$2004,"Bilbo",HISTORIAL!$J$5:$J$2004,$A121))</f>
        <v/>
      </c>
    </row>
    <row r="122" customFormat="false" ht="15" hidden="false" customHeight="true" outlineLevel="0" collapsed="false">
      <c r="A122" s="27" t="n">
        <f aca="false">$I$22+99*$G$22</f>
        <v>208</v>
      </c>
      <c r="B122" s="18" t="str">
        <f aca="false">IF(_xlfn.MAXIFS(HISTORIAL!$K$5:$K$2004,HISTORIAL!$E$5:$E$2004,"Press banca",HISTORIAL!$F$5:$F$2004,"Bilbo",HISTORIAL!$J$5:$J$2004,$A122)=0,"",_xlfn.MAXIFS(HISTORIAL!$K$5:$K$2004,HISTORIAL!$E$5:$E$2004,"Press banca",HISTORIAL!$F$5:$F$2004,"Bilbo",HISTORIAL!$J$5:$J$2004,$A122))</f>
        <v/>
      </c>
      <c r="C122" s="18" t="str">
        <f aca="false">IF(_xlfn.MAXIFS(HISTORIAL!$K$5:$K$2004,HISTORIAL!$E$5:$E$2004,"Press militar",HISTORIAL!$F$5:$F$2004,"Bilbo",HISTORIAL!$J$5:$J$2004,$A122)=0,"",_xlfn.MAXIFS(HISTORIAL!$K$5:$K$2004,HISTORIAL!$E$5:$E$2004,"Press militar",HISTORIAL!$F$5:$F$2004,"Bilbo",HISTORIAL!$J$5:$J$2004,$A122))</f>
        <v/>
      </c>
      <c r="D122" s="18" t="str">
        <f aca="false">IF(_xlfn.MAXIFS(HISTORIAL!$K$5:$K$2004,HISTORIAL!$E$5:$E$2004,"Remo bajo en polea",HISTORIAL!$F$5:$F$2004,"Bilbo",HISTORIAL!$J$5:$J$2004,$A122)=0,"",_xlfn.MAXIFS(HISTORIAL!$K$5:$K$2004,HISTORIAL!$E$5:$E$2004,"Remo bajo en polea",HISTORIAL!$F$5:$F$2004,"Bilbo",HISTORIAL!$J$5:$J$2004,$A122))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5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70"/>
    <col collapsed="false" customWidth="true" hidden="false" outlineLevel="0" max="4" min="4" style="1" width="12"/>
    <col collapsed="false" customWidth="true" hidden="false" outlineLevel="0" max="5" min="5" style="1" width="24"/>
    <col collapsed="false" customWidth="true" hidden="false" outlineLevel="0" max="6" min="6" style="1" width="14"/>
  </cols>
  <sheetData>
    <row r="1" customFormat="false" ht="27.75" hidden="false" customHeight="true" outlineLevel="0" collapsed="false">
      <c r="A1" s="2" t="s">
        <v>597</v>
      </c>
      <c r="B1" s="3"/>
      <c r="C1" s="3"/>
      <c r="D1" s="3"/>
      <c r="E1" s="3"/>
      <c r="F1" s="3"/>
    </row>
    <row r="2" customFormat="false" ht="15" hidden="false" customHeight="true" outlineLevel="0" collapsed="false">
      <c r="A2" s="4" t="s">
        <v>598</v>
      </c>
    </row>
    <row r="4" customFormat="false" ht="30" hidden="false" customHeight="true" outlineLevel="0" collapsed="false">
      <c r="A4" s="5" t="s">
        <v>381</v>
      </c>
      <c r="B4" s="5" t="s">
        <v>474</v>
      </c>
      <c r="C4" s="5" t="s">
        <v>583</v>
      </c>
      <c r="D4" s="5" t="s">
        <v>599</v>
      </c>
      <c r="E4" s="5" t="s">
        <v>600</v>
      </c>
      <c r="F4" s="5" t="s">
        <v>601</v>
      </c>
    </row>
    <row r="5" customFormat="false" ht="45" hidden="false" customHeight="true" outlineLevel="0" collapsed="false">
      <c r="A5" s="35" t="n">
        <v>46292</v>
      </c>
      <c r="B5" s="11" t="s">
        <v>602</v>
      </c>
      <c r="C5" s="11" t="s">
        <v>603</v>
      </c>
      <c r="D5" s="11" t="s">
        <v>346</v>
      </c>
      <c r="E5" s="11" t="s">
        <v>604</v>
      </c>
      <c r="F5" s="11" t="s">
        <v>605</v>
      </c>
    </row>
    <row r="6" customFormat="false" ht="45" hidden="false" customHeight="true" outlineLevel="0" collapsed="false">
      <c r="A6" s="41" t="n">
        <v>46292</v>
      </c>
      <c r="B6" s="42" t="s">
        <v>606</v>
      </c>
      <c r="C6" s="42" t="s">
        <v>607</v>
      </c>
      <c r="D6" s="42" t="s">
        <v>346</v>
      </c>
      <c r="E6" s="42" t="s">
        <v>608</v>
      </c>
      <c r="F6" s="42" t="s">
        <v>605</v>
      </c>
    </row>
    <row r="7" customFormat="false" ht="15" hidden="false" customHeight="true" outlineLevel="0" collapsed="false">
      <c r="A7" s="41"/>
      <c r="B7" s="42"/>
      <c r="C7" s="42"/>
      <c r="D7" s="42"/>
      <c r="E7" s="42"/>
      <c r="F7" s="42"/>
    </row>
    <row r="8" customFormat="false" ht="15" hidden="false" customHeight="true" outlineLevel="0" collapsed="false">
      <c r="A8" s="41"/>
      <c r="B8" s="42"/>
      <c r="C8" s="42"/>
      <c r="D8" s="42"/>
      <c r="E8" s="42"/>
      <c r="F8" s="42"/>
    </row>
    <row r="9" customFormat="false" ht="15" hidden="false" customHeight="true" outlineLevel="0" collapsed="false">
      <c r="A9" s="41"/>
      <c r="B9" s="42"/>
      <c r="C9" s="42"/>
      <c r="D9" s="42"/>
      <c r="E9" s="42"/>
      <c r="F9" s="42"/>
    </row>
    <row r="10" customFormat="false" ht="15" hidden="false" customHeight="true" outlineLevel="0" collapsed="false">
      <c r="A10" s="41"/>
      <c r="B10" s="42"/>
      <c r="C10" s="42"/>
      <c r="D10" s="42"/>
      <c r="E10" s="42"/>
      <c r="F10" s="42"/>
    </row>
    <row r="11" customFormat="false" ht="15" hidden="false" customHeight="true" outlineLevel="0" collapsed="false">
      <c r="A11" s="41"/>
      <c r="B11" s="42"/>
      <c r="C11" s="42"/>
      <c r="D11" s="42"/>
      <c r="E11" s="42"/>
      <c r="F11" s="42"/>
    </row>
    <row r="12" customFormat="false" ht="15" hidden="false" customHeight="true" outlineLevel="0" collapsed="false">
      <c r="A12" s="41"/>
      <c r="B12" s="42"/>
      <c r="C12" s="42"/>
      <c r="D12" s="42"/>
      <c r="E12" s="42"/>
      <c r="F12" s="42"/>
    </row>
    <row r="13" customFormat="false" ht="15" hidden="false" customHeight="true" outlineLevel="0" collapsed="false">
      <c r="A13" s="41"/>
      <c r="B13" s="42"/>
      <c r="C13" s="42"/>
      <c r="D13" s="42"/>
      <c r="E13" s="42"/>
      <c r="F13" s="42"/>
    </row>
    <row r="14" customFormat="false" ht="15" hidden="false" customHeight="true" outlineLevel="0" collapsed="false">
      <c r="A14" s="41"/>
      <c r="B14" s="42"/>
      <c r="C14" s="42"/>
      <c r="D14" s="42"/>
      <c r="E14" s="42"/>
      <c r="F14" s="42"/>
    </row>
    <row r="15" customFormat="false" ht="15" hidden="false" customHeight="true" outlineLevel="0" collapsed="false">
      <c r="A15" s="41"/>
      <c r="B15" s="42"/>
      <c r="C15" s="42"/>
      <c r="D15" s="42"/>
      <c r="E15" s="42"/>
      <c r="F15" s="42"/>
    </row>
    <row r="16" customFormat="false" ht="15" hidden="false" customHeight="true" outlineLevel="0" collapsed="false">
      <c r="A16" s="41"/>
      <c r="B16" s="42"/>
      <c r="C16" s="42"/>
      <c r="D16" s="42"/>
      <c r="E16" s="42"/>
      <c r="F16" s="42"/>
    </row>
    <row r="17" customFormat="false" ht="15" hidden="false" customHeight="true" outlineLevel="0" collapsed="false">
      <c r="A17" s="41"/>
      <c r="B17" s="42"/>
      <c r="C17" s="42"/>
      <c r="D17" s="42"/>
      <c r="E17" s="42"/>
      <c r="F17" s="42"/>
    </row>
    <row r="18" customFormat="false" ht="15" hidden="false" customHeight="true" outlineLevel="0" collapsed="false">
      <c r="A18" s="41"/>
      <c r="B18" s="42"/>
      <c r="C18" s="42"/>
      <c r="D18" s="42"/>
      <c r="E18" s="42"/>
      <c r="F18" s="42"/>
    </row>
    <row r="19" customFormat="false" ht="15" hidden="false" customHeight="true" outlineLevel="0" collapsed="false">
      <c r="A19" s="41"/>
      <c r="B19" s="42"/>
      <c r="C19" s="42"/>
      <c r="D19" s="42"/>
      <c r="E19" s="42"/>
      <c r="F19" s="42"/>
    </row>
    <row r="20" customFormat="false" ht="15" hidden="false" customHeight="true" outlineLevel="0" collapsed="false">
      <c r="A20" s="41"/>
      <c r="B20" s="42"/>
      <c r="C20" s="42"/>
      <c r="D20" s="42"/>
      <c r="E20" s="42"/>
      <c r="F20" s="42"/>
    </row>
    <row r="21" customFormat="false" ht="15" hidden="false" customHeight="true" outlineLevel="0" collapsed="false">
      <c r="A21" s="41"/>
      <c r="B21" s="42"/>
      <c r="C21" s="42"/>
      <c r="D21" s="42"/>
      <c r="E21" s="42"/>
      <c r="F21" s="42"/>
    </row>
    <row r="22" customFormat="false" ht="15" hidden="false" customHeight="true" outlineLevel="0" collapsed="false">
      <c r="A22" s="41"/>
      <c r="B22" s="42"/>
      <c r="C22" s="42"/>
      <c r="D22" s="42"/>
      <c r="E22" s="42"/>
      <c r="F22" s="42"/>
    </row>
    <row r="23" customFormat="false" ht="15" hidden="false" customHeight="true" outlineLevel="0" collapsed="false">
      <c r="A23" s="41"/>
      <c r="B23" s="42"/>
      <c r="C23" s="42"/>
      <c r="D23" s="42"/>
      <c r="E23" s="42"/>
      <c r="F23" s="42"/>
    </row>
    <row r="24" customFormat="false" ht="15" hidden="false" customHeight="true" outlineLevel="0" collapsed="false">
      <c r="A24" s="41"/>
      <c r="B24" s="42"/>
      <c r="C24" s="42"/>
      <c r="D24" s="42"/>
      <c r="E24" s="42"/>
      <c r="F24" s="42"/>
    </row>
    <row r="25" customFormat="false" ht="15" hidden="false" customHeight="true" outlineLevel="0" collapsed="false">
      <c r="A25" s="41"/>
      <c r="B25" s="42"/>
      <c r="C25" s="42"/>
      <c r="D25" s="42"/>
      <c r="E25" s="42"/>
      <c r="F25" s="42"/>
    </row>
    <row r="26" customFormat="false" ht="15" hidden="false" customHeight="true" outlineLevel="0" collapsed="false">
      <c r="A26" s="41"/>
      <c r="B26" s="42"/>
      <c r="C26" s="42"/>
      <c r="D26" s="42"/>
      <c r="E26" s="42"/>
      <c r="F26" s="42"/>
    </row>
    <row r="27" customFormat="false" ht="15" hidden="false" customHeight="true" outlineLevel="0" collapsed="false">
      <c r="A27" s="41"/>
      <c r="B27" s="42"/>
      <c r="C27" s="42"/>
      <c r="D27" s="42"/>
      <c r="E27" s="42"/>
      <c r="F27" s="42"/>
    </row>
    <row r="28" customFormat="false" ht="15" hidden="false" customHeight="true" outlineLevel="0" collapsed="false">
      <c r="A28" s="41"/>
      <c r="B28" s="42"/>
      <c r="C28" s="42"/>
      <c r="D28" s="42"/>
      <c r="E28" s="42"/>
      <c r="F28" s="42"/>
    </row>
    <row r="29" customFormat="false" ht="15" hidden="false" customHeight="true" outlineLevel="0" collapsed="false">
      <c r="A29" s="41"/>
      <c r="B29" s="42"/>
      <c r="C29" s="42"/>
      <c r="D29" s="42"/>
      <c r="E29" s="42"/>
      <c r="F29" s="42"/>
    </row>
    <row r="30" customFormat="false" ht="15" hidden="false" customHeight="true" outlineLevel="0" collapsed="false">
      <c r="A30" s="41"/>
      <c r="B30" s="42"/>
      <c r="C30" s="42"/>
      <c r="D30" s="42"/>
      <c r="E30" s="42"/>
      <c r="F30" s="42"/>
    </row>
    <row r="31" customFormat="false" ht="15" hidden="false" customHeight="true" outlineLevel="0" collapsed="false">
      <c r="A31" s="41"/>
      <c r="B31" s="42"/>
      <c r="C31" s="42"/>
      <c r="D31" s="42"/>
      <c r="E31" s="42"/>
      <c r="F31" s="42"/>
    </row>
    <row r="32" customFormat="false" ht="15" hidden="false" customHeight="true" outlineLevel="0" collapsed="false">
      <c r="A32" s="41"/>
      <c r="B32" s="42"/>
      <c r="C32" s="42"/>
      <c r="D32" s="42"/>
      <c r="E32" s="42"/>
      <c r="F32" s="42"/>
    </row>
    <row r="33" customFormat="false" ht="15" hidden="false" customHeight="true" outlineLevel="0" collapsed="false">
      <c r="A33" s="41"/>
      <c r="B33" s="42"/>
      <c r="C33" s="42"/>
      <c r="D33" s="42"/>
      <c r="E33" s="42"/>
      <c r="F33" s="42"/>
    </row>
    <row r="34" customFormat="false" ht="15" hidden="false" customHeight="true" outlineLevel="0" collapsed="false">
      <c r="A34" s="41"/>
      <c r="B34" s="42"/>
      <c r="C34" s="42"/>
      <c r="D34" s="42"/>
      <c r="E34" s="42"/>
      <c r="F34" s="42"/>
    </row>
    <row r="35" customFormat="false" ht="15" hidden="false" customHeight="true" outlineLevel="0" collapsed="false">
      <c r="A35" s="41"/>
      <c r="B35" s="42"/>
      <c r="C35" s="42"/>
      <c r="D35" s="42"/>
      <c r="E35" s="42"/>
      <c r="F35" s="42"/>
    </row>
    <row r="36" customFormat="false" ht="15" hidden="false" customHeight="true" outlineLevel="0" collapsed="false">
      <c r="A36" s="41"/>
      <c r="B36" s="42"/>
      <c r="C36" s="42"/>
      <c r="D36" s="42"/>
      <c r="E36" s="42"/>
      <c r="F36" s="42"/>
    </row>
    <row r="37" customFormat="false" ht="15" hidden="false" customHeight="true" outlineLevel="0" collapsed="false">
      <c r="A37" s="41"/>
      <c r="B37" s="42"/>
      <c r="C37" s="42"/>
      <c r="D37" s="42"/>
      <c r="E37" s="42"/>
      <c r="F37" s="42"/>
    </row>
    <row r="38" customFormat="false" ht="15" hidden="false" customHeight="true" outlineLevel="0" collapsed="false">
      <c r="A38" s="41"/>
      <c r="B38" s="42"/>
      <c r="C38" s="42"/>
      <c r="D38" s="42"/>
      <c r="E38" s="42"/>
      <c r="F38" s="42"/>
    </row>
    <row r="39" customFormat="false" ht="15" hidden="false" customHeight="true" outlineLevel="0" collapsed="false">
      <c r="A39" s="41"/>
      <c r="B39" s="42"/>
      <c r="C39" s="42"/>
      <c r="D39" s="42"/>
      <c r="E39" s="42"/>
      <c r="F39" s="42"/>
    </row>
    <row r="40" customFormat="false" ht="15" hidden="false" customHeight="true" outlineLevel="0" collapsed="false">
      <c r="A40" s="41"/>
      <c r="B40" s="42"/>
      <c r="C40" s="42"/>
      <c r="D40" s="42"/>
      <c r="E40" s="42"/>
      <c r="F40" s="42"/>
    </row>
    <row r="41" customFormat="false" ht="15" hidden="false" customHeight="true" outlineLevel="0" collapsed="false">
      <c r="A41" s="41"/>
      <c r="B41" s="42"/>
      <c r="C41" s="42"/>
      <c r="D41" s="42"/>
      <c r="E41" s="42"/>
      <c r="F41" s="42"/>
    </row>
    <row r="42" customFormat="false" ht="15" hidden="false" customHeight="true" outlineLevel="0" collapsed="false">
      <c r="A42" s="41"/>
      <c r="B42" s="42"/>
      <c r="C42" s="42"/>
      <c r="D42" s="42"/>
      <c r="E42" s="42"/>
      <c r="F42" s="42"/>
    </row>
    <row r="43" customFormat="false" ht="15" hidden="false" customHeight="true" outlineLevel="0" collapsed="false">
      <c r="A43" s="41"/>
      <c r="B43" s="42"/>
      <c r="C43" s="42"/>
      <c r="D43" s="42"/>
      <c r="E43" s="42"/>
      <c r="F43" s="42"/>
    </row>
    <row r="44" customFormat="false" ht="15" hidden="false" customHeight="true" outlineLevel="0" collapsed="false">
      <c r="A44" s="41"/>
      <c r="B44" s="42"/>
      <c r="C44" s="42"/>
      <c r="D44" s="42"/>
      <c r="E44" s="42"/>
      <c r="F44" s="42"/>
    </row>
    <row r="45" customFormat="false" ht="15" hidden="false" customHeight="true" outlineLevel="0" collapsed="false">
      <c r="A45" s="41"/>
      <c r="B45" s="42"/>
      <c r="C45" s="42"/>
      <c r="D45" s="42"/>
      <c r="E45" s="42"/>
      <c r="F45" s="42"/>
    </row>
    <row r="46" customFormat="false" ht="15" hidden="false" customHeight="true" outlineLevel="0" collapsed="false">
      <c r="A46" s="41"/>
      <c r="B46" s="42"/>
      <c r="C46" s="42"/>
      <c r="D46" s="42"/>
      <c r="E46" s="42"/>
      <c r="F46" s="42"/>
    </row>
    <row r="47" customFormat="false" ht="15" hidden="false" customHeight="true" outlineLevel="0" collapsed="false">
      <c r="A47" s="41"/>
      <c r="B47" s="42"/>
      <c r="C47" s="42"/>
      <c r="D47" s="42"/>
      <c r="E47" s="42"/>
      <c r="F47" s="42"/>
    </row>
    <row r="48" customFormat="false" ht="15" hidden="false" customHeight="true" outlineLevel="0" collapsed="false">
      <c r="A48" s="41"/>
      <c r="B48" s="42"/>
      <c r="C48" s="42"/>
      <c r="D48" s="42"/>
      <c r="E48" s="42"/>
      <c r="F48" s="42"/>
    </row>
    <row r="49" customFormat="false" ht="15" hidden="false" customHeight="true" outlineLevel="0" collapsed="false">
      <c r="A49" s="41"/>
      <c r="B49" s="42"/>
      <c r="C49" s="42"/>
      <c r="D49" s="42"/>
      <c r="E49" s="42"/>
      <c r="F49" s="42"/>
    </row>
    <row r="50" customFormat="false" ht="15" hidden="false" customHeight="true" outlineLevel="0" collapsed="false">
      <c r="A50" s="41"/>
      <c r="B50" s="42"/>
      <c r="C50" s="42"/>
      <c r="D50" s="42"/>
      <c r="E50" s="42"/>
      <c r="F50" s="42"/>
    </row>
    <row r="51" customFormat="false" ht="15" hidden="false" customHeight="true" outlineLevel="0" collapsed="false">
      <c r="A51" s="41"/>
      <c r="B51" s="42"/>
      <c r="C51" s="42"/>
      <c r="D51" s="42"/>
      <c r="E51" s="42"/>
      <c r="F51" s="42"/>
    </row>
    <row r="52" customFormat="false" ht="15" hidden="false" customHeight="true" outlineLevel="0" collapsed="false">
      <c r="A52" s="41"/>
      <c r="B52" s="42"/>
      <c r="C52" s="42"/>
      <c r="D52" s="42"/>
      <c r="E52" s="42"/>
      <c r="F52" s="42"/>
    </row>
    <row r="53" customFormat="false" ht="15" hidden="false" customHeight="true" outlineLevel="0" collapsed="false">
      <c r="A53" s="41"/>
      <c r="B53" s="42"/>
      <c r="C53" s="42"/>
      <c r="D53" s="42"/>
      <c r="E53" s="42"/>
      <c r="F53" s="42"/>
    </row>
    <row r="54" customFormat="false" ht="15" hidden="false" customHeight="true" outlineLevel="0" collapsed="false">
      <c r="A54" s="41"/>
      <c r="B54" s="42"/>
      <c r="C54" s="42"/>
      <c r="D54" s="42"/>
      <c r="E54" s="42"/>
      <c r="F54" s="42"/>
    </row>
    <row r="55" customFormat="false" ht="15" hidden="false" customHeight="true" outlineLevel="0" collapsed="false">
      <c r="A55" s="41"/>
      <c r="B55" s="42"/>
      <c r="C55" s="42"/>
      <c r="D55" s="42"/>
      <c r="E55" s="42"/>
      <c r="F55" s="42"/>
    </row>
    <row r="56" customFormat="false" ht="15" hidden="false" customHeight="true" outlineLevel="0" collapsed="false">
      <c r="A56" s="41"/>
      <c r="B56" s="42"/>
      <c r="C56" s="42"/>
      <c r="D56" s="42"/>
      <c r="E56" s="42"/>
      <c r="F56" s="42"/>
    </row>
    <row r="57" customFormat="false" ht="15" hidden="false" customHeight="true" outlineLevel="0" collapsed="false">
      <c r="A57" s="41"/>
      <c r="B57" s="42"/>
      <c r="C57" s="42"/>
      <c r="D57" s="42"/>
      <c r="E57" s="42"/>
      <c r="F57" s="42"/>
    </row>
    <row r="58" customFormat="false" ht="15" hidden="false" customHeight="true" outlineLevel="0" collapsed="false">
      <c r="A58" s="41"/>
      <c r="B58" s="42"/>
      <c r="C58" s="42"/>
      <c r="D58" s="42"/>
      <c r="E58" s="42"/>
      <c r="F58" s="42"/>
    </row>
    <row r="59" customFormat="false" ht="15" hidden="false" customHeight="true" outlineLevel="0" collapsed="false">
      <c r="A59" s="41"/>
      <c r="B59" s="42"/>
      <c r="C59" s="42"/>
      <c r="D59" s="42"/>
      <c r="E59" s="42"/>
      <c r="F59" s="42"/>
    </row>
    <row r="60" customFormat="false" ht="15" hidden="false" customHeight="true" outlineLevel="0" collapsed="false">
      <c r="A60" s="41"/>
      <c r="B60" s="42"/>
      <c r="C60" s="42"/>
      <c r="D60" s="42"/>
      <c r="E60" s="42"/>
      <c r="F60" s="42"/>
    </row>
    <row r="61" customFormat="false" ht="15" hidden="false" customHeight="true" outlineLevel="0" collapsed="false">
      <c r="A61" s="41"/>
      <c r="B61" s="42"/>
      <c r="C61" s="42"/>
      <c r="D61" s="42"/>
      <c r="E61" s="42"/>
      <c r="F61" s="42"/>
    </row>
    <row r="62" customFormat="false" ht="15" hidden="false" customHeight="true" outlineLevel="0" collapsed="false">
      <c r="A62" s="41"/>
      <c r="B62" s="42"/>
      <c r="C62" s="42"/>
      <c r="D62" s="42"/>
      <c r="E62" s="42"/>
      <c r="F62" s="42"/>
    </row>
    <row r="63" customFormat="false" ht="15" hidden="false" customHeight="true" outlineLevel="0" collapsed="false">
      <c r="A63" s="41"/>
      <c r="B63" s="42"/>
      <c r="C63" s="42"/>
      <c r="D63" s="42"/>
      <c r="E63" s="42"/>
      <c r="F63" s="42"/>
    </row>
    <row r="64" customFormat="false" ht="15" hidden="false" customHeight="true" outlineLevel="0" collapsed="false">
      <c r="A64" s="41"/>
      <c r="B64" s="42"/>
      <c r="C64" s="42"/>
      <c r="D64" s="42"/>
      <c r="E64" s="42"/>
      <c r="F64" s="42"/>
    </row>
    <row r="65" customFormat="false" ht="15" hidden="false" customHeight="true" outlineLevel="0" collapsed="false">
      <c r="A65" s="41"/>
      <c r="B65" s="42"/>
      <c r="C65" s="42"/>
      <c r="D65" s="42"/>
      <c r="E65" s="42"/>
      <c r="F65" s="42"/>
    </row>
    <row r="66" customFormat="false" ht="15" hidden="false" customHeight="true" outlineLevel="0" collapsed="false">
      <c r="A66" s="41"/>
      <c r="B66" s="42"/>
      <c r="C66" s="42"/>
      <c r="D66" s="42"/>
      <c r="E66" s="42"/>
      <c r="F66" s="42"/>
    </row>
    <row r="67" customFormat="false" ht="15" hidden="false" customHeight="true" outlineLevel="0" collapsed="false">
      <c r="A67" s="41"/>
      <c r="B67" s="42"/>
      <c r="C67" s="42"/>
      <c r="D67" s="42"/>
      <c r="E67" s="42"/>
      <c r="F67" s="42"/>
    </row>
    <row r="68" customFormat="false" ht="15" hidden="false" customHeight="true" outlineLevel="0" collapsed="false">
      <c r="A68" s="41"/>
      <c r="B68" s="42"/>
      <c r="C68" s="42"/>
      <c r="D68" s="42"/>
      <c r="E68" s="42"/>
      <c r="F68" s="42"/>
    </row>
    <row r="69" customFormat="false" ht="15" hidden="false" customHeight="true" outlineLevel="0" collapsed="false">
      <c r="A69" s="41"/>
      <c r="B69" s="42"/>
      <c r="C69" s="42"/>
      <c r="D69" s="42"/>
      <c r="E69" s="42"/>
      <c r="F69" s="42"/>
    </row>
    <row r="70" customFormat="false" ht="15" hidden="false" customHeight="true" outlineLevel="0" collapsed="false">
      <c r="A70" s="41"/>
      <c r="B70" s="42"/>
      <c r="C70" s="42"/>
      <c r="D70" s="42"/>
      <c r="E70" s="42"/>
      <c r="F70" s="42"/>
    </row>
    <row r="71" customFormat="false" ht="15" hidden="false" customHeight="true" outlineLevel="0" collapsed="false">
      <c r="A71" s="41"/>
      <c r="B71" s="42"/>
      <c r="C71" s="42"/>
      <c r="D71" s="42"/>
      <c r="E71" s="42"/>
      <c r="F71" s="42"/>
    </row>
    <row r="72" customFormat="false" ht="15" hidden="false" customHeight="true" outlineLevel="0" collapsed="false">
      <c r="A72" s="41"/>
      <c r="B72" s="42"/>
      <c r="C72" s="42"/>
      <c r="D72" s="42"/>
      <c r="E72" s="42"/>
      <c r="F72" s="42"/>
    </row>
    <row r="73" customFormat="false" ht="15" hidden="false" customHeight="true" outlineLevel="0" collapsed="false">
      <c r="A73" s="41"/>
      <c r="B73" s="42"/>
      <c r="C73" s="42"/>
      <c r="D73" s="42"/>
      <c r="E73" s="42"/>
      <c r="F73" s="42"/>
    </row>
    <row r="74" customFormat="false" ht="15" hidden="false" customHeight="true" outlineLevel="0" collapsed="false">
      <c r="A74" s="41"/>
      <c r="B74" s="42"/>
      <c r="C74" s="42"/>
      <c r="D74" s="42"/>
      <c r="E74" s="42"/>
      <c r="F74" s="42"/>
    </row>
    <row r="75" customFormat="false" ht="15" hidden="false" customHeight="true" outlineLevel="0" collapsed="false">
      <c r="A75" s="41"/>
      <c r="B75" s="42"/>
      <c r="C75" s="42"/>
      <c r="D75" s="42"/>
      <c r="E75" s="42"/>
      <c r="F75" s="42"/>
    </row>
    <row r="76" customFormat="false" ht="15" hidden="false" customHeight="true" outlineLevel="0" collapsed="false">
      <c r="A76" s="41"/>
      <c r="B76" s="42"/>
      <c r="C76" s="42"/>
      <c r="D76" s="42"/>
      <c r="E76" s="42"/>
      <c r="F76" s="42"/>
    </row>
    <row r="77" customFormat="false" ht="15" hidden="false" customHeight="true" outlineLevel="0" collapsed="false">
      <c r="A77" s="41"/>
      <c r="B77" s="42"/>
      <c r="C77" s="42"/>
      <c r="D77" s="42"/>
      <c r="E77" s="42"/>
      <c r="F77" s="42"/>
    </row>
    <row r="78" customFormat="false" ht="15" hidden="false" customHeight="true" outlineLevel="0" collapsed="false">
      <c r="A78" s="41"/>
      <c r="B78" s="42"/>
      <c r="C78" s="42"/>
      <c r="D78" s="42"/>
      <c r="E78" s="42"/>
      <c r="F78" s="42"/>
    </row>
    <row r="79" customFormat="false" ht="15" hidden="false" customHeight="true" outlineLevel="0" collapsed="false">
      <c r="A79" s="41"/>
      <c r="B79" s="42"/>
      <c r="C79" s="42"/>
      <c r="D79" s="42"/>
      <c r="E79" s="42"/>
      <c r="F79" s="42"/>
    </row>
    <row r="80" customFormat="false" ht="15" hidden="false" customHeight="true" outlineLevel="0" collapsed="false">
      <c r="A80" s="41"/>
      <c r="B80" s="42"/>
      <c r="C80" s="42"/>
      <c r="D80" s="42"/>
      <c r="E80" s="42"/>
      <c r="F80" s="42"/>
    </row>
    <row r="81" customFormat="false" ht="15" hidden="false" customHeight="true" outlineLevel="0" collapsed="false">
      <c r="A81" s="41"/>
      <c r="B81" s="42"/>
      <c r="C81" s="42"/>
      <c r="D81" s="42"/>
      <c r="E81" s="42"/>
      <c r="F81" s="42"/>
    </row>
    <row r="82" customFormat="false" ht="15" hidden="false" customHeight="true" outlineLevel="0" collapsed="false">
      <c r="A82" s="41"/>
      <c r="B82" s="42"/>
      <c r="C82" s="42"/>
      <c r="D82" s="42"/>
      <c r="E82" s="42"/>
      <c r="F82" s="42"/>
    </row>
    <row r="83" customFormat="false" ht="15" hidden="false" customHeight="true" outlineLevel="0" collapsed="false">
      <c r="A83" s="41"/>
      <c r="B83" s="42"/>
      <c r="C83" s="42"/>
      <c r="D83" s="42"/>
      <c r="E83" s="42"/>
      <c r="F83" s="42"/>
    </row>
    <row r="84" customFormat="false" ht="15" hidden="false" customHeight="true" outlineLevel="0" collapsed="false">
      <c r="A84" s="41"/>
      <c r="B84" s="42"/>
      <c r="C84" s="42"/>
      <c r="D84" s="42"/>
      <c r="E84" s="42"/>
      <c r="F84" s="42"/>
    </row>
    <row r="85" customFormat="false" ht="15" hidden="false" customHeight="true" outlineLevel="0" collapsed="false">
      <c r="A85" s="41"/>
      <c r="B85" s="42"/>
      <c r="C85" s="42"/>
      <c r="D85" s="42"/>
      <c r="E85" s="42"/>
      <c r="F85" s="42"/>
    </row>
    <row r="86" customFormat="false" ht="15" hidden="false" customHeight="true" outlineLevel="0" collapsed="false">
      <c r="A86" s="41"/>
      <c r="B86" s="42"/>
      <c r="C86" s="42"/>
      <c r="D86" s="42"/>
      <c r="E86" s="42"/>
      <c r="F86" s="42"/>
    </row>
    <row r="87" customFormat="false" ht="15" hidden="false" customHeight="true" outlineLevel="0" collapsed="false">
      <c r="A87" s="41"/>
      <c r="B87" s="42"/>
      <c r="C87" s="42"/>
      <c r="D87" s="42"/>
      <c r="E87" s="42"/>
      <c r="F87" s="42"/>
    </row>
    <row r="88" customFormat="false" ht="15" hidden="false" customHeight="true" outlineLevel="0" collapsed="false">
      <c r="A88" s="41"/>
      <c r="B88" s="42"/>
      <c r="C88" s="42"/>
      <c r="D88" s="42"/>
      <c r="E88" s="42"/>
      <c r="F88" s="42"/>
    </row>
    <row r="89" customFormat="false" ht="15" hidden="false" customHeight="true" outlineLevel="0" collapsed="false">
      <c r="A89" s="41"/>
      <c r="B89" s="42"/>
      <c r="C89" s="42"/>
      <c r="D89" s="42"/>
      <c r="E89" s="42"/>
      <c r="F89" s="42"/>
    </row>
    <row r="90" customFormat="false" ht="15" hidden="false" customHeight="true" outlineLevel="0" collapsed="false">
      <c r="A90" s="41"/>
      <c r="B90" s="42"/>
      <c r="C90" s="42"/>
      <c r="D90" s="42"/>
      <c r="E90" s="42"/>
      <c r="F90" s="42"/>
    </row>
    <row r="91" customFormat="false" ht="15" hidden="false" customHeight="true" outlineLevel="0" collapsed="false">
      <c r="A91" s="41"/>
      <c r="B91" s="42"/>
      <c r="C91" s="42"/>
      <c r="D91" s="42"/>
      <c r="E91" s="42"/>
      <c r="F91" s="42"/>
    </row>
    <row r="92" customFormat="false" ht="15" hidden="false" customHeight="true" outlineLevel="0" collapsed="false">
      <c r="A92" s="41"/>
      <c r="B92" s="42"/>
      <c r="C92" s="42"/>
      <c r="D92" s="42"/>
      <c r="E92" s="42"/>
      <c r="F92" s="42"/>
    </row>
    <row r="93" customFormat="false" ht="15" hidden="false" customHeight="true" outlineLevel="0" collapsed="false">
      <c r="A93" s="41"/>
      <c r="B93" s="42"/>
      <c r="C93" s="42"/>
      <c r="D93" s="42"/>
      <c r="E93" s="42"/>
      <c r="F93" s="42"/>
    </row>
    <row r="94" customFormat="false" ht="15" hidden="false" customHeight="true" outlineLevel="0" collapsed="false">
      <c r="A94" s="41"/>
      <c r="B94" s="42"/>
      <c r="C94" s="42"/>
      <c r="D94" s="42"/>
      <c r="E94" s="42"/>
      <c r="F94" s="42"/>
    </row>
    <row r="95" customFormat="false" ht="15" hidden="false" customHeight="true" outlineLevel="0" collapsed="false">
      <c r="A95" s="41"/>
      <c r="B95" s="42"/>
      <c r="C95" s="42"/>
      <c r="D95" s="42"/>
      <c r="E95" s="42"/>
      <c r="F95" s="42"/>
    </row>
    <row r="96" customFormat="false" ht="15" hidden="false" customHeight="true" outlineLevel="0" collapsed="false">
      <c r="A96" s="41"/>
      <c r="B96" s="42"/>
      <c r="C96" s="42"/>
      <c r="D96" s="42"/>
      <c r="E96" s="42"/>
      <c r="F96" s="42"/>
    </row>
    <row r="97" customFormat="false" ht="15" hidden="false" customHeight="true" outlineLevel="0" collapsed="false">
      <c r="A97" s="41"/>
      <c r="B97" s="42"/>
      <c r="C97" s="42"/>
      <c r="D97" s="42"/>
      <c r="E97" s="42"/>
      <c r="F97" s="42"/>
    </row>
    <row r="98" customFormat="false" ht="15" hidden="false" customHeight="true" outlineLevel="0" collapsed="false">
      <c r="A98" s="41"/>
      <c r="B98" s="42"/>
      <c r="C98" s="42"/>
      <c r="D98" s="42"/>
      <c r="E98" s="42"/>
      <c r="F98" s="42"/>
    </row>
    <row r="99" customFormat="false" ht="15" hidden="false" customHeight="true" outlineLevel="0" collapsed="false">
      <c r="A99" s="41"/>
      <c r="B99" s="42"/>
      <c r="C99" s="42"/>
      <c r="D99" s="42"/>
      <c r="E99" s="42"/>
      <c r="F99" s="42"/>
    </row>
    <row r="100" customFormat="false" ht="15" hidden="false" customHeight="true" outlineLevel="0" collapsed="false">
      <c r="A100" s="41"/>
      <c r="B100" s="42"/>
      <c r="C100" s="42"/>
      <c r="D100" s="42"/>
      <c r="E100" s="42"/>
      <c r="F100" s="42"/>
    </row>
    <row r="101" customFormat="false" ht="15" hidden="false" customHeight="true" outlineLevel="0" collapsed="false">
      <c r="A101" s="41"/>
      <c r="B101" s="42"/>
      <c r="C101" s="42"/>
      <c r="D101" s="42"/>
      <c r="E101" s="42"/>
      <c r="F101" s="42"/>
    </row>
    <row r="102" customFormat="false" ht="15" hidden="false" customHeight="true" outlineLevel="0" collapsed="false">
      <c r="A102" s="41"/>
      <c r="B102" s="42"/>
      <c r="C102" s="42"/>
      <c r="D102" s="42"/>
      <c r="E102" s="42"/>
      <c r="F102" s="42"/>
    </row>
    <row r="103" customFormat="false" ht="15" hidden="false" customHeight="true" outlineLevel="0" collapsed="false">
      <c r="A103" s="41"/>
      <c r="B103" s="42"/>
      <c r="C103" s="42"/>
      <c r="D103" s="42"/>
      <c r="E103" s="42"/>
      <c r="F103" s="42"/>
    </row>
    <row r="104" customFormat="false" ht="15" hidden="false" customHeight="true" outlineLevel="0" collapsed="false">
      <c r="A104" s="41"/>
      <c r="B104" s="42"/>
      <c r="C104" s="42"/>
      <c r="D104" s="42"/>
      <c r="E104" s="42"/>
      <c r="F104" s="42"/>
    </row>
    <row r="105" customFormat="false" ht="15" hidden="false" customHeight="true" outlineLevel="0" collapsed="false">
      <c r="A105" s="41"/>
      <c r="B105" s="42"/>
      <c r="C105" s="42"/>
      <c r="D105" s="42"/>
      <c r="E105" s="42"/>
      <c r="F105" s="42"/>
    </row>
    <row r="106" customFormat="false" ht="15" hidden="false" customHeight="true" outlineLevel="0" collapsed="false">
      <c r="A106" s="41"/>
      <c r="B106" s="42"/>
      <c r="C106" s="42"/>
      <c r="D106" s="42"/>
      <c r="E106" s="42"/>
      <c r="F106" s="42"/>
    </row>
    <row r="107" customFormat="false" ht="15" hidden="false" customHeight="true" outlineLevel="0" collapsed="false">
      <c r="A107" s="41"/>
      <c r="B107" s="42"/>
      <c r="C107" s="42"/>
      <c r="D107" s="42"/>
      <c r="E107" s="42"/>
      <c r="F107" s="42"/>
    </row>
    <row r="108" customFormat="false" ht="15" hidden="false" customHeight="true" outlineLevel="0" collapsed="false">
      <c r="A108" s="41"/>
      <c r="B108" s="42"/>
      <c r="C108" s="42"/>
      <c r="D108" s="42"/>
      <c r="E108" s="42"/>
      <c r="F108" s="42"/>
    </row>
    <row r="109" customFormat="false" ht="15" hidden="false" customHeight="true" outlineLevel="0" collapsed="false">
      <c r="A109" s="41"/>
      <c r="B109" s="42"/>
      <c r="C109" s="42"/>
      <c r="D109" s="42"/>
      <c r="E109" s="42"/>
      <c r="F109" s="42"/>
    </row>
    <row r="110" customFormat="false" ht="15" hidden="false" customHeight="true" outlineLevel="0" collapsed="false">
      <c r="A110" s="41"/>
      <c r="B110" s="42"/>
      <c r="C110" s="42"/>
      <c r="D110" s="42"/>
      <c r="E110" s="42"/>
      <c r="F110" s="42"/>
    </row>
    <row r="111" customFormat="false" ht="15" hidden="false" customHeight="true" outlineLevel="0" collapsed="false">
      <c r="A111" s="41"/>
      <c r="B111" s="42"/>
      <c r="C111" s="42"/>
      <c r="D111" s="42"/>
      <c r="E111" s="42"/>
      <c r="F111" s="42"/>
    </row>
    <row r="112" customFormat="false" ht="15" hidden="false" customHeight="true" outlineLevel="0" collapsed="false">
      <c r="A112" s="41"/>
      <c r="B112" s="42"/>
      <c r="C112" s="42"/>
      <c r="D112" s="42"/>
      <c r="E112" s="42"/>
      <c r="F112" s="42"/>
    </row>
    <row r="113" customFormat="false" ht="15" hidden="false" customHeight="true" outlineLevel="0" collapsed="false">
      <c r="A113" s="41"/>
      <c r="B113" s="42"/>
      <c r="C113" s="42"/>
      <c r="D113" s="42"/>
      <c r="E113" s="42"/>
      <c r="F113" s="42"/>
    </row>
    <row r="114" customFormat="false" ht="15" hidden="false" customHeight="true" outlineLevel="0" collapsed="false">
      <c r="A114" s="41"/>
      <c r="B114" s="42"/>
      <c r="C114" s="42"/>
      <c r="D114" s="42"/>
      <c r="E114" s="42"/>
      <c r="F114" s="42"/>
    </row>
    <row r="115" customFormat="false" ht="15" hidden="false" customHeight="true" outlineLevel="0" collapsed="false">
      <c r="A115" s="41"/>
      <c r="B115" s="42"/>
      <c r="C115" s="42"/>
      <c r="D115" s="42"/>
      <c r="E115" s="42"/>
      <c r="F115" s="42"/>
    </row>
    <row r="116" customFormat="false" ht="15" hidden="false" customHeight="true" outlineLevel="0" collapsed="false">
      <c r="A116" s="41"/>
      <c r="B116" s="42"/>
      <c r="C116" s="42"/>
      <c r="D116" s="42"/>
      <c r="E116" s="42"/>
      <c r="F116" s="42"/>
    </row>
    <row r="117" customFormat="false" ht="15" hidden="false" customHeight="true" outlineLevel="0" collapsed="false">
      <c r="A117" s="41"/>
      <c r="B117" s="42"/>
      <c r="C117" s="42"/>
      <c r="D117" s="42"/>
      <c r="E117" s="42"/>
      <c r="F117" s="42"/>
    </row>
    <row r="118" customFormat="false" ht="15" hidden="false" customHeight="true" outlineLevel="0" collapsed="false">
      <c r="A118" s="41"/>
      <c r="B118" s="42"/>
      <c r="C118" s="42"/>
      <c r="D118" s="42"/>
      <c r="E118" s="42"/>
      <c r="F118" s="42"/>
    </row>
    <row r="119" customFormat="false" ht="15" hidden="false" customHeight="true" outlineLevel="0" collapsed="false">
      <c r="A119" s="41"/>
      <c r="B119" s="42"/>
      <c r="C119" s="42"/>
      <c r="D119" s="42"/>
      <c r="E119" s="42"/>
      <c r="F119" s="42"/>
    </row>
    <row r="120" customFormat="false" ht="15" hidden="false" customHeight="true" outlineLevel="0" collapsed="false">
      <c r="A120" s="41"/>
      <c r="B120" s="42"/>
      <c r="C120" s="42"/>
      <c r="D120" s="42"/>
      <c r="E120" s="42"/>
      <c r="F120" s="42"/>
    </row>
    <row r="121" customFormat="false" ht="15" hidden="false" customHeight="true" outlineLevel="0" collapsed="false">
      <c r="A121" s="41"/>
      <c r="B121" s="42"/>
      <c r="C121" s="42"/>
      <c r="D121" s="42"/>
      <c r="E121" s="42"/>
      <c r="F121" s="42"/>
    </row>
    <row r="122" customFormat="false" ht="15" hidden="false" customHeight="true" outlineLevel="0" collapsed="false">
      <c r="A122" s="41"/>
      <c r="B122" s="42"/>
      <c r="C122" s="42"/>
      <c r="D122" s="42"/>
      <c r="E122" s="42"/>
      <c r="F122" s="42"/>
    </row>
    <row r="123" customFormat="false" ht="15" hidden="false" customHeight="true" outlineLevel="0" collapsed="false">
      <c r="A123" s="41"/>
      <c r="B123" s="42"/>
      <c r="C123" s="42"/>
      <c r="D123" s="42"/>
      <c r="E123" s="42"/>
      <c r="F123" s="42"/>
    </row>
    <row r="124" customFormat="false" ht="15" hidden="false" customHeight="true" outlineLevel="0" collapsed="false">
      <c r="A124" s="41"/>
      <c r="B124" s="42"/>
      <c r="C124" s="42"/>
      <c r="D124" s="42"/>
      <c r="E124" s="42"/>
      <c r="F124" s="42"/>
    </row>
    <row r="125" customFormat="false" ht="15" hidden="false" customHeight="true" outlineLevel="0" collapsed="false">
      <c r="A125" s="41"/>
      <c r="B125" s="42"/>
      <c r="C125" s="42"/>
      <c r="D125" s="42"/>
      <c r="E125" s="42"/>
      <c r="F125" s="42"/>
    </row>
    <row r="126" customFormat="false" ht="15" hidden="false" customHeight="true" outlineLevel="0" collapsed="false">
      <c r="A126" s="41"/>
      <c r="B126" s="42"/>
      <c r="C126" s="42"/>
      <c r="D126" s="42"/>
      <c r="E126" s="42"/>
      <c r="F126" s="42"/>
    </row>
    <row r="127" customFormat="false" ht="15" hidden="false" customHeight="true" outlineLevel="0" collapsed="false">
      <c r="A127" s="41"/>
      <c r="B127" s="42"/>
      <c r="C127" s="42"/>
      <c r="D127" s="42"/>
      <c r="E127" s="42"/>
      <c r="F127" s="42"/>
    </row>
    <row r="128" customFormat="false" ht="15" hidden="false" customHeight="true" outlineLevel="0" collapsed="false">
      <c r="A128" s="41"/>
      <c r="B128" s="42"/>
      <c r="C128" s="42"/>
      <c r="D128" s="42"/>
      <c r="E128" s="42"/>
      <c r="F128" s="42"/>
    </row>
    <row r="129" customFormat="false" ht="15" hidden="false" customHeight="true" outlineLevel="0" collapsed="false">
      <c r="A129" s="41"/>
      <c r="B129" s="42"/>
      <c r="C129" s="42"/>
      <c r="D129" s="42"/>
      <c r="E129" s="42"/>
      <c r="F129" s="42"/>
    </row>
    <row r="130" customFormat="false" ht="15" hidden="false" customHeight="true" outlineLevel="0" collapsed="false">
      <c r="A130" s="41"/>
      <c r="B130" s="42"/>
      <c r="C130" s="42"/>
      <c r="D130" s="42"/>
      <c r="E130" s="42"/>
      <c r="F130" s="42"/>
    </row>
    <row r="131" customFormat="false" ht="15" hidden="false" customHeight="true" outlineLevel="0" collapsed="false">
      <c r="A131" s="41"/>
      <c r="B131" s="42"/>
      <c r="C131" s="42"/>
      <c r="D131" s="42"/>
      <c r="E131" s="42"/>
      <c r="F131" s="42"/>
    </row>
    <row r="132" customFormat="false" ht="15" hidden="false" customHeight="true" outlineLevel="0" collapsed="false">
      <c r="A132" s="41"/>
      <c r="B132" s="42"/>
      <c r="C132" s="42"/>
      <c r="D132" s="42"/>
      <c r="E132" s="42"/>
      <c r="F132" s="42"/>
    </row>
    <row r="133" customFormat="false" ht="15" hidden="false" customHeight="true" outlineLevel="0" collapsed="false">
      <c r="A133" s="41"/>
      <c r="B133" s="42"/>
      <c r="C133" s="42"/>
      <c r="D133" s="42"/>
      <c r="E133" s="42"/>
      <c r="F133" s="42"/>
    </row>
    <row r="134" customFormat="false" ht="15" hidden="false" customHeight="true" outlineLevel="0" collapsed="false">
      <c r="A134" s="41"/>
      <c r="B134" s="42"/>
      <c r="C134" s="42"/>
      <c r="D134" s="42"/>
      <c r="E134" s="42"/>
      <c r="F134" s="42"/>
    </row>
    <row r="135" customFormat="false" ht="15" hidden="false" customHeight="true" outlineLevel="0" collapsed="false">
      <c r="A135" s="41"/>
      <c r="B135" s="42"/>
      <c r="C135" s="42"/>
      <c r="D135" s="42"/>
      <c r="E135" s="42"/>
      <c r="F135" s="42"/>
    </row>
    <row r="136" customFormat="false" ht="15" hidden="false" customHeight="true" outlineLevel="0" collapsed="false">
      <c r="A136" s="41"/>
      <c r="B136" s="42"/>
      <c r="C136" s="42"/>
      <c r="D136" s="42"/>
      <c r="E136" s="42"/>
      <c r="F136" s="42"/>
    </row>
    <row r="137" customFormat="false" ht="15" hidden="false" customHeight="true" outlineLevel="0" collapsed="false">
      <c r="A137" s="41"/>
      <c r="B137" s="42"/>
      <c r="C137" s="42"/>
      <c r="D137" s="42"/>
      <c r="E137" s="42"/>
      <c r="F137" s="42"/>
    </row>
    <row r="138" customFormat="false" ht="15" hidden="false" customHeight="true" outlineLevel="0" collapsed="false">
      <c r="A138" s="41"/>
      <c r="B138" s="42"/>
      <c r="C138" s="42"/>
      <c r="D138" s="42"/>
      <c r="E138" s="42"/>
      <c r="F138" s="42"/>
    </row>
    <row r="139" customFormat="false" ht="15" hidden="false" customHeight="true" outlineLevel="0" collapsed="false">
      <c r="A139" s="41"/>
      <c r="B139" s="42"/>
      <c r="C139" s="42"/>
      <c r="D139" s="42"/>
      <c r="E139" s="42"/>
      <c r="F139" s="42"/>
    </row>
    <row r="140" customFormat="false" ht="15" hidden="false" customHeight="true" outlineLevel="0" collapsed="false">
      <c r="A140" s="41"/>
      <c r="B140" s="42"/>
      <c r="C140" s="42"/>
      <c r="D140" s="42"/>
      <c r="E140" s="42"/>
      <c r="F140" s="42"/>
    </row>
    <row r="141" customFormat="false" ht="15" hidden="false" customHeight="true" outlineLevel="0" collapsed="false">
      <c r="A141" s="41"/>
      <c r="B141" s="42"/>
      <c r="C141" s="42"/>
      <c r="D141" s="42"/>
      <c r="E141" s="42"/>
      <c r="F141" s="42"/>
    </row>
    <row r="142" customFormat="false" ht="15" hidden="false" customHeight="true" outlineLevel="0" collapsed="false">
      <c r="A142" s="41"/>
      <c r="B142" s="42"/>
      <c r="C142" s="42"/>
      <c r="D142" s="42"/>
      <c r="E142" s="42"/>
      <c r="F142" s="42"/>
    </row>
    <row r="143" customFormat="false" ht="15" hidden="false" customHeight="true" outlineLevel="0" collapsed="false">
      <c r="A143" s="41"/>
      <c r="B143" s="42"/>
      <c r="C143" s="42"/>
      <c r="D143" s="42"/>
      <c r="E143" s="42"/>
      <c r="F143" s="42"/>
    </row>
    <row r="144" customFormat="false" ht="15" hidden="false" customHeight="true" outlineLevel="0" collapsed="false">
      <c r="A144" s="41"/>
      <c r="B144" s="42"/>
      <c r="C144" s="42"/>
      <c r="D144" s="42"/>
      <c r="E144" s="42"/>
      <c r="F144" s="42"/>
    </row>
    <row r="145" customFormat="false" ht="15" hidden="false" customHeight="true" outlineLevel="0" collapsed="false">
      <c r="A145" s="41"/>
      <c r="B145" s="42"/>
      <c r="C145" s="42"/>
      <c r="D145" s="42"/>
      <c r="E145" s="42"/>
      <c r="F145" s="42"/>
    </row>
    <row r="146" customFormat="false" ht="15" hidden="false" customHeight="true" outlineLevel="0" collapsed="false">
      <c r="A146" s="41"/>
      <c r="B146" s="42"/>
      <c r="C146" s="42"/>
      <c r="D146" s="42"/>
      <c r="E146" s="42"/>
      <c r="F146" s="42"/>
    </row>
    <row r="147" customFormat="false" ht="15" hidden="false" customHeight="true" outlineLevel="0" collapsed="false">
      <c r="A147" s="41"/>
      <c r="B147" s="42"/>
      <c r="C147" s="42"/>
      <c r="D147" s="42"/>
      <c r="E147" s="42"/>
      <c r="F147" s="42"/>
    </row>
    <row r="148" customFormat="false" ht="15" hidden="false" customHeight="true" outlineLevel="0" collapsed="false">
      <c r="A148" s="41"/>
      <c r="B148" s="42"/>
      <c r="C148" s="42"/>
      <c r="D148" s="42"/>
      <c r="E148" s="42"/>
      <c r="F148" s="42"/>
    </row>
    <row r="149" customFormat="false" ht="15" hidden="false" customHeight="true" outlineLevel="0" collapsed="false">
      <c r="A149" s="41"/>
      <c r="B149" s="42"/>
      <c r="C149" s="42"/>
      <c r="D149" s="42"/>
      <c r="E149" s="42"/>
      <c r="F149" s="42"/>
    </row>
    <row r="150" customFormat="false" ht="15" hidden="false" customHeight="true" outlineLevel="0" collapsed="false">
      <c r="A150" s="41"/>
      <c r="B150" s="42"/>
      <c r="C150" s="42"/>
      <c r="D150" s="42"/>
      <c r="E150" s="42"/>
      <c r="F150" s="42"/>
    </row>
    <row r="151" customFormat="false" ht="15" hidden="false" customHeight="true" outlineLevel="0" collapsed="false">
      <c r="A151" s="41"/>
      <c r="B151" s="42"/>
      <c r="C151" s="42"/>
      <c r="D151" s="42"/>
      <c r="E151" s="42"/>
      <c r="F151" s="42"/>
    </row>
    <row r="152" customFormat="false" ht="15" hidden="false" customHeight="true" outlineLevel="0" collapsed="false">
      <c r="A152" s="41"/>
      <c r="B152" s="42"/>
      <c r="C152" s="42"/>
      <c r="D152" s="42"/>
      <c r="E152" s="42"/>
      <c r="F152" s="42"/>
    </row>
    <row r="153" customFormat="false" ht="15" hidden="false" customHeight="true" outlineLevel="0" collapsed="false">
      <c r="A153" s="41"/>
      <c r="B153" s="42"/>
      <c r="C153" s="42"/>
      <c r="D153" s="42"/>
      <c r="E153" s="42"/>
      <c r="F153" s="42"/>
    </row>
    <row r="154" customFormat="false" ht="15" hidden="false" customHeight="true" outlineLevel="0" collapsed="false">
      <c r="A154" s="41"/>
      <c r="B154" s="42"/>
      <c r="C154" s="42"/>
      <c r="D154" s="42"/>
      <c r="E154" s="42"/>
      <c r="F154" s="42"/>
    </row>
    <row r="155" customFormat="false" ht="15" hidden="false" customHeight="true" outlineLevel="0" collapsed="false">
      <c r="A155" s="41"/>
      <c r="B155" s="42"/>
      <c r="C155" s="42"/>
      <c r="D155" s="42"/>
      <c r="E155" s="42"/>
      <c r="F155" s="42"/>
    </row>
    <row r="156" customFormat="false" ht="15" hidden="false" customHeight="true" outlineLevel="0" collapsed="false">
      <c r="A156" s="41"/>
      <c r="B156" s="42"/>
      <c r="C156" s="42"/>
      <c r="D156" s="42"/>
      <c r="E156" s="42"/>
      <c r="F156" s="42"/>
    </row>
    <row r="157" customFormat="false" ht="15" hidden="false" customHeight="true" outlineLevel="0" collapsed="false">
      <c r="A157" s="41"/>
      <c r="B157" s="42"/>
      <c r="C157" s="42"/>
      <c r="D157" s="42"/>
      <c r="E157" s="42"/>
      <c r="F157" s="42"/>
    </row>
    <row r="158" customFormat="false" ht="15" hidden="false" customHeight="true" outlineLevel="0" collapsed="false">
      <c r="A158" s="41"/>
      <c r="B158" s="42"/>
      <c r="C158" s="42"/>
      <c r="D158" s="42"/>
      <c r="E158" s="42"/>
      <c r="F158" s="42"/>
    </row>
    <row r="159" customFormat="false" ht="15" hidden="false" customHeight="true" outlineLevel="0" collapsed="false">
      <c r="A159" s="41"/>
      <c r="B159" s="42"/>
      <c r="C159" s="42"/>
      <c r="D159" s="42"/>
      <c r="E159" s="42"/>
      <c r="F159" s="42"/>
    </row>
    <row r="160" customFormat="false" ht="15" hidden="false" customHeight="true" outlineLevel="0" collapsed="false">
      <c r="A160" s="41"/>
      <c r="B160" s="42"/>
      <c r="C160" s="42"/>
      <c r="D160" s="42"/>
      <c r="E160" s="42"/>
      <c r="F160" s="42"/>
    </row>
    <row r="161" customFormat="false" ht="15" hidden="false" customHeight="true" outlineLevel="0" collapsed="false">
      <c r="A161" s="41"/>
      <c r="B161" s="42"/>
      <c r="C161" s="42"/>
      <c r="D161" s="42"/>
      <c r="E161" s="42"/>
      <c r="F161" s="42"/>
    </row>
    <row r="162" customFormat="false" ht="15" hidden="false" customHeight="true" outlineLevel="0" collapsed="false">
      <c r="A162" s="41"/>
      <c r="B162" s="42"/>
      <c r="C162" s="42"/>
      <c r="D162" s="42"/>
      <c r="E162" s="42"/>
      <c r="F162" s="42"/>
    </row>
    <row r="163" customFormat="false" ht="15" hidden="false" customHeight="true" outlineLevel="0" collapsed="false">
      <c r="A163" s="41"/>
      <c r="B163" s="42"/>
      <c r="C163" s="42"/>
      <c r="D163" s="42"/>
      <c r="E163" s="42"/>
      <c r="F163" s="42"/>
    </row>
    <row r="164" customFormat="false" ht="15" hidden="false" customHeight="true" outlineLevel="0" collapsed="false">
      <c r="A164" s="41"/>
      <c r="B164" s="42"/>
      <c r="C164" s="42"/>
      <c r="D164" s="42"/>
      <c r="E164" s="42"/>
      <c r="F164" s="42"/>
    </row>
    <row r="165" customFormat="false" ht="15" hidden="false" customHeight="true" outlineLevel="0" collapsed="false">
      <c r="A165" s="41"/>
      <c r="B165" s="42"/>
      <c r="C165" s="42"/>
      <c r="D165" s="42"/>
      <c r="E165" s="42"/>
      <c r="F165" s="42"/>
    </row>
    <row r="166" customFormat="false" ht="15" hidden="false" customHeight="true" outlineLevel="0" collapsed="false">
      <c r="A166" s="41"/>
      <c r="B166" s="42"/>
      <c r="C166" s="42"/>
      <c r="D166" s="42"/>
      <c r="E166" s="42"/>
      <c r="F166" s="42"/>
    </row>
    <row r="167" customFormat="false" ht="15" hidden="false" customHeight="true" outlineLevel="0" collapsed="false">
      <c r="A167" s="41"/>
      <c r="B167" s="42"/>
      <c r="C167" s="42"/>
      <c r="D167" s="42"/>
      <c r="E167" s="42"/>
      <c r="F167" s="42"/>
    </row>
    <row r="168" customFormat="false" ht="15" hidden="false" customHeight="true" outlineLevel="0" collapsed="false">
      <c r="A168" s="41"/>
      <c r="B168" s="42"/>
      <c r="C168" s="42"/>
      <c r="D168" s="42"/>
      <c r="E168" s="42"/>
      <c r="F168" s="42"/>
    </row>
    <row r="169" customFormat="false" ht="15" hidden="false" customHeight="true" outlineLevel="0" collapsed="false">
      <c r="A169" s="41"/>
      <c r="B169" s="42"/>
      <c r="C169" s="42"/>
      <c r="D169" s="42"/>
      <c r="E169" s="42"/>
      <c r="F169" s="42"/>
    </row>
    <row r="170" customFormat="false" ht="15" hidden="false" customHeight="true" outlineLevel="0" collapsed="false">
      <c r="A170" s="41"/>
      <c r="B170" s="42"/>
      <c r="C170" s="42"/>
      <c r="D170" s="42"/>
      <c r="E170" s="42"/>
      <c r="F170" s="42"/>
    </row>
    <row r="171" customFormat="false" ht="15" hidden="false" customHeight="true" outlineLevel="0" collapsed="false">
      <c r="A171" s="41"/>
      <c r="B171" s="42"/>
      <c r="C171" s="42"/>
      <c r="D171" s="42"/>
      <c r="E171" s="42"/>
      <c r="F171" s="42"/>
    </row>
    <row r="172" customFormat="false" ht="15" hidden="false" customHeight="true" outlineLevel="0" collapsed="false">
      <c r="A172" s="41"/>
      <c r="B172" s="42"/>
      <c r="C172" s="42"/>
      <c r="D172" s="42"/>
      <c r="E172" s="42"/>
      <c r="F172" s="42"/>
    </row>
    <row r="173" customFormat="false" ht="15" hidden="false" customHeight="true" outlineLevel="0" collapsed="false">
      <c r="A173" s="41"/>
      <c r="B173" s="42"/>
      <c r="C173" s="42"/>
      <c r="D173" s="42"/>
      <c r="E173" s="42"/>
      <c r="F173" s="42"/>
    </row>
    <row r="174" customFormat="false" ht="15" hidden="false" customHeight="true" outlineLevel="0" collapsed="false">
      <c r="A174" s="41"/>
      <c r="B174" s="42"/>
      <c r="C174" s="42"/>
      <c r="D174" s="42"/>
      <c r="E174" s="42"/>
      <c r="F174" s="42"/>
    </row>
    <row r="175" customFormat="false" ht="15" hidden="false" customHeight="true" outlineLevel="0" collapsed="false">
      <c r="A175" s="41"/>
      <c r="B175" s="42"/>
      <c r="C175" s="42"/>
      <c r="D175" s="42"/>
      <c r="E175" s="42"/>
      <c r="F175" s="42"/>
    </row>
    <row r="176" customFormat="false" ht="15" hidden="false" customHeight="true" outlineLevel="0" collapsed="false">
      <c r="A176" s="41"/>
      <c r="B176" s="42"/>
      <c r="C176" s="42"/>
      <c r="D176" s="42"/>
      <c r="E176" s="42"/>
      <c r="F176" s="42"/>
    </row>
    <row r="177" customFormat="false" ht="15" hidden="false" customHeight="true" outlineLevel="0" collapsed="false">
      <c r="A177" s="41"/>
      <c r="B177" s="42"/>
      <c r="C177" s="42"/>
      <c r="D177" s="42"/>
      <c r="E177" s="42"/>
      <c r="F177" s="42"/>
    </row>
    <row r="178" customFormat="false" ht="15" hidden="false" customHeight="true" outlineLevel="0" collapsed="false">
      <c r="A178" s="41"/>
      <c r="B178" s="42"/>
      <c r="C178" s="42"/>
      <c r="D178" s="42"/>
      <c r="E178" s="42"/>
      <c r="F178" s="42"/>
    </row>
    <row r="179" customFormat="false" ht="15" hidden="false" customHeight="true" outlineLevel="0" collapsed="false">
      <c r="A179" s="41"/>
      <c r="B179" s="42"/>
      <c r="C179" s="42"/>
      <c r="D179" s="42"/>
      <c r="E179" s="42"/>
      <c r="F179" s="42"/>
    </row>
    <row r="180" customFormat="false" ht="15" hidden="false" customHeight="true" outlineLevel="0" collapsed="false">
      <c r="A180" s="41"/>
      <c r="B180" s="42"/>
      <c r="C180" s="42"/>
      <c r="D180" s="42"/>
      <c r="E180" s="42"/>
      <c r="F180" s="42"/>
    </row>
    <row r="181" customFormat="false" ht="15" hidden="false" customHeight="true" outlineLevel="0" collapsed="false">
      <c r="A181" s="41"/>
      <c r="B181" s="42"/>
      <c r="C181" s="42"/>
      <c r="D181" s="42"/>
      <c r="E181" s="42"/>
      <c r="F181" s="42"/>
    </row>
    <row r="182" customFormat="false" ht="15" hidden="false" customHeight="true" outlineLevel="0" collapsed="false">
      <c r="A182" s="41"/>
      <c r="B182" s="42"/>
      <c r="C182" s="42"/>
      <c r="D182" s="42"/>
      <c r="E182" s="42"/>
      <c r="F182" s="42"/>
    </row>
    <row r="183" customFormat="false" ht="15" hidden="false" customHeight="true" outlineLevel="0" collapsed="false">
      <c r="A183" s="41"/>
      <c r="B183" s="42"/>
      <c r="C183" s="42"/>
      <c r="D183" s="42"/>
      <c r="E183" s="42"/>
      <c r="F183" s="42"/>
    </row>
    <row r="184" customFormat="false" ht="15" hidden="false" customHeight="true" outlineLevel="0" collapsed="false">
      <c r="A184" s="41"/>
      <c r="B184" s="42"/>
      <c r="C184" s="42"/>
      <c r="D184" s="42"/>
      <c r="E184" s="42"/>
      <c r="F184" s="42"/>
    </row>
    <row r="185" customFormat="false" ht="15" hidden="false" customHeight="true" outlineLevel="0" collapsed="false">
      <c r="A185" s="41"/>
      <c r="B185" s="42"/>
      <c r="C185" s="42"/>
      <c r="D185" s="42"/>
      <c r="E185" s="42"/>
      <c r="F185" s="42"/>
    </row>
    <row r="186" customFormat="false" ht="15" hidden="false" customHeight="true" outlineLevel="0" collapsed="false">
      <c r="A186" s="41"/>
      <c r="B186" s="42"/>
      <c r="C186" s="42"/>
      <c r="D186" s="42"/>
      <c r="E186" s="42"/>
      <c r="F186" s="42"/>
    </row>
    <row r="187" customFormat="false" ht="15" hidden="false" customHeight="true" outlineLevel="0" collapsed="false">
      <c r="A187" s="41"/>
      <c r="B187" s="42"/>
      <c r="C187" s="42"/>
      <c r="D187" s="42"/>
      <c r="E187" s="42"/>
      <c r="F187" s="42"/>
    </row>
    <row r="188" customFormat="false" ht="15" hidden="false" customHeight="true" outlineLevel="0" collapsed="false">
      <c r="A188" s="41"/>
      <c r="B188" s="42"/>
      <c r="C188" s="42"/>
      <c r="D188" s="42"/>
      <c r="E188" s="42"/>
      <c r="F188" s="42"/>
    </row>
    <row r="189" customFormat="false" ht="15" hidden="false" customHeight="true" outlineLevel="0" collapsed="false">
      <c r="A189" s="41"/>
      <c r="B189" s="42"/>
      <c r="C189" s="42"/>
      <c r="D189" s="42"/>
      <c r="E189" s="42"/>
      <c r="F189" s="42"/>
    </row>
    <row r="190" customFormat="false" ht="15" hidden="false" customHeight="true" outlineLevel="0" collapsed="false">
      <c r="A190" s="41"/>
      <c r="B190" s="42"/>
      <c r="C190" s="42"/>
      <c r="D190" s="42"/>
      <c r="E190" s="42"/>
      <c r="F190" s="42"/>
    </row>
    <row r="191" customFormat="false" ht="15" hidden="false" customHeight="true" outlineLevel="0" collapsed="false">
      <c r="A191" s="41"/>
      <c r="B191" s="42"/>
      <c r="C191" s="42"/>
      <c r="D191" s="42"/>
      <c r="E191" s="42"/>
      <c r="F191" s="42"/>
    </row>
    <row r="192" customFormat="false" ht="15" hidden="false" customHeight="true" outlineLevel="0" collapsed="false">
      <c r="A192" s="41"/>
      <c r="B192" s="42"/>
      <c r="C192" s="42"/>
      <c r="D192" s="42"/>
      <c r="E192" s="42"/>
      <c r="F192" s="42"/>
    </row>
    <row r="193" customFormat="false" ht="15" hidden="false" customHeight="true" outlineLevel="0" collapsed="false">
      <c r="A193" s="41"/>
      <c r="B193" s="42"/>
      <c r="C193" s="42"/>
      <c r="D193" s="42"/>
      <c r="E193" s="42"/>
      <c r="F193" s="42"/>
    </row>
    <row r="194" customFormat="false" ht="15" hidden="false" customHeight="true" outlineLevel="0" collapsed="false">
      <c r="A194" s="41"/>
      <c r="B194" s="42"/>
      <c r="C194" s="42"/>
      <c r="D194" s="42"/>
      <c r="E194" s="42"/>
      <c r="F194" s="42"/>
    </row>
    <row r="195" customFormat="false" ht="15" hidden="false" customHeight="true" outlineLevel="0" collapsed="false">
      <c r="A195" s="41"/>
      <c r="B195" s="42"/>
      <c r="C195" s="42"/>
      <c r="D195" s="42"/>
      <c r="E195" s="42"/>
      <c r="F195" s="42"/>
    </row>
    <row r="196" customFormat="false" ht="15" hidden="false" customHeight="true" outlineLevel="0" collapsed="false">
      <c r="A196" s="41"/>
      <c r="B196" s="42"/>
      <c r="C196" s="42"/>
      <c r="D196" s="42"/>
      <c r="E196" s="42"/>
      <c r="F196" s="42"/>
    </row>
    <row r="197" customFormat="false" ht="15" hidden="false" customHeight="true" outlineLevel="0" collapsed="false">
      <c r="A197" s="41"/>
      <c r="B197" s="42"/>
      <c r="C197" s="42"/>
      <c r="D197" s="42"/>
      <c r="E197" s="42"/>
      <c r="F197" s="42"/>
    </row>
    <row r="198" customFormat="false" ht="15" hidden="false" customHeight="true" outlineLevel="0" collapsed="false">
      <c r="A198" s="41"/>
      <c r="B198" s="42"/>
      <c r="C198" s="42"/>
      <c r="D198" s="42"/>
      <c r="E198" s="42"/>
      <c r="F198" s="42"/>
    </row>
    <row r="199" customFormat="false" ht="15" hidden="false" customHeight="true" outlineLevel="0" collapsed="false">
      <c r="A199" s="41"/>
      <c r="B199" s="42"/>
      <c r="C199" s="42"/>
      <c r="D199" s="42"/>
      <c r="E199" s="42"/>
      <c r="F199" s="42"/>
    </row>
    <row r="200" customFormat="false" ht="15" hidden="false" customHeight="true" outlineLevel="0" collapsed="false">
      <c r="A200" s="41"/>
      <c r="B200" s="42"/>
      <c r="C200" s="42"/>
      <c r="D200" s="42"/>
      <c r="E200" s="42"/>
      <c r="F200" s="42"/>
    </row>
    <row r="201" customFormat="false" ht="15" hidden="false" customHeight="true" outlineLevel="0" collapsed="false">
      <c r="A201" s="41"/>
      <c r="B201" s="42"/>
      <c r="C201" s="42"/>
      <c r="D201" s="42"/>
      <c r="E201" s="42"/>
      <c r="F201" s="42"/>
    </row>
    <row r="202" customFormat="false" ht="15" hidden="false" customHeight="true" outlineLevel="0" collapsed="false">
      <c r="A202" s="41"/>
      <c r="B202" s="42"/>
      <c r="C202" s="42"/>
      <c r="D202" s="42"/>
      <c r="E202" s="42"/>
      <c r="F202" s="42"/>
    </row>
    <row r="203" customFormat="false" ht="15" hidden="false" customHeight="true" outlineLevel="0" collapsed="false">
      <c r="A203" s="41"/>
      <c r="B203" s="42"/>
      <c r="C203" s="42"/>
      <c r="D203" s="42"/>
      <c r="E203" s="42"/>
      <c r="F203" s="42"/>
    </row>
    <row r="204" customFormat="false" ht="15" hidden="false" customHeight="true" outlineLevel="0" collapsed="false">
      <c r="A204" s="41"/>
      <c r="B204" s="42"/>
      <c r="C204" s="42"/>
      <c r="D204" s="42"/>
      <c r="E204" s="42"/>
      <c r="F204" s="42"/>
    </row>
    <row r="205" customFormat="false" ht="15" hidden="false" customHeight="true" outlineLevel="0" collapsed="false">
      <c r="A205" s="41"/>
      <c r="B205" s="42"/>
      <c r="C205" s="42"/>
      <c r="D205" s="42"/>
      <c r="E205" s="42"/>
      <c r="F205" s="42"/>
    </row>
    <row r="206" customFormat="false" ht="15" hidden="false" customHeight="true" outlineLevel="0" collapsed="false">
      <c r="A206" s="41"/>
      <c r="B206" s="42"/>
      <c r="C206" s="42"/>
      <c r="D206" s="42"/>
      <c r="E206" s="42"/>
      <c r="F206" s="42"/>
    </row>
    <row r="207" customFormat="false" ht="15" hidden="false" customHeight="true" outlineLevel="0" collapsed="false">
      <c r="A207" s="41"/>
      <c r="B207" s="42"/>
      <c r="C207" s="42"/>
      <c r="D207" s="42"/>
      <c r="E207" s="42"/>
      <c r="F207" s="42"/>
    </row>
    <row r="208" customFormat="false" ht="15" hidden="false" customHeight="true" outlineLevel="0" collapsed="false">
      <c r="A208" s="41"/>
      <c r="B208" s="42"/>
      <c r="C208" s="42"/>
      <c r="D208" s="42"/>
      <c r="E208" s="42"/>
      <c r="F208" s="42"/>
    </row>
    <row r="209" customFormat="false" ht="15" hidden="false" customHeight="true" outlineLevel="0" collapsed="false">
      <c r="A209" s="41"/>
      <c r="B209" s="42"/>
      <c r="C209" s="42"/>
      <c r="D209" s="42"/>
      <c r="E209" s="42"/>
      <c r="F209" s="42"/>
    </row>
    <row r="210" customFormat="false" ht="15" hidden="false" customHeight="true" outlineLevel="0" collapsed="false">
      <c r="A210" s="41"/>
      <c r="B210" s="42"/>
      <c r="C210" s="42"/>
      <c r="D210" s="42"/>
      <c r="E210" s="42"/>
      <c r="F210" s="42"/>
    </row>
    <row r="211" customFormat="false" ht="15" hidden="false" customHeight="true" outlineLevel="0" collapsed="false">
      <c r="A211" s="41"/>
      <c r="B211" s="42"/>
      <c r="C211" s="42"/>
      <c r="D211" s="42"/>
      <c r="E211" s="42"/>
      <c r="F211" s="42"/>
    </row>
    <row r="212" customFormat="false" ht="15" hidden="false" customHeight="true" outlineLevel="0" collapsed="false">
      <c r="A212" s="41"/>
      <c r="B212" s="42"/>
      <c r="C212" s="42"/>
      <c r="D212" s="42"/>
      <c r="E212" s="42"/>
      <c r="F212" s="42"/>
    </row>
    <row r="213" customFormat="false" ht="15" hidden="false" customHeight="true" outlineLevel="0" collapsed="false">
      <c r="A213" s="41"/>
      <c r="B213" s="42"/>
      <c r="C213" s="42"/>
      <c r="D213" s="42"/>
      <c r="E213" s="42"/>
      <c r="F213" s="42"/>
    </row>
    <row r="214" customFormat="false" ht="15" hidden="false" customHeight="true" outlineLevel="0" collapsed="false">
      <c r="A214" s="41"/>
      <c r="B214" s="42"/>
      <c r="C214" s="42"/>
      <c r="D214" s="42"/>
      <c r="E214" s="42"/>
      <c r="F214" s="42"/>
    </row>
    <row r="215" customFormat="false" ht="15" hidden="false" customHeight="true" outlineLevel="0" collapsed="false">
      <c r="A215" s="41"/>
      <c r="B215" s="42"/>
      <c r="C215" s="42"/>
      <c r="D215" s="42"/>
      <c r="E215" s="42"/>
      <c r="F215" s="42"/>
    </row>
    <row r="216" customFormat="false" ht="15" hidden="false" customHeight="true" outlineLevel="0" collapsed="false">
      <c r="A216" s="41"/>
      <c r="B216" s="42"/>
      <c r="C216" s="42"/>
      <c r="D216" s="42"/>
      <c r="E216" s="42"/>
      <c r="F216" s="42"/>
    </row>
    <row r="217" customFormat="false" ht="15" hidden="false" customHeight="true" outlineLevel="0" collapsed="false">
      <c r="A217" s="41"/>
      <c r="B217" s="42"/>
      <c r="C217" s="42"/>
      <c r="D217" s="42"/>
      <c r="E217" s="42"/>
      <c r="F217" s="42"/>
    </row>
    <row r="218" customFormat="false" ht="15" hidden="false" customHeight="true" outlineLevel="0" collapsed="false">
      <c r="A218" s="41"/>
      <c r="B218" s="42"/>
      <c r="C218" s="42"/>
      <c r="D218" s="42"/>
      <c r="E218" s="42"/>
      <c r="F218" s="42"/>
    </row>
    <row r="219" customFormat="false" ht="15" hidden="false" customHeight="true" outlineLevel="0" collapsed="false">
      <c r="A219" s="41"/>
      <c r="B219" s="42"/>
      <c r="C219" s="42"/>
      <c r="D219" s="42"/>
      <c r="E219" s="42"/>
      <c r="F219" s="42"/>
    </row>
    <row r="220" customFormat="false" ht="15" hidden="false" customHeight="true" outlineLevel="0" collapsed="false">
      <c r="A220" s="41"/>
      <c r="B220" s="42"/>
      <c r="C220" s="42"/>
      <c r="D220" s="42"/>
      <c r="E220" s="42"/>
      <c r="F220" s="42"/>
    </row>
    <row r="221" customFormat="false" ht="15" hidden="false" customHeight="true" outlineLevel="0" collapsed="false">
      <c r="A221" s="41"/>
      <c r="B221" s="42"/>
      <c r="C221" s="42"/>
      <c r="D221" s="42"/>
      <c r="E221" s="42"/>
      <c r="F221" s="42"/>
    </row>
    <row r="222" customFormat="false" ht="15" hidden="false" customHeight="true" outlineLevel="0" collapsed="false">
      <c r="A222" s="41"/>
      <c r="B222" s="42"/>
      <c r="C222" s="42"/>
      <c r="D222" s="42"/>
      <c r="E222" s="42"/>
      <c r="F222" s="42"/>
    </row>
    <row r="223" customFormat="false" ht="15" hidden="false" customHeight="true" outlineLevel="0" collapsed="false">
      <c r="A223" s="41"/>
      <c r="B223" s="42"/>
      <c r="C223" s="42"/>
      <c r="D223" s="42"/>
      <c r="E223" s="42"/>
      <c r="F223" s="42"/>
    </row>
    <row r="224" customFormat="false" ht="15" hidden="false" customHeight="true" outlineLevel="0" collapsed="false">
      <c r="A224" s="41"/>
      <c r="B224" s="42"/>
      <c r="C224" s="42"/>
      <c r="D224" s="42"/>
      <c r="E224" s="42"/>
      <c r="F224" s="42"/>
    </row>
    <row r="225" customFormat="false" ht="15" hidden="false" customHeight="true" outlineLevel="0" collapsed="false">
      <c r="A225" s="41"/>
      <c r="B225" s="42"/>
      <c r="C225" s="42"/>
      <c r="D225" s="42"/>
      <c r="E225" s="42"/>
      <c r="F225" s="42"/>
    </row>
    <row r="226" customFormat="false" ht="15" hidden="false" customHeight="true" outlineLevel="0" collapsed="false">
      <c r="A226" s="41"/>
      <c r="B226" s="42"/>
      <c r="C226" s="42"/>
      <c r="D226" s="42"/>
      <c r="E226" s="42"/>
      <c r="F226" s="42"/>
    </row>
    <row r="227" customFormat="false" ht="15" hidden="false" customHeight="true" outlineLevel="0" collapsed="false">
      <c r="A227" s="41"/>
      <c r="B227" s="42"/>
      <c r="C227" s="42"/>
      <c r="D227" s="42"/>
      <c r="E227" s="42"/>
      <c r="F227" s="42"/>
    </row>
    <row r="228" customFormat="false" ht="15" hidden="false" customHeight="true" outlineLevel="0" collapsed="false">
      <c r="A228" s="41"/>
      <c r="B228" s="42"/>
      <c r="C228" s="42"/>
      <c r="D228" s="42"/>
      <c r="E228" s="42"/>
      <c r="F228" s="42"/>
    </row>
    <row r="229" customFormat="false" ht="15" hidden="false" customHeight="true" outlineLevel="0" collapsed="false">
      <c r="A229" s="41"/>
      <c r="B229" s="42"/>
      <c r="C229" s="42"/>
      <c r="D229" s="42"/>
      <c r="E229" s="42"/>
      <c r="F229" s="42"/>
    </row>
    <row r="230" customFormat="false" ht="15" hidden="false" customHeight="true" outlineLevel="0" collapsed="false">
      <c r="A230" s="41"/>
      <c r="B230" s="42"/>
      <c r="C230" s="42"/>
      <c r="D230" s="42"/>
      <c r="E230" s="42"/>
      <c r="F230" s="42"/>
    </row>
    <row r="231" customFormat="false" ht="15" hidden="false" customHeight="true" outlineLevel="0" collapsed="false">
      <c r="A231" s="41"/>
      <c r="B231" s="42"/>
      <c r="C231" s="42"/>
      <c r="D231" s="42"/>
      <c r="E231" s="42"/>
      <c r="F231" s="42"/>
    </row>
    <row r="232" customFormat="false" ht="15" hidden="false" customHeight="true" outlineLevel="0" collapsed="false">
      <c r="A232" s="41"/>
      <c r="B232" s="42"/>
      <c r="C232" s="42"/>
      <c r="D232" s="42"/>
      <c r="E232" s="42"/>
      <c r="F232" s="42"/>
    </row>
    <row r="233" customFormat="false" ht="15" hidden="false" customHeight="true" outlineLevel="0" collapsed="false">
      <c r="A233" s="41"/>
      <c r="B233" s="42"/>
      <c r="C233" s="42"/>
      <c r="D233" s="42"/>
      <c r="E233" s="42"/>
      <c r="F233" s="42"/>
    </row>
    <row r="234" customFormat="false" ht="15" hidden="false" customHeight="true" outlineLevel="0" collapsed="false">
      <c r="A234" s="41"/>
      <c r="B234" s="42"/>
      <c r="C234" s="42"/>
      <c r="D234" s="42"/>
      <c r="E234" s="42"/>
      <c r="F234" s="42"/>
    </row>
    <row r="235" customFormat="false" ht="15" hidden="false" customHeight="true" outlineLevel="0" collapsed="false">
      <c r="A235" s="41"/>
      <c r="B235" s="42"/>
      <c r="C235" s="42"/>
      <c r="D235" s="42"/>
      <c r="E235" s="42"/>
      <c r="F235" s="42"/>
    </row>
    <row r="236" customFormat="false" ht="15" hidden="false" customHeight="true" outlineLevel="0" collapsed="false">
      <c r="A236" s="41"/>
      <c r="B236" s="42"/>
      <c r="C236" s="42"/>
      <c r="D236" s="42"/>
      <c r="E236" s="42"/>
      <c r="F236" s="42"/>
    </row>
    <row r="237" customFormat="false" ht="15" hidden="false" customHeight="true" outlineLevel="0" collapsed="false">
      <c r="A237" s="41"/>
      <c r="B237" s="42"/>
      <c r="C237" s="42"/>
      <c r="D237" s="42"/>
      <c r="E237" s="42"/>
      <c r="F237" s="42"/>
    </row>
    <row r="238" customFormat="false" ht="15" hidden="false" customHeight="true" outlineLevel="0" collapsed="false">
      <c r="A238" s="41"/>
      <c r="B238" s="42"/>
      <c r="C238" s="42"/>
      <c r="D238" s="42"/>
      <c r="E238" s="42"/>
      <c r="F238" s="42"/>
    </row>
    <row r="239" customFormat="false" ht="15" hidden="false" customHeight="true" outlineLevel="0" collapsed="false">
      <c r="A239" s="41"/>
      <c r="B239" s="42"/>
      <c r="C239" s="42"/>
      <c r="D239" s="42"/>
      <c r="E239" s="42"/>
      <c r="F239" s="42"/>
    </row>
    <row r="240" customFormat="false" ht="15" hidden="false" customHeight="true" outlineLevel="0" collapsed="false">
      <c r="A240" s="41"/>
      <c r="B240" s="42"/>
      <c r="C240" s="42"/>
      <c r="D240" s="42"/>
      <c r="E240" s="42"/>
      <c r="F240" s="42"/>
    </row>
    <row r="241" customFormat="false" ht="15" hidden="false" customHeight="true" outlineLevel="0" collapsed="false">
      <c r="A241" s="41"/>
      <c r="B241" s="42"/>
      <c r="C241" s="42"/>
      <c r="D241" s="42"/>
      <c r="E241" s="42"/>
      <c r="F241" s="42"/>
    </row>
    <row r="242" customFormat="false" ht="15" hidden="false" customHeight="true" outlineLevel="0" collapsed="false">
      <c r="A242" s="41"/>
      <c r="B242" s="42"/>
      <c r="C242" s="42"/>
      <c r="D242" s="42"/>
      <c r="E242" s="42"/>
      <c r="F242" s="42"/>
    </row>
    <row r="243" customFormat="false" ht="15" hidden="false" customHeight="true" outlineLevel="0" collapsed="false">
      <c r="A243" s="41"/>
      <c r="B243" s="42"/>
      <c r="C243" s="42"/>
      <c r="D243" s="42"/>
      <c r="E243" s="42"/>
      <c r="F243" s="42"/>
    </row>
    <row r="244" customFormat="false" ht="15" hidden="false" customHeight="true" outlineLevel="0" collapsed="false">
      <c r="A244" s="41"/>
      <c r="B244" s="42"/>
      <c r="C244" s="42"/>
      <c r="D244" s="42"/>
      <c r="E244" s="42"/>
      <c r="F244" s="42"/>
    </row>
    <row r="245" customFormat="false" ht="15" hidden="false" customHeight="true" outlineLevel="0" collapsed="false">
      <c r="A245" s="41"/>
      <c r="B245" s="42"/>
      <c r="C245" s="42"/>
      <c r="D245" s="42"/>
      <c r="E245" s="42"/>
      <c r="F245" s="42"/>
    </row>
    <row r="246" customFormat="false" ht="15" hidden="false" customHeight="true" outlineLevel="0" collapsed="false">
      <c r="A246" s="41"/>
      <c r="B246" s="42"/>
      <c r="C246" s="42"/>
      <c r="D246" s="42"/>
      <c r="E246" s="42"/>
      <c r="F246" s="42"/>
    </row>
    <row r="247" customFormat="false" ht="15" hidden="false" customHeight="true" outlineLevel="0" collapsed="false">
      <c r="A247" s="41"/>
      <c r="B247" s="42"/>
      <c r="C247" s="42"/>
      <c r="D247" s="42"/>
      <c r="E247" s="42"/>
      <c r="F247" s="42"/>
    </row>
    <row r="248" customFormat="false" ht="15" hidden="false" customHeight="true" outlineLevel="0" collapsed="false">
      <c r="A248" s="41"/>
      <c r="B248" s="42"/>
      <c r="C248" s="42"/>
      <c r="D248" s="42"/>
      <c r="E248" s="42"/>
      <c r="F248" s="42"/>
    </row>
    <row r="249" customFormat="false" ht="15" hidden="false" customHeight="true" outlineLevel="0" collapsed="false">
      <c r="A249" s="41"/>
      <c r="B249" s="42"/>
      <c r="C249" s="42"/>
      <c r="D249" s="42"/>
      <c r="E249" s="42"/>
      <c r="F249" s="42"/>
    </row>
    <row r="250" customFormat="false" ht="15" hidden="false" customHeight="true" outlineLevel="0" collapsed="false">
      <c r="A250" s="41"/>
      <c r="B250" s="42"/>
      <c r="C250" s="42"/>
      <c r="D250" s="42"/>
      <c r="E250" s="42"/>
      <c r="F250" s="42"/>
    </row>
    <row r="251" customFormat="false" ht="15" hidden="false" customHeight="true" outlineLevel="0" collapsed="false">
      <c r="A251" s="41"/>
      <c r="B251" s="42"/>
      <c r="C251" s="42"/>
      <c r="D251" s="42"/>
      <c r="E251" s="42"/>
      <c r="F251" s="42"/>
    </row>
    <row r="252" customFormat="false" ht="15" hidden="false" customHeight="true" outlineLevel="0" collapsed="false">
      <c r="A252" s="41"/>
      <c r="B252" s="42"/>
      <c r="C252" s="42"/>
      <c r="D252" s="42"/>
      <c r="E252" s="42"/>
      <c r="F252" s="42"/>
    </row>
    <row r="253" customFormat="false" ht="15" hidden="false" customHeight="true" outlineLevel="0" collapsed="false">
      <c r="A253" s="41"/>
      <c r="B253" s="42"/>
      <c r="C253" s="42"/>
      <c r="D253" s="42"/>
      <c r="E253" s="42"/>
      <c r="F253" s="42"/>
    </row>
    <row r="254" customFormat="false" ht="15" hidden="false" customHeight="true" outlineLevel="0" collapsed="false">
      <c r="A254" s="41"/>
      <c r="B254" s="42"/>
      <c r="C254" s="42"/>
      <c r="D254" s="42"/>
      <c r="E254" s="42"/>
      <c r="F254" s="42"/>
    </row>
    <row r="255" customFormat="false" ht="15" hidden="false" customHeight="true" outlineLevel="0" collapsed="false">
      <c r="A255" s="41"/>
      <c r="B255" s="42"/>
      <c r="C255" s="42"/>
      <c r="D255" s="42"/>
      <c r="E255" s="42"/>
      <c r="F255" s="42"/>
    </row>
    <row r="256" customFormat="false" ht="15" hidden="false" customHeight="true" outlineLevel="0" collapsed="false">
      <c r="A256" s="41"/>
      <c r="B256" s="42"/>
      <c r="C256" s="42"/>
      <c r="D256" s="42"/>
      <c r="E256" s="42"/>
      <c r="F256" s="42"/>
    </row>
    <row r="257" customFormat="false" ht="15" hidden="false" customHeight="true" outlineLevel="0" collapsed="false">
      <c r="A257" s="41"/>
      <c r="B257" s="42"/>
      <c r="C257" s="42"/>
      <c r="D257" s="42"/>
      <c r="E257" s="42"/>
      <c r="F257" s="42"/>
    </row>
    <row r="258" customFormat="false" ht="15" hidden="false" customHeight="true" outlineLevel="0" collapsed="false">
      <c r="A258" s="41"/>
      <c r="B258" s="42"/>
      <c r="C258" s="42"/>
      <c r="D258" s="42"/>
      <c r="E258" s="42"/>
      <c r="F258" s="42"/>
    </row>
    <row r="259" customFormat="false" ht="15" hidden="false" customHeight="true" outlineLevel="0" collapsed="false">
      <c r="A259" s="41"/>
      <c r="B259" s="42"/>
      <c r="C259" s="42"/>
      <c r="D259" s="42"/>
      <c r="E259" s="42"/>
      <c r="F259" s="42"/>
    </row>
    <row r="260" customFormat="false" ht="15" hidden="false" customHeight="true" outlineLevel="0" collapsed="false">
      <c r="A260" s="41"/>
      <c r="B260" s="42"/>
      <c r="C260" s="42"/>
      <c r="D260" s="42"/>
      <c r="E260" s="42"/>
      <c r="F260" s="42"/>
    </row>
    <row r="261" customFormat="false" ht="15" hidden="false" customHeight="true" outlineLevel="0" collapsed="false">
      <c r="A261" s="41"/>
      <c r="B261" s="42"/>
      <c r="C261" s="42"/>
      <c r="D261" s="42"/>
      <c r="E261" s="42"/>
      <c r="F261" s="42"/>
    </row>
    <row r="262" customFormat="false" ht="15" hidden="false" customHeight="true" outlineLevel="0" collapsed="false">
      <c r="A262" s="41"/>
      <c r="B262" s="42"/>
      <c r="C262" s="42"/>
      <c r="D262" s="42"/>
      <c r="E262" s="42"/>
      <c r="F262" s="42"/>
    </row>
    <row r="263" customFormat="false" ht="15" hidden="false" customHeight="true" outlineLevel="0" collapsed="false">
      <c r="A263" s="41"/>
      <c r="B263" s="42"/>
      <c r="C263" s="42"/>
      <c r="D263" s="42"/>
      <c r="E263" s="42"/>
      <c r="F263" s="42"/>
    </row>
    <row r="264" customFormat="false" ht="15" hidden="false" customHeight="true" outlineLevel="0" collapsed="false">
      <c r="A264" s="41"/>
      <c r="B264" s="42"/>
      <c r="C264" s="42"/>
      <c r="D264" s="42"/>
      <c r="E264" s="42"/>
      <c r="F264" s="42"/>
    </row>
    <row r="265" customFormat="false" ht="15" hidden="false" customHeight="true" outlineLevel="0" collapsed="false">
      <c r="A265" s="41"/>
      <c r="B265" s="42"/>
      <c r="C265" s="42"/>
      <c r="D265" s="42"/>
      <c r="E265" s="42"/>
      <c r="F265" s="42"/>
    </row>
    <row r="266" customFormat="false" ht="15" hidden="false" customHeight="true" outlineLevel="0" collapsed="false">
      <c r="A266" s="41"/>
      <c r="B266" s="42"/>
      <c r="C266" s="42"/>
      <c r="D266" s="42"/>
      <c r="E266" s="42"/>
      <c r="F266" s="42"/>
    </row>
    <row r="267" customFormat="false" ht="15" hidden="false" customHeight="true" outlineLevel="0" collapsed="false">
      <c r="A267" s="41"/>
      <c r="B267" s="42"/>
      <c r="C267" s="42"/>
      <c r="D267" s="42"/>
      <c r="E267" s="42"/>
      <c r="F267" s="42"/>
    </row>
    <row r="268" customFormat="false" ht="15" hidden="false" customHeight="true" outlineLevel="0" collapsed="false">
      <c r="A268" s="41"/>
      <c r="B268" s="42"/>
      <c r="C268" s="42"/>
      <c r="D268" s="42"/>
      <c r="E268" s="42"/>
      <c r="F268" s="42"/>
    </row>
    <row r="269" customFormat="false" ht="15" hidden="false" customHeight="true" outlineLevel="0" collapsed="false">
      <c r="A269" s="41"/>
      <c r="B269" s="42"/>
      <c r="C269" s="42"/>
      <c r="D269" s="42"/>
      <c r="E269" s="42"/>
      <c r="F269" s="42"/>
    </row>
    <row r="270" customFormat="false" ht="15" hidden="false" customHeight="true" outlineLevel="0" collapsed="false">
      <c r="A270" s="41"/>
      <c r="B270" s="42"/>
      <c r="C270" s="42"/>
      <c r="D270" s="42"/>
      <c r="E270" s="42"/>
      <c r="F270" s="42"/>
    </row>
    <row r="271" customFormat="false" ht="15" hidden="false" customHeight="true" outlineLevel="0" collapsed="false">
      <c r="A271" s="41"/>
      <c r="B271" s="42"/>
      <c r="C271" s="42"/>
      <c r="D271" s="42"/>
      <c r="E271" s="42"/>
      <c r="F271" s="42"/>
    </row>
    <row r="272" customFormat="false" ht="15" hidden="false" customHeight="true" outlineLevel="0" collapsed="false">
      <c r="A272" s="41"/>
      <c r="B272" s="42"/>
      <c r="C272" s="42"/>
      <c r="D272" s="42"/>
      <c r="E272" s="42"/>
      <c r="F272" s="42"/>
    </row>
    <row r="273" customFormat="false" ht="15" hidden="false" customHeight="true" outlineLevel="0" collapsed="false">
      <c r="A273" s="41"/>
      <c r="B273" s="42"/>
      <c r="C273" s="42"/>
      <c r="D273" s="42"/>
      <c r="E273" s="42"/>
      <c r="F273" s="42"/>
    </row>
    <row r="274" customFormat="false" ht="15" hidden="false" customHeight="true" outlineLevel="0" collapsed="false">
      <c r="A274" s="41"/>
      <c r="B274" s="42"/>
      <c r="C274" s="42"/>
      <c r="D274" s="42"/>
      <c r="E274" s="42"/>
      <c r="F274" s="42"/>
    </row>
    <row r="275" customFormat="false" ht="15" hidden="false" customHeight="true" outlineLevel="0" collapsed="false">
      <c r="A275" s="41"/>
      <c r="B275" s="42"/>
      <c r="C275" s="42"/>
      <c r="D275" s="42"/>
      <c r="E275" s="42"/>
      <c r="F275" s="42"/>
    </row>
    <row r="276" customFormat="false" ht="15" hidden="false" customHeight="true" outlineLevel="0" collapsed="false">
      <c r="A276" s="41"/>
      <c r="B276" s="42"/>
      <c r="C276" s="42"/>
      <c r="D276" s="42"/>
      <c r="E276" s="42"/>
      <c r="F276" s="42"/>
    </row>
    <row r="277" customFormat="false" ht="15" hidden="false" customHeight="true" outlineLevel="0" collapsed="false">
      <c r="A277" s="41"/>
      <c r="B277" s="42"/>
      <c r="C277" s="42"/>
      <c r="D277" s="42"/>
      <c r="E277" s="42"/>
      <c r="F277" s="42"/>
    </row>
    <row r="278" customFormat="false" ht="15" hidden="false" customHeight="true" outlineLevel="0" collapsed="false">
      <c r="A278" s="41"/>
      <c r="B278" s="42"/>
      <c r="C278" s="42"/>
      <c r="D278" s="42"/>
      <c r="E278" s="42"/>
      <c r="F278" s="42"/>
    </row>
    <row r="279" customFormat="false" ht="15" hidden="false" customHeight="true" outlineLevel="0" collapsed="false">
      <c r="A279" s="41"/>
      <c r="B279" s="42"/>
      <c r="C279" s="42"/>
      <c r="D279" s="42"/>
      <c r="E279" s="42"/>
      <c r="F279" s="42"/>
    </row>
    <row r="280" customFormat="false" ht="15" hidden="false" customHeight="true" outlineLevel="0" collapsed="false">
      <c r="A280" s="41"/>
      <c r="B280" s="42"/>
      <c r="C280" s="42"/>
      <c r="D280" s="42"/>
      <c r="E280" s="42"/>
      <c r="F280" s="42"/>
    </row>
    <row r="281" customFormat="false" ht="15" hidden="false" customHeight="true" outlineLevel="0" collapsed="false">
      <c r="A281" s="41"/>
      <c r="B281" s="42"/>
      <c r="C281" s="42"/>
      <c r="D281" s="42"/>
      <c r="E281" s="42"/>
      <c r="F281" s="42"/>
    </row>
    <row r="282" customFormat="false" ht="15" hidden="false" customHeight="true" outlineLevel="0" collapsed="false">
      <c r="A282" s="41"/>
      <c r="B282" s="42"/>
      <c r="C282" s="42"/>
      <c r="D282" s="42"/>
      <c r="E282" s="42"/>
      <c r="F282" s="42"/>
    </row>
    <row r="283" customFormat="false" ht="15" hidden="false" customHeight="true" outlineLevel="0" collapsed="false">
      <c r="A283" s="41"/>
      <c r="B283" s="42"/>
      <c r="C283" s="42"/>
      <c r="D283" s="42"/>
      <c r="E283" s="42"/>
      <c r="F283" s="42"/>
    </row>
    <row r="284" customFormat="false" ht="15" hidden="false" customHeight="true" outlineLevel="0" collapsed="false">
      <c r="A284" s="41"/>
      <c r="B284" s="42"/>
      <c r="C284" s="42"/>
      <c r="D284" s="42"/>
      <c r="E284" s="42"/>
      <c r="F284" s="42"/>
    </row>
    <row r="285" customFormat="false" ht="15" hidden="false" customHeight="true" outlineLevel="0" collapsed="false">
      <c r="A285" s="41"/>
      <c r="B285" s="42"/>
      <c r="C285" s="42"/>
      <c r="D285" s="42"/>
      <c r="E285" s="42"/>
      <c r="F285" s="42"/>
    </row>
    <row r="286" customFormat="false" ht="15" hidden="false" customHeight="true" outlineLevel="0" collapsed="false">
      <c r="A286" s="41"/>
      <c r="B286" s="42"/>
      <c r="C286" s="42"/>
      <c r="D286" s="42"/>
      <c r="E286" s="42"/>
      <c r="F286" s="42"/>
    </row>
    <row r="287" customFormat="false" ht="15" hidden="false" customHeight="true" outlineLevel="0" collapsed="false">
      <c r="A287" s="41"/>
      <c r="B287" s="42"/>
      <c r="C287" s="42"/>
      <c r="D287" s="42"/>
      <c r="E287" s="42"/>
      <c r="F287" s="42"/>
    </row>
    <row r="288" customFormat="false" ht="15" hidden="false" customHeight="true" outlineLevel="0" collapsed="false">
      <c r="A288" s="41"/>
      <c r="B288" s="42"/>
      <c r="C288" s="42"/>
      <c r="D288" s="42"/>
      <c r="E288" s="42"/>
      <c r="F288" s="42"/>
    </row>
    <row r="289" customFormat="false" ht="15" hidden="false" customHeight="true" outlineLevel="0" collapsed="false">
      <c r="A289" s="41"/>
      <c r="B289" s="42"/>
      <c r="C289" s="42"/>
      <c r="D289" s="42"/>
      <c r="E289" s="42"/>
      <c r="F289" s="42"/>
    </row>
    <row r="290" customFormat="false" ht="15" hidden="false" customHeight="true" outlineLevel="0" collapsed="false">
      <c r="A290" s="41"/>
      <c r="B290" s="42"/>
      <c r="C290" s="42"/>
      <c r="D290" s="42"/>
      <c r="E290" s="42"/>
      <c r="F290" s="42"/>
    </row>
    <row r="291" customFormat="false" ht="15" hidden="false" customHeight="true" outlineLevel="0" collapsed="false">
      <c r="A291" s="41"/>
      <c r="B291" s="42"/>
      <c r="C291" s="42"/>
      <c r="D291" s="42"/>
      <c r="E291" s="42"/>
      <c r="F291" s="42"/>
    </row>
    <row r="292" customFormat="false" ht="15" hidden="false" customHeight="true" outlineLevel="0" collapsed="false">
      <c r="A292" s="41"/>
      <c r="B292" s="42"/>
      <c r="C292" s="42"/>
      <c r="D292" s="42"/>
      <c r="E292" s="42"/>
      <c r="F292" s="42"/>
    </row>
    <row r="293" customFormat="false" ht="15" hidden="false" customHeight="true" outlineLevel="0" collapsed="false">
      <c r="A293" s="41"/>
      <c r="B293" s="42"/>
      <c r="C293" s="42"/>
      <c r="D293" s="42"/>
      <c r="E293" s="42"/>
      <c r="F293" s="42"/>
    </row>
    <row r="294" customFormat="false" ht="15" hidden="false" customHeight="true" outlineLevel="0" collapsed="false">
      <c r="A294" s="41"/>
      <c r="B294" s="42"/>
      <c r="C294" s="42"/>
      <c r="D294" s="42"/>
      <c r="E294" s="42"/>
      <c r="F294" s="42"/>
    </row>
    <row r="295" customFormat="false" ht="15" hidden="false" customHeight="true" outlineLevel="0" collapsed="false">
      <c r="A295" s="41"/>
      <c r="B295" s="42"/>
      <c r="C295" s="42"/>
      <c r="D295" s="42"/>
      <c r="E295" s="42"/>
      <c r="F295" s="42"/>
    </row>
    <row r="296" customFormat="false" ht="15" hidden="false" customHeight="true" outlineLevel="0" collapsed="false">
      <c r="A296" s="41"/>
      <c r="B296" s="42"/>
      <c r="C296" s="42"/>
      <c r="D296" s="42"/>
      <c r="E296" s="42"/>
      <c r="F296" s="42"/>
    </row>
    <row r="297" customFormat="false" ht="15" hidden="false" customHeight="true" outlineLevel="0" collapsed="false">
      <c r="A297" s="41"/>
      <c r="B297" s="42"/>
      <c r="C297" s="42"/>
      <c r="D297" s="42"/>
      <c r="E297" s="42"/>
      <c r="F297" s="42"/>
    </row>
    <row r="298" customFormat="false" ht="15" hidden="false" customHeight="true" outlineLevel="0" collapsed="false">
      <c r="A298" s="41"/>
      <c r="B298" s="42"/>
      <c r="C298" s="42"/>
      <c r="D298" s="42"/>
      <c r="E298" s="42"/>
      <c r="F298" s="42"/>
    </row>
    <row r="299" customFormat="false" ht="15" hidden="false" customHeight="true" outlineLevel="0" collapsed="false">
      <c r="A299" s="41"/>
      <c r="B299" s="42"/>
      <c r="C299" s="42"/>
      <c r="D299" s="42"/>
      <c r="E299" s="42"/>
      <c r="F299" s="42"/>
    </row>
    <row r="300" customFormat="false" ht="15" hidden="false" customHeight="true" outlineLevel="0" collapsed="false">
      <c r="A300" s="41"/>
      <c r="B300" s="42"/>
      <c r="C300" s="42"/>
      <c r="D300" s="42"/>
      <c r="E300" s="42"/>
      <c r="F300" s="42"/>
    </row>
    <row r="301" customFormat="false" ht="15" hidden="false" customHeight="true" outlineLevel="0" collapsed="false">
      <c r="A301" s="41"/>
      <c r="B301" s="42"/>
      <c r="C301" s="42"/>
      <c r="D301" s="42"/>
      <c r="E301" s="42"/>
      <c r="F301" s="42"/>
    </row>
    <row r="302" customFormat="false" ht="15" hidden="false" customHeight="true" outlineLevel="0" collapsed="false">
      <c r="A302" s="41"/>
      <c r="B302" s="42"/>
      <c r="C302" s="42"/>
      <c r="D302" s="42"/>
      <c r="E302" s="42"/>
      <c r="F302" s="42"/>
    </row>
    <row r="303" customFormat="false" ht="15" hidden="false" customHeight="true" outlineLevel="0" collapsed="false">
      <c r="A303" s="41"/>
      <c r="B303" s="42"/>
      <c r="C303" s="42"/>
      <c r="D303" s="42"/>
      <c r="E303" s="42"/>
      <c r="F303" s="42"/>
    </row>
    <row r="304" customFormat="false" ht="15" hidden="false" customHeight="true" outlineLevel="0" collapsed="false">
      <c r="A304" s="41"/>
      <c r="B304" s="42"/>
      <c r="C304" s="42"/>
      <c r="D304" s="42"/>
      <c r="E304" s="42"/>
      <c r="F304" s="42"/>
    </row>
    <row r="305" customFormat="false" ht="15" hidden="false" customHeight="true" outlineLevel="0" collapsed="false">
      <c r="A305" s="41"/>
      <c r="B305" s="42"/>
      <c r="C305" s="42"/>
      <c r="D305" s="42"/>
      <c r="E305" s="42"/>
      <c r="F305" s="42"/>
    </row>
    <row r="306" customFormat="false" ht="15" hidden="false" customHeight="true" outlineLevel="0" collapsed="false">
      <c r="A306" s="41"/>
      <c r="B306" s="42"/>
      <c r="C306" s="42"/>
      <c r="D306" s="42"/>
      <c r="E306" s="42"/>
      <c r="F306" s="42"/>
    </row>
    <row r="307" customFormat="false" ht="15" hidden="false" customHeight="true" outlineLevel="0" collapsed="false">
      <c r="A307" s="41"/>
      <c r="B307" s="42"/>
      <c r="C307" s="42"/>
      <c r="D307" s="42"/>
      <c r="E307" s="42"/>
      <c r="F307" s="42"/>
    </row>
    <row r="308" customFormat="false" ht="15" hidden="false" customHeight="true" outlineLevel="0" collapsed="false">
      <c r="A308" s="41"/>
      <c r="B308" s="42"/>
      <c r="C308" s="42"/>
      <c r="D308" s="42"/>
      <c r="E308" s="42"/>
      <c r="F308" s="42"/>
    </row>
    <row r="309" customFormat="false" ht="15" hidden="false" customHeight="true" outlineLevel="0" collapsed="false">
      <c r="A309" s="41"/>
      <c r="B309" s="42"/>
      <c r="C309" s="42"/>
      <c r="D309" s="42"/>
      <c r="E309" s="42"/>
      <c r="F309" s="42"/>
    </row>
    <row r="310" customFormat="false" ht="15" hidden="false" customHeight="true" outlineLevel="0" collapsed="false">
      <c r="A310" s="41"/>
      <c r="B310" s="42"/>
      <c r="C310" s="42"/>
      <c r="D310" s="42"/>
      <c r="E310" s="42"/>
      <c r="F310" s="42"/>
    </row>
    <row r="311" customFormat="false" ht="15" hidden="false" customHeight="true" outlineLevel="0" collapsed="false">
      <c r="A311" s="41"/>
      <c r="B311" s="42"/>
      <c r="C311" s="42"/>
      <c r="D311" s="42"/>
      <c r="E311" s="42"/>
      <c r="F311" s="42"/>
    </row>
    <row r="312" customFormat="false" ht="15" hidden="false" customHeight="true" outlineLevel="0" collapsed="false">
      <c r="A312" s="41"/>
      <c r="B312" s="42"/>
      <c r="C312" s="42"/>
      <c r="D312" s="42"/>
      <c r="E312" s="42"/>
      <c r="F312" s="42"/>
    </row>
    <row r="313" customFormat="false" ht="15" hidden="false" customHeight="true" outlineLevel="0" collapsed="false">
      <c r="A313" s="41"/>
      <c r="B313" s="42"/>
      <c r="C313" s="42"/>
      <c r="D313" s="42"/>
      <c r="E313" s="42"/>
      <c r="F313" s="42"/>
    </row>
    <row r="314" customFormat="false" ht="15" hidden="false" customHeight="true" outlineLevel="0" collapsed="false">
      <c r="A314" s="41"/>
      <c r="B314" s="42"/>
      <c r="C314" s="42"/>
      <c r="D314" s="42"/>
      <c r="E314" s="42"/>
      <c r="F314" s="42"/>
    </row>
    <row r="315" customFormat="false" ht="15" hidden="false" customHeight="true" outlineLevel="0" collapsed="false">
      <c r="A315" s="41"/>
      <c r="B315" s="42"/>
      <c r="C315" s="42"/>
      <c r="D315" s="42"/>
      <c r="E315" s="42"/>
      <c r="F315" s="42"/>
    </row>
    <row r="316" customFormat="false" ht="15" hidden="false" customHeight="true" outlineLevel="0" collapsed="false">
      <c r="A316" s="41"/>
      <c r="B316" s="42"/>
      <c r="C316" s="42"/>
      <c r="D316" s="42"/>
      <c r="E316" s="42"/>
      <c r="F316" s="42"/>
    </row>
    <row r="317" customFormat="false" ht="15" hidden="false" customHeight="true" outlineLevel="0" collapsed="false">
      <c r="A317" s="41"/>
      <c r="B317" s="42"/>
      <c r="C317" s="42"/>
      <c r="D317" s="42"/>
      <c r="E317" s="42"/>
      <c r="F317" s="42"/>
    </row>
    <row r="318" customFormat="false" ht="15" hidden="false" customHeight="true" outlineLevel="0" collapsed="false">
      <c r="A318" s="41"/>
      <c r="B318" s="42"/>
      <c r="C318" s="42"/>
      <c r="D318" s="42"/>
      <c r="E318" s="42"/>
      <c r="F318" s="42"/>
    </row>
    <row r="319" customFormat="false" ht="15" hidden="false" customHeight="true" outlineLevel="0" collapsed="false">
      <c r="A319" s="41"/>
      <c r="B319" s="42"/>
      <c r="C319" s="42"/>
      <c r="D319" s="42"/>
      <c r="E319" s="42"/>
      <c r="F319" s="42"/>
    </row>
    <row r="320" customFormat="false" ht="15" hidden="false" customHeight="true" outlineLevel="0" collapsed="false">
      <c r="A320" s="41"/>
      <c r="B320" s="42"/>
      <c r="C320" s="42"/>
      <c r="D320" s="42"/>
      <c r="E320" s="42"/>
      <c r="F320" s="42"/>
    </row>
    <row r="321" customFormat="false" ht="15" hidden="false" customHeight="true" outlineLevel="0" collapsed="false">
      <c r="A321" s="41"/>
      <c r="B321" s="42"/>
      <c r="C321" s="42"/>
      <c r="D321" s="42"/>
      <c r="E321" s="42"/>
      <c r="F321" s="42"/>
    </row>
    <row r="322" customFormat="false" ht="15" hidden="false" customHeight="true" outlineLevel="0" collapsed="false">
      <c r="A322" s="41"/>
      <c r="B322" s="42"/>
      <c r="C322" s="42"/>
      <c r="D322" s="42"/>
      <c r="E322" s="42"/>
      <c r="F322" s="42"/>
    </row>
    <row r="323" customFormat="false" ht="15" hidden="false" customHeight="true" outlineLevel="0" collapsed="false">
      <c r="A323" s="41"/>
      <c r="B323" s="42"/>
      <c r="C323" s="42"/>
      <c r="D323" s="42"/>
      <c r="E323" s="42"/>
      <c r="F323" s="42"/>
    </row>
    <row r="324" customFormat="false" ht="15" hidden="false" customHeight="true" outlineLevel="0" collapsed="false">
      <c r="A324" s="41"/>
      <c r="B324" s="42"/>
      <c r="C324" s="42"/>
      <c r="D324" s="42"/>
      <c r="E324" s="42"/>
      <c r="F324" s="42"/>
    </row>
    <row r="325" customFormat="false" ht="15" hidden="false" customHeight="true" outlineLevel="0" collapsed="false">
      <c r="A325" s="41"/>
      <c r="B325" s="42"/>
      <c r="C325" s="42"/>
      <c r="D325" s="42"/>
      <c r="E325" s="42"/>
      <c r="F325" s="42"/>
    </row>
    <row r="326" customFormat="false" ht="15" hidden="false" customHeight="true" outlineLevel="0" collapsed="false">
      <c r="A326" s="41"/>
      <c r="B326" s="42"/>
      <c r="C326" s="42"/>
      <c r="D326" s="42"/>
      <c r="E326" s="42"/>
      <c r="F326" s="42"/>
    </row>
    <row r="327" customFormat="false" ht="15" hidden="false" customHeight="true" outlineLevel="0" collapsed="false">
      <c r="A327" s="41"/>
      <c r="B327" s="42"/>
      <c r="C327" s="42"/>
      <c r="D327" s="42"/>
      <c r="E327" s="42"/>
      <c r="F327" s="42"/>
    </row>
    <row r="328" customFormat="false" ht="15" hidden="false" customHeight="true" outlineLevel="0" collapsed="false">
      <c r="A328" s="41"/>
      <c r="B328" s="42"/>
      <c r="C328" s="42"/>
      <c r="D328" s="42"/>
      <c r="E328" s="42"/>
      <c r="F328" s="42"/>
    </row>
    <row r="329" customFormat="false" ht="15" hidden="false" customHeight="true" outlineLevel="0" collapsed="false">
      <c r="A329" s="41"/>
      <c r="B329" s="42"/>
      <c r="C329" s="42"/>
      <c r="D329" s="42"/>
      <c r="E329" s="42"/>
      <c r="F329" s="42"/>
    </row>
    <row r="330" customFormat="false" ht="15" hidden="false" customHeight="true" outlineLevel="0" collapsed="false">
      <c r="A330" s="41"/>
      <c r="B330" s="42"/>
      <c r="C330" s="42"/>
      <c r="D330" s="42"/>
      <c r="E330" s="42"/>
      <c r="F330" s="42"/>
    </row>
    <row r="331" customFormat="false" ht="15" hidden="false" customHeight="true" outlineLevel="0" collapsed="false">
      <c r="A331" s="41"/>
      <c r="B331" s="42"/>
      <c r="C331" s="42"/>
      <c r="D331" s="42"/>
      <c r="E331" s="42"/>
      <c r="F331" s="42"/>
    </row>
    <row r="332" customFormat="false" ht="15" hidden="false" customHeight="true" outlineLevel="0" collapsed="false">
      <c r="A332" s="41"/>
      <c r="B332" s="42"/>
      <c r="C332" s="42"/>
      <c r="D332" s="42"/>
      <c r="E332" s="42"/>
      <c r="F332" s="42"/>
    </row>
    <row r="333" customFormat="false" ht="15" hidden="false" customHeight="true" outlineLevel="0" collapsed="false">
      <c r="A333" s="41"/>
      <c r="B333" s="42"/>
      <c r="C333" s="42"/>
      <c r="D333" s="42"/>
      <c r="E333" s="42"/>
      <c r="F333" s="42"/>
    </row>
    <row r="334" customFormat="false" ht="15" hidden="false" customHeight="true" outlineLevel="0" collapsed="false">
      <c r="A334" s="41"/>
      <c r="B334" s="42"/>
      <c r="C334" s="42"/>
      <c r="D334" s="42"/>
      <c r="E334" s="42"/>
      <c r="F334" s="42"/>
    </row>
    <row r="335" customFormat="false" ht="15" hidden="false" customHeight="true" outlineLevel="0" collapsed="false">
      <c r="A335" s="41"/>
      <c r="B335" s="42"/>
      <c r="C335" s="42"/>
      <c r="D335" s="42"/>
      <c r="E335" s="42"/>
      <c r="F335" s="42"/>
    </row>
    <row r="336" customFormat="false" ht="15" hidden="false" customHeight="true" outlineLevel="0" collapsed="false">
      <c r="A336" s="41"/>
      <c r="B336" s="42"/>
      <c r="C336" s="42"/>
      <c r="D336" s="42"/>
      <c r="E336" s="42"/>
      <c r="F336" s="42"/>
    </row>
    <row r="337" customFormat="false" ht="15" hidden="false" customHeight="true" outlineLevel="0" collapsed="false">
      <c r="A337" s="41"/>
      <c r="B337" s="42"/>
      <c r="C337" s="42"/>
      <c r="D337" s="42"/>
      <c r="E337" s="42"/>
      <c r="F337" s="42"/>
    </row>
    <row r="338" customFormat="false" ht="15" hidden="false" customHeight="true" outlineLevel="0" collapsed="false">
      <c r="A338" s="41"/>
      <c r="B338" s="42"/>
      <c r="C338" s="42"/>
      <c r="D338" s="42"/>
      <c r="E338" s="42"/>
      <c r="F338" s="42"/>
    </row>
    <row r="339" customFormat="false" ht="15" hidden="false" customHeight="true" outlineLevel="0" collapsed="false">
      <c r="A339" s="41"/>
      <c r="B339" s="42"/>
      <c r="C339" s="42"/>
      <c r="D339" s="42"/>
      <c r="E339" s="42"/>
      <c r="F339" s="42"/>
    </row>
    <row r="340" customFormat="false" ht="15" hidden="false" customHeight="true" outlineLevel="0" collapsed="false">
      <c r="A340" s="41"/>
      <c r="B340" s="42"/>
      <c r="C340" s="42"/>
      <c r="D340" s="42"/>
      <c r="E340" s="42"/>
      <c r="F340" s="42"/>
    </row>
    <row r="341" customFormat="false" ht="15" hidden="false" customHeight="true" outlineLevel="0" collapsed="false">
      <c r="A341" s="41"/>
      <c r="B341" s="42"/>
      <c r="C341" s="42"/>
      <c r="D341" s="42"/>
      <c r="E341" s="42"/>
      <c r="F341" s="42"/>
    </row>
    <row r="342" customFormat="false" ht="15" hidden="false" customHeight="true" outlineLevel="0" collapsed="false">
      <c r="A342" s="41"/>
      <c r="B342" s="42"/>
      <c r="C342" s="42"/>
      <c r="D342" s="42"/>
      <c r="E342" s="42"/>
      <c r="F342" s="42"/>
    </row>
    <row r="343" customFormat="false" ht="15" hidden="false" customHeight="true" outlineLevel="0" collapsed="false">
      <c r="A343" s="41"/>
      <c r="B343" s="42"/>
      <c r="C343" s="42"/>
      <c r="D343" s="42"/>
      <c r="E343" s="42"/>
      <c r="F343" s="42"/>
    </row>
    <row r="344" customFormat="false" ht="15" hidden="false" customHeight="true" outlineLevel="0" collapsed="false">
      <c r="A344" s="41"/>
      <c r="B344" s="42"/>
      <c r="C344" s="42"/>
      <c r="D344" s="42"/>
      <c r="E344" s="42"/>
      <c r="F344" s="42"/>
    </row>
    <row r="345" customFormat="false" ht="15" hidden="false" customHeight="true" outlineLevel="0" collapsed="false">
      <c r="A345" s="41"/>
      <c r="B345" s="42"/>
      <c r="C345" s="42"/>
      <c r="D345" s="42"/>
      <c r="E345" s="42"/>
      <c r="F345" s="42"/>
    </row>
    <row r="346" customFormat="false" ht="15" hidden="false" customHeight="true" outlineLevel="0" collapsed="false">
      <c r="A346" s="41"/>
      <c r="B346" s="42"/>
      <c r="C346" s="42"/>
      <c r="D346" s="42"/>
      <c r="E346" s="42"/>
      <c r="F346" s="42"/>
    </row>
    <row r="347" customFormat="false" ht="15" hidden="false" customHeight="true" outlineLevel="0" collapsed="false">
      <c r="A347" s="41"/>
      <c r="B347" s="42"/>
      <c r="C347" s="42"/>
      <c r="D347" s="42"/>
      <c r="E347" s="42"/>
      <c r="F347" s="42"/>
    </row>
    <row r="348" customFormat="false" ht="15" hidden="false" customHeight="true" outlineLevel="0" collapsed="false">
      <c r="A348" s="41"/>
      <c r="B348" s="42"/>
      <c r="C348" s="42"/>
      <c r="D348" s="42"/>
      <c r="E348" s="42"/>
      <c r="F348" s="42"/>
    </row>
    <row r="349" customFormat="false" ht="15" hidden="false" customHeight="true" outlineLevel="0" collapsed="false">
      <c r="A349" s="41"/>
      <c r="B349" s="42"/>
      <c r="C349" s="42"/>
      <c r="D349" s="42"/>
      <c r="E349" s="42"/>
      <c r="F349" s="42"/>
    </row>
    <row r="350" customFormat="false" ht="15" hidden="false" customHeight="true" outlineLevel="0" collapsed="false">
      <c r="A350" s="41"/>
      <c r="B350" s="42"/>
      <c r="C350" s="42"/>
      <c r="D350" s="42"/>
      <c r="E350" s="42"/>
      <c r="F350" s="42"/>
    </row>
    <row r="351" customFormat="false" ht="15" hidden="false" customHeight="true" outlineLevel="0" collapsed="false">
      <c r="A351" s="41"/>
      <c r="B351" s="42"/>
      <c r="C351" s="42"/>
      <c r="D351" s="42"/>
      <c r="E351" s="42"/>
      <c r="F351" s="42"/>
    </row>
    <row r="352" customFormat="false" ht="15" hidden="false" customHeight="true" outlineLevel="0" collapsed="false">
      <c r="A352" s="41"/>
      <c r="B352" s="42"/>
      <c r="C352" s="42"/>
      <c r="D352" s="42"/>
      <c r="E352" s="42"/>
      <c r="F352" s="42"/>
    </row>
    <row r="353" customFormat="false" ht="15" hidden="false" customHeight="true" outlineLevel="0" collapsed="false">
      <c r="A353" s="41"/>
      <c r="B353" s="42"/>
      <c r="C353" s="42"/>
      <c r="D353" s="42"/>
      <c r="E353" s="42"/>
      <c r="F353" s="42"/>
    </row>
    <row r="354" customFormat="false" ht="15" hidden="false" customHeight="true" outlineLevel="0" collapsed="false">
      <c r="A354" s="41"/>
      <c r="B354" s="42"/>
      <c r="C354" s="42"/>
      <c r="D354" s="42"/>
      <c r="E354" s="42"/>
      <c r="F354" s="42"/>
    </row>
    <row r="355" customFormat="false" ht="15" hidden="false" customHeight="true" outlineLevel="0" collapsed="false">
      <c r="A355" s="41"/>
      <c r="B355" s="42"/>
      <c r="C355" s="42"/>
      <c r="D355" s="42"/>
      <c r="E355" s="42"/>
      <c r="F355" s="42"/>
    </row>
    <row r="356" customFormat="false" ht="15" hidden="false" customHeight="true" outlineLevel="0" collapsed="false">
      <c r="A356" s="41"/>
      <c r="B356" s="42"/>
      <c r="C356" s="42"/>
      <c r="D356" s="42"/>
      <c r="E356" s="42"/>
      <c r="F356" s="42"/>
    </row>
    <row r="357" customFormat="false" ht="15" hidden="false" customHeight="true" outlineLevel="0" collapsed="false">
      <c r="A357" s="41"/>
      <c r="B357" s="42"/>
      <c r="C357" s="42"/>
      <c r="D357" s="42"/>
      <c r="E357" s="42"/>
      <c r="F357" s="42"/>
    </row>
    <row r="358" customFormat="false" ht="15" hidden="false" customHeight="true" outlineLevel="0" collapsed="false">
      <c r="A358" s="41"/>
      <c r="B358" s="42"/>
      <c r="C358" s="42"/>
      <c r="D358" s="42"/>
      <c r="E358" s="42"/>
      <c r="F358" s="42"/>
    </row>
    <row r="359" customFormat="false" ht="15" hidden="false" customHeight="true" outlineLevel="0" collapsed="false">
      <c r="A359" s="41"/>
      <c r="B359" s="42"/>
      <c r="C359" s="42"/>
      <c r="D359" s="42"/>
      <c r="E359" s="42"/>
      <c r="F359" s="42"/>
    </row>
    <row r="360" customFormat="false" ht="15" hidden="false" customHeight="true" outlineLevel="0" collapsed="false">
      <c r="A360" s="41"/>
      <c r="B360" s="42"/>
      <c r="C360" s="42"/>
      <c r="D360" s="42"/>
      <c r="E360" s="42"/>
      <c r="F360" s="42"/>
    </row>
    <row r="361" customFormat="false" ht="15" hidden="false" customHeight="true" outlineLevel="0" collapsed="false">
      <c r="A361" s="41"/>
      <c r="B361" s="42"/>
      <c r="C361" s="42"/>
      <c r="D361" s="42"/>
      <c r="E361" s="42"/>
      <c r="F361" s="42"/>
    </row>
    <row r="362" customFormat="false" ht="15" hidden="false" customHeight="true" outlineLevel="0" collapsed="false">
      <c r="A362" s="41"/>
      <c r="B362" s="42"/>
      <c r="C362" s="42"/>
      <c r="D362" s="42"/>
      <c r="E362" s="42"/>
      <c r="F362" s="42"/>
    </row>
    <row r="363" customFormat="false" ht="15" hidden="false" customHeight="true" outlineLevel="0" collapsed="false">
      <c r="A363" s="41"/>
      <c r="B363" s="42"/>
      <c r="C363" s="42"/>
      <c r="D363" s="42"/>
      <c r="E363" s="42"/>
      <c r="F363" s="42"/>
    </row>
    <row r="364" customFormat="false" ht="15" hidden="false" customHeight="true" outlineLevel="0" collapsed="false">
      <c r="A364" s="41"/>
      <c r="B364" s="42"/>
      <c r="C364" s="42"/>
      <c r="D364" s="42"/>
      <c r="E364" s="42"/>
      <c r="F364" s="42"/>
    </row>
    <row r="365" customFormat="false" ht="15" hidden="false" customHeight="true" outlineLevel="0" collapsed="false">
      <c r="A365" s="41"/>
      <c r="B365" s="42"/>
      <c r="C365" s="42"/>
      <c r="D365" s="42"/>
      <c r="E365" s="42"/>
      <c r="F365" s="42"/>
    </row>
    <row r="366" customFormat="false" ht="15" hidden="false" customHeight="true" outlineLevel="0" collapsed="false">
      <c r="A366" s="41"/>
      <c r="B366" s="42"/>
      <c r="C366" s="42"/>
      <c r="D366" s="42"/>
      <c r="E366" s="42"/>
      <c r="F366" s="42"/>
    </row>
    <row r="367" customFormat="false" ht="15" hidden="false" customHeight="true" outlineLevel="0" collapsed="false">
      <c r="A367" s="41"/>
      <c r="B367" s="42"/>
      <c r="C367" s="42"/>
      <c r="D367" s="42"/>
      <c r="E367" s="42"/>
      <c r="F367" s="42"/>
    </row>
    <row r="368" customFormat="false" ht="15" hidden="false" customHeight="true" outlineLevel="0" collapsed="false">
      <c r="A368" s="41"/>
      <c r="B368" s="42"/>
      <c r="C368" s="42"/>
      <c r="D368" s="42"/>
      <c r="E368" s="42"/>
      <c r="F368" s="42"/>
    </row>
    <row r="369" customFormat="false" ht="15" hidden="false" customHeight="true" outlineLevel="0" collapsed="false">
      <c r="A369" s="41"/>
      <c r="B369" s="42"/>
      <c r="C369" s="42"/>
      <c r="D369" s="42"/>
      <c r="E369" s="42"/>
      <c r="F369" s="42"/>
    </row>
    <row r="370" customFormat="false" ht="15" hidden="false" customHeight="true" outlineLevel="0" collapsed="false">
      <c r="A370" s="41"/>
      <c r="B370" s="42"/>
      <c r="C370" s="42"/>
      <c r="D370" s="42"/>
      <c r="E370" s="42"/>
      <c r="F370" s="42"/>
    </row>
    <row r="371" customFormat="false" ht="15" hidden="false" customHeight="true" outlineLevel="0" collapsed="false">
      <c r="A371" s="41"/>
      <c r="B371" s="42"/>
      <c r="C371" s="42"/>
      <c r="D371" s="42"/>
      <c r="E371" s="42"/>
      <c r="F371" s="42"/>
    </row>
    <row r="372" customFormat="false" ht="15" hidden="false" customHeight="true" outlineLevel="0" collapsed="false">
      <c r="A372" s="41"/>
      <c r="B372" s="42"/>
      <c r="C372" s="42"/>
      <c r="D372" s="42"/>
      <c r="E372" s="42"/>
      <c r="F372" s="42"/>
    </row>
    <row r="373" customFormat="false" ht="15" hidden="false" customHeight="true" outlineLevel="0" collapsed="false">
      <c r="A373" s="41"/>
      <c r="B373" s="42"/>
      <c r="C373" s="42"/>
      <c r="D373" s="42"/>
      <c r="E373" s="42"/>
      <c r="F373" s="42"/>
    </row>
    <row r="374" customFormat="false" ht="15" hidden="false" customHeight="true" outlineLevel="0" collapsed="false">
      <c r="A374" s="41"/>
      <c r="B374" s="42"/>
      <c r="C374" s="42"/>
      <c r="D374" s="42"/>
      <c r="E374" s="42"/>
      <c r="F374" s="42"/>
    </row>
    <row r="375" customFormat="false" ht="15" hidden="false" customHeight="true" outlineLevel="0" collapsed="false">
      <c r="A375" s="41"/>
      <c r="B375" s="42"/>
      <c r="C375" s="42"/>
      <c r="D375" s="42"/>
      <c r="E375" s="42"/>
      <c r="F375" s="42"/>
    </row>
    <row r="376" customFormat="false" ht="15" hidden="false" customHeight="true" outlineLevel="0" collapsed="false">
      <c r="A376" s="41"/>
      <c r="B376" s="42"/>
      <c r="C376" s="42"/>
      <c r="D376" s="42"/>
      <c r="E376" s="42"/>
      <c r="F376" s="42"/>
    </row>
    <row r="377" customFormat="false" ht="15" hidden="false" customHeight="true" outlineLevel="0" collapsed="false">
      <c r="A377" s="41"/>
      <c r="B377" s="42"/>
      <c r="C377" s="42"/>
      <c r="D377" s="42"/>
      <c r="E377" s="42"/>
      <c r="F377" s="42"/>
    </row>
    <row r="378" customFormat="false" ht="15" hidden="false" customHeight="true" outlineLevel="0" collapsed="false">
      <c r="A378" s="41"/>
      <c r="B378" s="42"/>
      <c r="C378" s="42"/>
      <c r="D378" s="42"/>
      <c r="E378" s="42"/>
      <c r="F378" s="42"/>
    </row>
    <row r="379" customFormat="false" ht="15" hidden="false" customHeight="true" outlineLevel="0" collapsed="false">
      <c r="A379" s="41"/>
      <c r="B379" s="42"/>
      <c r="C379" s="42"/>
      <c r="D379" s="42"/>
      <c r="E379" s="42"/>
      <c r="F379" s="42"/>
    </row>
    <row r="380" customFormat="false" ht="15" hidden="false" customHeight="true" outlineLevel="0" collapsed="false">
      <c r="A380" s="41"/>
      <c r="B380" s="42"/>
      <c r="C380" s="42"/>
      <c r="D380" s="42"/>
      <c r="E380" s="42"/>
      <c r="F380" s="42"/>
    </row>
    <row r="381" customFormat="false" ht="15" hidden="false" customHeight="true" outlineLevel="0" collapsed="false">
      <c r="A381" s="41"/>
      <c r="B381" s="42"/>
      <c r="C381" s="42"/>
      <c r="D381" s="42"/>
      <c r="E381" s="42"/>
      <c r="F381" s="42"/>
    </row>
    <row r="382" customFormat="false" ht="15" hidden="false" customHeight="true" outlineLevel="0" collapsed="false">
      <c r="A382" s="41"/>
      <c r="B382" s="42"/>
      <c r="C382" s="42"/>
      <c r="D382" s="42"/>
      <c r="E382" s="42"/>
      <c r="F382" s="42"/>
    </row>
    <row r="383" customFormat="false" ht="15" hidden="false" customHeight="true" outlineLevel="0" collapsed="false">
      <c r="A383" s="41"/>
      <c r="B383" s="42"/>
      <c r="C383" s="42"/>
      <c r="D383" s="42"/>
      <c r="E383" s="42"/>
      <c r="F383" s="42"/>
    </row>
    <row r="384" customFormat="false" ht="15" hidden="false" customHeight="true" outlineLevel="0" collapsed="false">
      <c r="A384" s="41"/>
      <c r="B384" s="42"/>
      <c r="C384" s="42"/>
      <c r="D384" s="42"/>
      <c r="E384" s="42"/>
      <c r="F384" s="42"/>
    </row>
    <row r="385" customFormat="false" ht="15" hidden="false" customHeight="true" outlineLevel="0" collapsed="false">
      <c r="A385" s="41"/>
      <c r="B385" s="42"/>
      <c r="C385" s="42"/>
      <c r="D385" s="42"/>
      <c r="E385" s="42"/>
      <c r="F385" s="42"/>
    </row>
    <row r="386" customFormat="false" ht="15" hidden="false" customHeight="true" outlineLevel="0" collapsed="false">
      <c r="A386" s="41"/>
      <c r="B386" s="42"/>
      <c r="C386" s="42"/>
      <c r="D386" s="42"/>
      <c r="E386" s="42"/>
      <c r="F386" s="42"/>
    </row>
    <row r="387" customFormat="false" ht="15" hidden="false" customHeight="true" outlineLevel="0" collapsed="false">
      <c r="A387" s="41"/>
      <c r="B387" s="42"/>
      <c r="C387" s="42"/>
      <c r="D387" s="42"/>
      <c r="E387" s="42"/>
      <c r="F387" s="42"/>
    </row>
    <row r="388" customFormat="false" ht="15" hidden="false" customHeight="true" outlineLevel="0" collapsed="false">
      <c r="A388" s="41"/>
      <c r="B388" s="42"/>
      <c r="C388" s="42"/>
      <c r="D388" s="42"/>
      <c r="E388" s="42"/>
      <c r="F388" s="42"/>
    </row>
    <row r="389" customFormat="false" ht="15" hidden="false" customHeight="true" outlineLevel="0" collapsed="false">
      <c r="A389" s="41"/>
      <c r="B389" s="42"/>
      <c r="C389" s="42"/>
      <c r="D389" s="42"/>
      <c r="E389" s="42"/>
      <c r="F389" s="42"/>
    </row>
    <row r="390" customFormat="false" ht="15" hidden="false" customHeight="true" outlineLevel="0" collapsed="false">
      <c r="A390" s="41"/>
      <c r="B390" s="42"/>
      <c r="C390" s="42"/>
      <c r="D390" s="42"/>
      <c r="E390" s="42"/>
      <c r="F390" s="42"/>
    </row>
    <row r="391" customFormat="false" ht="15" hidden="false" customHeight="true" outlineLevel="0" collapsed="false">
      <c r="A391" s="41"/>
      <c r="B391" s="42"/>
      <c r="C391" s="42"/>
      <c r="D391" s="42"/>
      <c r="E391" s="42"/>
      <c r="F391" s="42"/>
    </row>
    <row r="392" customFormat="false" ht="15" hidden="false" customHeight="true" outlineLevel="0" collapsed="false">
      <c r="A392" s="41"/>
      <c r="B392" s="42"/>
      <c r="C392" s="42"/>
      <c r="D392" s="42"/>
      <c r="E392" s="42"/>
      <c r="F392" s="42"/>
    </row>
    <row r="393" customFormat="false" ht="15" hidden="false" customHeight="true" outlineLevel="0" collapsed="false">
      <c r="A393" s="41"/>
      <c r="B393" s="42"/>
      <c r="C393" s="42"/>
      <c r="D393" s="42"/>
      <c r="E393" s="42"/>
      <c r="F393" s="42"/>
    </row>
    <row r="394" customFormat="false" ht="15" hidden="false" customHeight="true" outlineLevel="0" collapsed="false">
      <c r="A394" s="41"/>
      <c r="B394" s="42"/>
      <c r="C394" s="42"/>
      <c r="D394" s="42"/>
      <c r="E394" s="42"/>
      <c r="F394" s="42"/>
    </row>
    <row r="395" customFormat="false" ht="15" hidden="false" customHeight="true" outlineLevel="0" collapsed="false">
      <c r="A395" s="41"/>
      <c r="B395" s="42"/>
      <c r="C395" s="42"/>
      <c r="D395" s="42"/>
      <c r="E395" s="42"/>
      <c r="F395" s="42"/>
    </row>
    <row r="396" customFormat="false" ht="15" hidden="false" customHeight="true" outlineLevel="0" collapsed="false">
      <c r="A396" s="41"/>
      <c r="B396" s="42"/>
      <c r="C396" s="42"/>
      <c r="D396" s="42"/>
      <c r="E396" s="42"/>
      <c r="F396" s="42"/>
    </row>
    <row r="397" customFormat="false" ht="15" hidden="false" customHeight="true" outlineLevel="0" collapsed="false">
      <c r="A397" s="41"/>
      <c r="B397" s="42"/>
      <c r="C397" s="42"/>
      <c r="D397" s="42"/>
      <c r="E397" s="42"/>
      <c r="F397" s="42"/>
    </row>
    <row r="398" customFormat="false" ht="15" hidden="false" customHeight="true" outlineLevel="0" collapsed="false">
      <c r="A398" s="41"/>
      <c r="B398" s="42"/>
      <c r="C398" s="42"/>
      <c r="D398" s="42"/>
      <c r="E398" s="42"/>
      <c r="F398" s="42"/>
    </row>
    <row r="399" customFormat="false" ht="15" hidden="false" customHeight="true" outlineLevel="0" collapsed="false">
      <c r="A399" s="41"/>
      <c r="B399" s="42"/>
      <c r="C399" s="42"/>
      <c r="D399" s="42"/>
      <c r="E399" s="42"/>
      <c r="F399" s="42"/>
    </row>
    <row r="400" customFormat="false" ht="15" hidden="false" customHeight="true" outlineLevel="0" collapsed="false">
      <c r="A400" s="41"/>
      <c r="B400" s="42"/>
      <c r="C400" s="42"/>
      <c r="D400" s="42"/>
      <c r="E400" s="42"/>
      <c r="F400" s="42"/>
    </row>
    <row r="401" customFormat="false" ht="15" hidden="false" customHeight="true" outlineLevel="0" collapsed="false">
      <c r="A401" s="41"/>
      <c r="B401" s="42"/>
      <c r="C401" s="42"/>
      <c r="D401" s="42"/>
      <c r="E401" s="42"/>
      <c r="F401" s="42"/>
    </row>
    <row r="402" customFormat="false" ht="15" hidden="false" customHeight="true" outlineLevel="0" collapsed="false">
      <c r="A402" s="41"/>
      <c r="B402" s="42"/>
      <c r="C402" s="42"/>
      <c r="D402" s="42"/>
      <c r="E402" s="42"/>
      <c r="F402" s="42"/>
    </row>
    <row r="403" customFormat="false" ht="15" hidden="false" customHeight="true" outlineLevel="0" collapsed="false">
      <c r="A403" s="41"/>
      <c r="B403" s="42"/>
      <c r="C403" s="42"/>
      <c r="D403" s="42"/>
      <c r="E403" s="42"/>
      <c r="F403" s="42"/>
    </row>
    <row r="404" customFormat="false" ht="15" hidden="false" customHeight="true" outlineLevel="0" collapsed="false">
      <c r="A404" s="41"/>
      <c r="B404" s="42"/>
      <c r="C404" s="42"/>
      <c r="D404" s="42"/>
      <c r="E404" s="42"/>
      <c r="F404" s="42"/>
    </row>
    <row r="405" customFormat="false" ht="15" hidden="false" customHeight="true" outlineLevel="0" collapsed="false">
      <c r="A405" s="41"/>
      <c r="B405" s="42"/>
      <c r="C405" s="42"/>
      <c r="D405" s="42"/>
      <c r="E405" s="42"/>
      <c r="F405" s="42"/>
    </row>
    <row r="406" customFormat="false" ht="15" hidden="false" customHeight="true" outlineLevel="0" collapsed="false">
      <c r="A406" s="41"/>
      <c r="B406" s="42"/>
      <c r="C406" s="42"/>
      <c r="D406" s="42"/>
      <c r="E406" s="42"/>
      <c r="F406" s="42"/>
    </row>
    <row r="407" customFormat="false" ht="15" hidden="false" customHeight="true" outlineLevel="0" collapsed="false">
      <c r="A407" s="41"/>
      <c r="B407" s="42"/>
      <c r="C407" s="42"/>
      <c r="D407" s="42"/>
      <c r="E407" s="42"/>
      <c r="F407" s="42"/>
    </row>
    <row r="408" customFormat="false" ht="15" hidden="false" customHeight="true" outlineLevel="0" collapsed="false">
      <c r="A408" s="41"/>
      <c r="B408" s="42"/>
      <c r="C408" s="42"/>
      <c r="D408" s="42"/>
      <c r="E408" s="42"/>
      <c r="F408" s="42"/>
    </row>
    <row r="409" customFormat="false" ht="15" hidden="false" customHeight="true" outlineLevel="0" collapsed="false">
      <c r="A409" s="41"/>
      <c r="B409" s="42"/>
      <c r="C409" s="42"/>
      <c r="D409" s="42"/>
      <c r="E409" s="42"/>
      <c r="F409" s="42"/>
    </row>
    <row r="410" customFormat="false" ht="15" hidden="false" customHeight="true" outlineLevel="0" collapsed="false">
      <c r="A410" s="41"/>
      <c r="B410" s="42"/>
      <c r="C410" s="42"/>
      <c r="D410" s="42"/>
      <c r="E410" s="42"/>
      <c r="F410" s="42"/>
    </row>
    <row r="411" customFormat="false" ht="15" hidden="false" customHeight="true" outlineLevel="0" collapsed="false">
      <c r="A411" s="41"/>
      <c r="B411" s="42"/>
      <c r="C411" s="42"/>
      <c r="D411" s="42"/>
      <c r="E411" s="42"/>
      <c r="F411" s="42"/>
    </row>
    <row r="412" customFormat="false" ht="15" hidden="false" customHeight="true" outlineLevel="0" collapsed="false">
      <c r="A412" s="41"/>
      <c r="B412" s="42"/>
      <c r="C412" s="42"/>
      <c r="D412" s="42"/>
      <c r="E412" s="42"/>
      <c r="F412" s="42"/>
    </row>
    <row r="413" customFormat="false" ht="15" hidden="false" customHeight="true" outlineLevel="0" collapsed="false">
      <c r="A413" s="41"/>
      <c r="B413" s="42"/>
      <c r="C413" s="42"/>
      <c r="D413" s="42"/>
      <c r="E413" s="42"/>
      <c r="F413" s="42"/>
    </row>
    <row r="414" customFormat="false" ht="15" hidden="false" customHeight="true" outlineLevel="0" collapsed="false">
      <c r="A414" s="41"/>
      <c r="B414" s="42"/>
      <c r="C414" s="42"/>
      <c r="D414" s="42"/>
      <c r="E414" s="42"/>
      <c r="F414" s="42"/>
    </row>
    <row r="415" customFormat="false" ht="15" hidden="false" customHeight="true" outlineLevel="0" collapsed="false">
      <c r="A415" s="41"/>
      <c r="B415" s="42"/>
      <c r="C415" s="42"/>
      <c r="D415" s="42"/>
      <c r="E415" s="42"/>
      <c r="F415" s="42"/>
    </row>
    <row r="416" customFormat="false" ht="15" hidden="false" customHeight="true" outlineLevel="0" collapsed="false">
      <c r="A416" s="41"/>
      <c r="B416" s="42"/>
      <c r="C416" s="42"/>
      <c r="D416" s="42"/>
      <c r="E416" s="42"/>
      <c r="F416" s="42"/>
    </row>
    <row r="417" customFormat="false" ht="15" hidden="false" customHeight="true" outlineLevel="0" collapsed="false">
      <c r="A417" s="41"/>
      <c r="B417" s="42"/>
      <c r="C417" s="42"/>
      <c r="D417" s="42"/>
      <c r="E417" s="42"/>
      <c r="F417" s="42"/>
    </row>
    <row r="418" customFormat="false" ht="15" hidden="false" customHeight="true" outlineLevel="0" collapsed="false">
      <c r="A418" s="41"/>
      <c r="B418" s="42"/>
      <c r="C418" s="42"/>
      <c r="D418" s="42"/>
      <c r="E418" s="42"/>
      <c r="F418" s="42"/>
    </row>
    <row r="419" customFormat="false" ht="15" hidden="false" customHeight="true" outlineLevel="0" collapsed="false">
      <c r="A419" s="41"/>
      <c r="B419" s="42"/>
      <c r="C419" s="42"/>
      <c r="D419" s="42"/>
      <c r="E419" s="42"/>
      <c r="F419" s="42"/>
    </row>
    <row r="420" customFormat="false" ht="15" hidden="false" customHeight="true" outlineLevel="0" collapsed="false">
      <c r="A420" s="41"/>
      <c r="B420" s="42"/>
      <c r="C420" s="42"/>
      <c r="D420" s="42"/>
      <c r="E420" s="42"/>
      <c r="F420" s="42"/>
    </row>
    <row r="421" customFormat="false" ht="15" hidden="false" customHeight="true" outlineLevel="0" collapsed="false">
      <c r="A421" s="41"/>
      <c r="B421" s="42"/>
      <c r="C421" s="42"/>
      <c r="D421" s="42"/>
      <c r="E421" s="42"/>
      <c r="F421" s="42"/>
    </row>
    <row r="422" customFormat="false" ht="15" hidden="false" customHeight="true" outlineLevel="0" collapsed="false">
      <c r="A422" s="41"/>
      <c r="B422" s="42"/>
      <c r="C422" s="42"/>
      <c r="D422" s="42"/>
      <c r="E422" s="42"/>
      <c r="F422" s="42"/>
    </row>
    <row r="423" customFormat="false" ht="15" hidden="false" customHeight="true" outlineLevel="0" collapsed="false">
      <c r="A423" s="41"/>
      <c r="B423" s="42"/>
      <c r="C423" s="42"/>
      <c r="D423" s="42"/>
      <c r="E423" s="42"/>
      <c r="F423" s="42"/>
    </row>
    <row r="424" customFormat="false" ht="15" hidden="false" customHeight="true" outlineLevel="0" collapsed="false">
      <c r="A424" s="41"/>
      <c r="B424" s="42"/>
      <c r="C424" s="42"/>
      <c r="D424" s="42"/>
      <c r="E424" s="42"/>
      <c r="F424" s="42"/>
    </row>
    <row r="425" customFormat="false" ht="15" hidden="false" customHeight="true" outlineLevel="0" collapsed="false">
      <c r="A425" s="41"/>
      <c r="B425" s="42"/>
      <c r="C425" s="42"/>
      <c r="D425" s="42"/>
      <c r="E425" s="42"/>
      <c r="F425" s="42"/>
    </row>
    <row r="426" customFormat="false" ht="15" hidden="false" customHeight="true" outlineLevel="0" collapsed="false">
      <c r="A426" s="41"/>
      <c r="B426" s="42"/>
      <c r="C426" s="42"/>
      <c r="D426" s="42"/>
      <c r="E426" s="42"/>
      <c r="F426" s="42"/>
    </row>
    <row r="427" customFormat="false" ht="15" hidden="false" customHeight="true" outlineLevel="0" collapsed="false">
      <c r="A427" s="41"/>
      <c r="B427" s="42"/>
      <c r="C427" s="42"/>
      <c r="D427" s="42"/>
      <c r="E427" s="42"/>
      <c r="F427" s="42"/>
    </row>
    <row r="428" customFormat="false" ht="15" hidden="false" customHeight="true" outlineLevel="0" collapsed="false">
      <c r="A428" s="41"/>
      <c r="B428" s="42"/>
      <c r="C428" s="42"/>
      <c r="D428" s="42"/>
      <c r="E428" s="42"/>
      <c r="F428" s="42"/>
    </row>
    <row r="429" customFormat="false" ht="15" hidden="false" customHeight="true" outlineLevel="0" collapsed="false">
      <c r="A429" s="41"/>
      <c r="B429" s="42"/>
      <c r="C429" s="42"/>
      <c r="D429" s="42"/>
      <c r="E429" s="42"/>
      <c r="F429" s="42"/>
    </row>
    <row r="430" customFormat="false" ht="15" hidden="false" customHeight="true" outlineLevel="0" collapsed="false">
      <c r="A430" s="41"/>
      <c r="B430" s="42"/>
      <c r="C430" s="42"/>
      <c r="D430" s="42"/>
      <c r="E430" s="42"/>
      <c r="F430" s="42"/>
    </row>
    <row r="431" customFormat="false" ht="15" hidden="false" customHeight="true" outlineLevel="0" collapsed="false">
      <c r="A431" s="41"/>
      <c r="B431" s="42"/>
      <c r="C431" s="42"/>
      <c r="D431" s="42"/>
      <c r="E431" s="42"/>
      <c r="F431" s="42"/>
    </row>
    <row r="432" customFormat="false" ht="15" hidden="false" customHeight="true" outlineLevel="0" collapsed="false">
      <c r="A432" s="41"/>
      <c r="B432" s="42"/>
      <c r="C432" s="42"/>
      <c r="D432" s="42"/>
      <c r="E432" s="42"/>
      <c r="F432" s="42"/>
    </row>
    <row r="433" customFormat="false" ht="15" hidden="false" customHeight="true" outlineLevel="0" collapsed="false">
      <c r="A433" s="41"/>
      <c r="B433" s="42"/>
      <c r="C433" s="42"/>
      <c r="D433" s="42"/>
      <c r="E433" s="42"/>
      <c r="F433" s="42"/>
    </row>
    <row r="434" customFormat="false" ht="15" hidden="false" customHeight="true" outlineLevel="0" collapsed="false">
      <c r="A434" s="41"/>
      <c r="B434" s="42"/>
      <c r="C434" s="42"/>
      <c r="D434" s="42"/>
      <c r="E434" s="42"/>
      <c r="F434" s="42"/>
    </row>
    <row r="435" customFormat="false" ht="15" hidden="false" customHeight="true" outlineLevel="0" collapsed="false">
      <c r="A435" s="41"/>
      <c r="B435" s="42"/>
      <c r="C435" s="42"/>
      <c r="D435" s="42"/>
      <c r="E435" s="42"/>
      <c r="F435" s="42"/>
    </row>
    <row r="436" customFormat="false" ht="15" hidden="false" customHeight="true" outlineLevel="0" collapsed="false">
      <c r="A436" s="41"/>
      <c r="B436" s="42"/>
      <c r="C436" s="42"/>
      <c r="D436" s="42"/>
      <c r="E436" s="42"/>
      <c r="F436" s="42"/>
    </row>
    <row r="437" customFormat="false" ht="15" hidden="false" customHeight="true" outlineLevel="0" collapsed="false">
      <c r="A437" s="41"/>
      <c r="B437" s="42"/>
      <c r="C437" s="42"/>
      <c r="D437" s="42"/>
      <c r="E437" s="42"/>
      <c r="F437" s="42"/>
    </row>
    <row r="438" customFormat="false" ht="15" hidden="false" customHeight="true" outlineLevel="0" collapsed="false">
      <c r="A438" s="41"/>
      <c r="B438" s="42"/>
      <c r="C438" s="42"/>
      <c r="D438" s="42"/>
      <c r="E438" s="42"/>
      <c r="F438" s="42"/>
    </row>
    <row r="439" customFormat="false" ht="15" hidden="false" customHeight="true" outlineLevel="0" collapsed="false">
      <c r="A439" s="41"/>
      <c r="B439" s="42"/>
      <c r="C439" s="42"/>
      <c r="D439" s="42"/>
      <c r="E439" s="42"/>
      <c r="F439" s="42"/>
    </row>
    <row r="440" customFormat="false" ht="15" hidden="false" customHeight="true" outlineLevel="0" collapsed="false">
      <c r="A440" s="41"/>
      <c r="B440" s="42"/>
      <c r="C440" s="42"/>
      <c r="D440" s="42"/>
      <c r="E440" s="42"/>
      <c r="F440" s="42"/>
    </row>
    <row r="441" customFormat="false" ht="15" hidden="false" customHeight="true" outlineLevel="0" collapsed="false">
      <c r="A441" s="41"/>
      <c r="B441" s="42"/>
      <c r="C441" s="42"/>
      <c r="D441" s="42"/>
      <c r="E441" s="42"/>
      <c r="F441" s="42"/>
    </row>
    <row r="442" customFormat="false" ht="15" hidden="false" customHeight="true" outlineLevel="0" collapsed="false">
      <c r="A442" s="41"/>
      <c r="B442" s="42"/>
      <c r="C442" s="42"/>
      <c r="D442" s="42"/>
      <c r="E442" s="42"/>
      <c r="F442" s="42"/>
    </row>
    <row r="443" customFormat="false" ht="15" hidden="false" customHeight="true" outlineLevel="0" collapsed="false">
      <c r="A443" s="41"/>
      <c r="B443" s="42"/>
      <c r="C443" s="42"/>
      <c r="D443" s="42"/>
      <c r="E443" s="42"/>
      <c r="F443" s="42"/>
    </row>
    <row r="444" customFormat="false" ht="15" hidden="false" customHeight="true" outlineLevel="0" collapsed="false">
      <c r="A444" s="41"/>
      <c r="B444" s="42"/>
      <c r="C444" s="42"/>
      <c r="D444" s="42"/>
      <c r="E444" s="42"/>
      <c r="F444" s="42"/>
    </row>
    <row r="445" customFormat="false" ht="15" hidden="false" customHeight="true" outlineLevel="0" collapsed="false">
      <c r="A445" s="41"/>
      <c r="B445" s="42"/>
      <c r="C445" s="42"/>
      <c r="D445" s="42"/>
      <c r="E445" s="42"/>
      <c r="F445" s="42"/>
    </row>
    <row r="446" customFormat="false" ht="15" hidden="false" customHeight="true" outlineLevel="0" collapsed="false">
      <c r="A446" s="41"/>
      <c r="B446" s="42"/>
      <c r="C446" s="42"/>
      <c r="D446" s="42"/>
      <c r="E446" s="42"/>
      <c r="F446" s="42"/>
    </row>
    <row r="447" customFormat="false" ht="15" hidden="false" customHeight="true" outlineLevel="0" collapsed="false">
      <c r="A447" s="41"/>
      <c r="B447" s="42"/>
      <c r="C447" s="42"/>
      <c r="D447" s="42"/>
      <c r="E447" s="42"/>
      <c r="F447" s="42"/>
    </row>
    <row r="448" customFormat="false" ht="15" hidden="false" customHeight="true" outlineLevel="0" collapsed="false">
      <c r="A448" s="41"/>
      <c r="B448" s="42"/>
      <c r="C448" s="42"/>
      <c r="D448" s="42"/>
      <c r="E448" s="42"/>
      <c r="F448" s="42"/>
    </row>
    <row r="449" customFormat="false" ht="15" hidden="false" customHeight="true" outlineLevel="0" collapsed="false">
      <c r="A449" s="41"/>
      <c r="B449" s="42"/>
      <c r="C449" s="42"/>
      <c r="D449" s="42"/>
      <c r="E449" s="42"/>
      <c r="F449" s="42"/>
    </row>
    <row r="450" customFormat="false" ht="15" hidden="false" customHeight="true" outlineLevel="0" collapsed="false">
      <c r="A450" s="41"/>
      <c r="B450" s="42"/>
      <c r="C450" s="42"/>
      <c r="D450" s="42"/>
      <c r="E450" s="42"/>
      <c r="F450" s="42"/>
    </row>
    <row r="451" customFormat="false" ht="15" hidden="false" customHeight="true" outlineLevel="0" collapsed="false">
      <c r="A451" s="41"/>
      <c r="B451" s="42"/>
      <c r="C451" s="42"/>
      <c r="D451" s="42"/>
      <c r="E451" s="42"/>
      <c r="F451" s="42"/>
    </row>
    <row r="452" customFormat="false" ht="15" hidden="false" customHeight="true" outlineLevel="0" collapsed="false">
      <c r="A452" s="41"/>
      <c r="B452" s="42"/>
      <c r="C452" s="42"/>
      <c r="D452" s="42"/>
      <c r="E452" s="42"/>
      <c r="F452" s="42"/>
    </row>
    <row r="453" customFormat="false" ht="15" hidden="false" customHeight="true" outlineLevel="0" collapsed="false">
      <c r="A453" s="41"/>
      <c r="B453" s="42"/>
      <c r="C453" s="42"/>
      <c r="D453" s="42"/>
      <c r="E453" s="42"/>
      <c r="F453" s="42"/>
    </row>
    <row r="454" customFormat="false" ht="15" hidden="false" customHeight="true" outlineLevel="0" collapsed="false">
      <c r="A454" s="41"/>
      <c r="B454" s="42"/>
      <c r="C454" s="42"/>
      <c r="D454" s="42"/>
      <c r="E454" s="42"/>
      <c r="F454" s="42"/>
    </row>
    <row r="455" customFormat="false" ht="15" hidden="false" customHeight="true" outlineLevel="0" collapsed="false">
      <c r="A455" s="41"/>
      <c r="B455" s="42"/>
      <c r="C455" s="42"/>
      <c r="D455" s="42"/>
      <c r="E455" s="42"/>
      <c r="F455" s="42"/>
    </row>
    <row r="456" customFormat="false" ht="15" hidden="false" customHeight="true" outlineLevel="0" collapsed="false">
      <c r="A456" s="41"/>
      <c r="B456" s="42"/>
      <c r="C456" s="42"/>
      <c r="D456" s="42"/>
      <c r="E456" s="42"/>
      <c r="F456" s="42"/>
    </row>
    <row r="457" customFormat="false" ht="15" hidden="false" customHeight="true" outlineLevel="0" collapsed="false">
      <c r="A457" s="41"/>
      <c r="B457" s="42"/>
      <c r="C457" s="42"/>
      <c r="D457" s="42"/>
      <c r="E457" s="42"/>
      <c r="F457" s="42"/>
    </row>
    <row r="458" customFormat="false" ht="15" hidden="false" customHeight="true" outlineLevel="0" collapsed="false">
      <c r="A458" s="41"/>
      <c r="B458" s="42"/>
      <c r="C458" s="42"/>
      <c r="D458" s="42"/>
      <c r="E458" s="42"/>
      <c r="F458" s="42"/>
    </row>
    <row r="459" customFormat="false" ht="15" hidden="false" customHeight="true" outlineLevel="0" collapsed="false">
      <c r="A459" s="41"/>
      <c r="B459" s="42"/>
      <c r="C459" s="42"/>
      <c r="D459" s="42"/>
      <c r="E459" s="42"/>
      <c r="F459" s="42"/>
    </row>
    <row r="460" customFormat="false" ht="15" hidden="false" customHeight="true" outlineLevel="0" collapsed="false">
      <c r="A460" s="41"/>
      <c r="B460" s="42"/>
      <c r="C460" s="42"/>
      <c r="D460" s="42"/>
      <c r="E460" s="42"/>
      <c r="F460" s="42"/>
    </row>
    <row r="461" customFormat="false" ht="15" hidden="false" customHeight="true" outlineLevel="0" collapsed="false">
      <c r="A461" s="41"/>
      <c r="B461" s="42"/>
      <c r="C461" s="42"/>
      <c r="D461" s="42"/>
      <c r="E461" s="42"/>
      <c r="F461" s="42"/>
    </row>
    <row r="462" customFormat="false" ht="15" hidden="false" customHeight="true" outlineLevel="0" collapsed="false">
      <c r="A462" s="41"/>
      <c r="B462" s="42"/>
      <c r="C462" s="42"/>
      <c r="D462" s="42"/>
      <c r="E462" s="42"/>
      <c r="F462" s="42"/>
    </row>
    <row r="463" customFormat="false" ht="15" hidden="false" customHeight="true" outlineLevel="0" collapsed="false">
      <c r="A463" s="41"/>
      <c r="B463" s="42"/>
      <c r="C463" s="42"/>
      <c r="D463" s="42"/>
      <c r="E463" s="42"/>
      <c r="F463" s="42"/>
    </row>
    <row r="464" customFormat="false" ht="15" hidden="false" customHeight="true" outlineLevel="0" collapsed="false">
      <c r="A464" s="41"/>
      <c r="B464" s="42"/>
      <c r="C464" s="42"/>
      <c r="D464" s="42"/>
      <c r="E464" s="42"/>
      <c r="F464" s="42"/>
    </row>
    <row r="465" customFormat="false" ht="15" hidden="false" customHeight="true" outlineLevel="0" collapsed="false">
      <c r="A465" s="41"/>
      <c r="B465" s="42"/>
      <c r="C465" s="42"/>
      <c r="D465" s="42"/>
      <c r="E465" s="42"/>
      <c r="F465" s="42"/>
    </row>
    <row r="466" customFormat="false" ht="15" hidden="false" customHeight="true" outlineLevel="0" collapsed="false">
      <c r="A466" s="41"/>
      <c r="B466" s="42"/>
      <c r="C466" s="42"/>
      <c r="D466" s="42"/>
      <c r="E466" s="42"/>
      <c r="F466" s="42"/>
    </row>
    <row r="467" customFormat="false" ht="15" hidden="false" customHeight="true" outlineLevel="0" collapsed="false">
      <c r="A467" s="41"/>
      <c r="B467" s="42"/>
      <c r="C467" s="42"/>
      <c r="D467" s="42"/>
      <c r="E467" s="42"/>
      <c r="F467" s="42"/>
    </row>
    <row r="468" customFormat="false" ht="15" hidden="false" customHeight="true" outlineLevel="0" collapsed="false">
      <c r="A468" s="41"/>
      <c r="B468" s="42"/>
      <c r="C468" s="42"/>
      <c r="D468" s="42"/>
      <c r="E468" s="42"/>
      <c r="F468" s="42"/>
    </row>
    <row r="469" customFormat="false" ht="15" hidden="false" customHeight="true" outlineLevel="0" collapsed="false">
      <c r="A469" s="41"/>
      <c r="B469" s="42"/>
      <c r="C469" s="42"/>
      <c r="D469" s="42"/>
      <c r="E469" s="42"/>
      <c r="F469" s="42"/>
    </row>
    <row r="470" customFormat="false" ht="15" hidden="false" customHeight="true" outlineLevel="0" collapsed="false">
      <c r="A470" s="41"/>
      <c r="B470" s="42"/>
      <c r="C470" s="42"/>
      <c r="D470" s="42"/>
      <c r="E470" s="42"/>
      <c r="F470" s="42"/>
    </row>
    <row r="471" customFormat="false" ht="15" hidden="false" customHeight="true" outlineLevel="0" collapsed="false">
      <c r="A471" s="41"/>
      <c r="B471" s="42"/>
      <c r="C471" s="42"/>
      <c r="D471" s="42"/>
      <c r="E471" s="42"/>
      <c r="F471" s="42"/>
    </row>
    <row r="472" customFormat="false" ht="15" hidden="false" customHeight="true" outlineLevel="0" collapsed="false">
      <c r="A472" s="41"/>
      <c r="B472" s="42"/>
      <c r="C472" s="42"/>
      <c r="D472" s="42"/>
      <c r="E472" s="42"/>
      <c r="F472" s="42"/>
    </row>
    <row r="473" customFormat="false" ht="15" hidden="false" customHeight="true" outlineLevel="0" collapsed="false">
      <c r="A473" s="41"/>
      <c r="B473" s="42"/>
      <c r="C473" s="42"/>
      <c r="D473" s="42"/>
      <c r="E473" s="42"/>
      <c r="F473" s="42"/>
    </row>
    <row r="474" customFormat="false" ht="15" hidden="false" customHeight="true" outlineLevel="0" collapsed="false">
      <c r="A474" s="41"/>
      <c r="B474" s="42"/>
      <c r="C474" s="42"/>
      <c r="D474" s="42"/>
      <c r="E474" s="42"/>
      <c r="F474" s="42"/>
    </row>
    <row r="475" customFormat="false" ht="15" hidden="false" customHeight="true" outlineLevel="0" collapsed="false">
      <c r="A475" s="41"/>
      <c r="B475" s="42"/>
      <c r="C475" s="42"/>
      <c r="D475" s="42"/>
      <c r="E475" s="42"/>
      <c r="F475" s="42"/>
    </row>
    <row r="476" customFormat="false" ht="15" hidden="false" customHeight="true" outlineLevel="0" collapsed="false">
      <c r="A476" s="41"/>
      <c r="B476" s="42"/>
      <c r="C476" s="42"/>
      <c r="D476" s="42"/>
      <c r="E476" s="42"/>
      <c r="F476" s="42"/>
    </row>
    <row r="477" customFormat="false" ht="15" hidden="false" customHeight="true" outlineLevel="0" collapsed="false">
      <c r="A477" s="41"/>
      <c r="B477" s="42"/>
      <c r="C477" s="42"/>
      <c r="D477" s="42"/>
      <c r="E477" s="42"/>
      <c r="F477" s="42"/>
    </row>
    <row r="478" customFormat="false" ht="15" hidden="false" customHeight="true" outlineLevel="0" collapsed="false">
      <c r="A478" s="41"/>
      <c r="B478" s="42"/>
      <c r="C478" s="42"/>
      <c r="D478" s="42"/>
      <c r="E478" s="42"/>
      <c r="F478" s="42"/>
    </row>
    <row r="479" customFormat="false" ht="15" hidden="false" customHeight="true" outlineLevel="0" collapsed="false">
      <c r="A479" s="41"/>
      <c r="B479" s="42"/>
      <c r="C479" s="42"/>
      <c r="D479" s="42"/>
      <c r="E479" s="42"/>
      <c r="F479" s="42"/>
    </row>
    <row r="480" customFormat="false" ht="15" hidden="false" customHeight="true" outlineLevel="0" collapsed="false">
      <c r="A480" s="41"/>
      <c r="B480" s="42"/>
      <c r="C480" s="42"/>
      <c r="D480" s="42"/>
      <c r="E480" s="42"/>
      <c r="F480" s="42"/>
    </row>
    <row r="481" customFormat="false" ht="15" hidden="false" customHeight="true" outlineLevel="0" collapsed="false">
      <c r="A481" s="41"/>
      <c r="B481" s="42"/>
      <c r="C481" s="42"/>
      <c r="D481" s="42"/>
      <c r="E481" s="42"/>
      <c r="F481" s="42"/>
    </row>
    <row r="482" customFormat="false" ht="15" hidden="false" customHeight="true" outlineLevel="0" collapsed="false">
      <c r="A482" s="41"/>
      <c r="B482" s="42"/>
      <c r="C482" s="42"/>
      <c r="D482" s="42"/>
      <c r="E482" s="42"/>
      <c r="F482" s="42"/>
    </row>
    <row r="483" customFormat="false" ht="15" hidden="false" customHeight="true" outlineLevel="0" collapsed="false">
      <c r="A483" s="41"/>
      <c r="B483" s="42"/>
      <c r="C483" s="42"/>
      <c r="D483" s="42"/>
      <c r="E483" s="42"/>
      <c r="F483" s="42"/>
    </row>
    <row r="484" customFormat="false" ht="15" hidden="false" customHeight="true" outlineLevel="0" collapsed="false">
      <c r="A484" s="41"/>
      <c r="B484" s="42"/>
      <c r="C484" s="42"/>
      <c r="D484" s="42"/>
      <c r="E484" s="42"/>
      <c r="F484" s="42"/>
    </row>
    <row r="485" customFormat="false" ht="15" hidden="false" customHeight="true" outlineLevel="0" collapsed="false">
      <c r="A485" s="41"/>
      <c r="B485" s="42"/>
      <c r="C485" s="42"/>
      <c r="D485" s="42"/>
      <c r="E485" s="42"/>
      <c r="F485" s="42"/>
    </row>
    <row r="486" customFormat="false" ht="15" hidden="false" customHeight="true" outlineLevel="0" collapsed="false">
      <c r="A486" s="41"/>
      <c r="B486" s="42"/>
      <c r="C486" s="42"/>
      <c r="D486" s="42"/>
      <c r="E486" s="42"/>
      <c r="F486" s="42"/>
    </row>
    <row r="487" customFormat="false" ht="15" hidden="false" customHeight="true" outlineLevel="0" collapsed="false">
      <c r="A487" s="41"/>
      <c r="B487" s="42"/>
      <c r="C487" s="42"/>
      <c r="D487" s="42"/>
      <c r="E487" s="42"/>
      <c r="F487" s="42"/>
    </row>
    <row r="488" customFormat="false" ht="15" hidden="false" customHeight="true" outlineLevel="0" collapsed="false">
      <c r="A488" s="41"/>
      <c r="B488" s="42"/>
      <c r="C488" s="42"/>
      <c r="D488" s="42"/>
      <c r="E488" s="42"/>
      <c r="F488" s="42"/>
    </row>
    <row r="489" customFormat="false" ht="15" hidden="false" customHeight="true" outlineLevel="0" collapsed="false">
      <c r="A489" s="41"/>
      <c r="B489" s="42"/>
      <c r="C489" s="42"/>
      <c r="D489" s="42"/>
      <c r="E489" s="42"/>
      <c r="F489" s="42"/>
    </row>
    <row r="490" customFormat="false" ht="15" hidden="false" customHeight="true" outlineLevel="0" collapsed="false">
      <c r="A490" s="41"/>
      <c r="B490" s="42"/>
      <c r="C490" s="42"/>
      <c r="D490" s="42"/>
      <c r="E490" s="42"/>
      <c r="F490" s="42"/>
    </row>
    <row r="491" customFormat="false" ht="15" hidden="false" customHeight="true" outlineLevel="0" collapsed="false">
      <c r="A491" s="41"/>
      <c r="B491" s="42"/>
      <c r="C491" s="42"/>
      <c r="D491" s="42"/>
      <c r="E491" s="42"/>
      <c r="F491" s="42"/>
    </row>
    <row r="492" customFormat="false" ht="15" hidden="false" customHeight="true" outlineLevel="0" collapsed="false">
      <c r="A492" s="41"/>
      <c r="B492" s="42"/>
      <c r="C492" s="42"/>
      <c r="D492" s="42"/>
      <c r="E492" s="42"/>
      <c r="F492" s="42"/>
    </row>
    <row r="493" customFormat="false" ht="15" hidden="false" customHeight="true" outlineLevel="0" collapsed="false">
      <c r="A493" s="41"/>
      <c r="B493" s="42"/>
      <c r="C493" s="42"/>
      <c r="D493" s="42"/>
      <c r="E493" s="42"/>
      <c r="F493" s="42"/>
    </row>
    <row r="494" customFormat="false" ht="15" hidden="false" customHeight="true" outlineLevel="0" collapsed="false">
      <c r="A494" s="41"/>
      <c r="B494" s="42"/>
      <c r="C494" s="42"/>
      <c r="D494" s="42"/>
      <c r="E494" s="42"/>
      <c r="F494" s="42"/>
    </row>
    <row r="495" customFormat="false" ht="15" hidden="false" customHeight="true" outlineLevel="0" collapsed="false">
      <c r="A495" s="41"/>
      <c r="B495" s="42"/>
      <c r="C495" s="42"/>
      <c r="D495" s="42"/>
      <c r="E495" s="42"/>
      <c r="F495" s="42"/>
    </row>
    <row r="496" customFormat="false" ht="15" hidden="false" customHeight="true" outlineLevel="0" collapsed="false">
      <c r="A496" s="41"/>
      <c r="B496" s="42"/>
      <c r="C496" s="42"/>
      <c r="D496" s="42"/>
      <c r="E496" s="42"/>
      <c r="F496" s="42"/>
    </row>
    <row r="497" customFormat="false" ht="15" hidden="false" customHeight="true" outlineLevel="0" collapsed="false">
      <c r="A497" s="41"/>
      <c r="B497" s="42"/>
      <c r="C497" s="42"/>
      <c r="D497" s="42"/>
      <c r="E497" s="42"/>
      <c r="F497" s="42"/>
    </row>
    <row r="498" customFormat="false" ht="15" hidden="false" customHeight="true" outlineLevel="0" collapsed="false">
      <c r="A498" s="41"/>
      <c r="B498" s="42"/>
      <c r="C498" s="42"/>
      <c r="D498" s="42"/>
      <c r="E498" s="42"/>
      <c r="F498" s="42"/>
    </row>
    <row r="499" customFormat="false" ht="15" hidden="false" customHeight="true" outlineLevel="0" collapsed="false">
      <c r="A499" s="41"/>
      <c r="B499" s="42"/>
      <c r="C499" s="42"/>
      <c r="D499" s="42"/>
      <c r="E499" s="42"/>
      <c r="F499" s="42"/>
    </row>
    <row r="500" customFormat="false" ht="15" hidden="false" customHeight="true" outlineLevel="0" collapsed="false">
      <c r="A500" s="41"/>
      <c r="B500" s="42"/>
      <c r="C500" s="42"/>
      <c r="D500" s="42"/>
      <c r="E500" s="42"/>
      <c r="F500" s="42"/>
    </row>
    <row r="501" customFormat="false" ht="15" hidden="false" customHeight="true" outlineLevel="0" collapsed="false">
      <c r="A501" s="41"/>
      <c r="B501" s="42"/>
      <c r="C501" s="42"/>
      <c r="D501" s="42"/>
      <c r="E501" s="42"/>
      <c r="F501" s="42"/>
    </row>
    <row r="502" customFormat="false" ht="15" hidden="false" customHeight="true" outlineLevel="0" collapsed="false">
      <c r="A502" s="41"/>
      <c r="B502" s="42"/>
      <c r="C502" s="42"/>
      <c r="D502" s="42"/>
      <c r="E502" s="42"/>
      <c r="F502" s="42"/>
    </row>
    <row r="503" customFormat="false" ht="15" hidden="false" customHeight="true" outlineLevel="0" collapsed="false">
      <c r="A503" s="41"/>
      <c r="B503" s="42"/>
      <c r="C503" s="42"/>
      <c r="D503" s="42"/>
      <c r="E503" s="42"/>
      <c r="F503" s="42"/>
    </row>
    <row r="504" customFormat="false" ht="15" hidden="false" customHeight="true" outlineLevel="0" collapsed="false">
      <c r="A504" s="41"/>
      <c r="B504" s="42"/>
      <c r="C504" s="42"/>
      <c r="D504" s="42"/>
      <c r="E504" s="42"/>
      <c r="F504" s="42"/>
    </row>
    <row r="505" customFormat="false" ht="15" hidden="false" customHeight="true" outlineLevel="0" collapsed="false">
      <c r="A505" s="41"/>
      <c r="B505" s="42"/>
      <c r="C505" s="42"/>
      <c r="D505" s="42"/>
      <c r="E505" s="42"/>
      <c r="F505" s="42"/>
    </row>
  </sheetData>
  <dataValidations count="2">
    <dataValidation allowBlank="true" errorStyle="stop" operator="between" showDropDown="false" showErrorMessage="false" showInputMessage="false" sqref="B5:B505" type="list">
      <formula1>"Incidencia,Lesión / molestia,Sesión perdida,Cambio de material,Cambio de regla,Cambio de ejercicio,Nota,Creación del sistema"</formula1>
      <formula2>0</formula2>
    </dataValidation>
    <dataValidation allowBlank="true" errorStyle="stop" operator="between" showDropDown="false" showErrorMessage="false" showInputMessage="false" sqref="D5:D505" type="list">
      <formula1>"Sí,No,No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2026-09-27T15:39:02Z</dcterms:created>
  <dc:creator>openpyxl</dc:creator>
  <dc:description/>
  <dc:language>en-US</dc:language>
  <cp:lastModifiedBy/>
  <dcterms:modified xsi:type="dcterms:W3CDTF">2026-09-27T15:50:12Z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